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mprouvement\Skills Branding\Nettoyage de données\messy-data d'Oxford IHTM\"/>
    </mc:Choice>
  </mc:AlternateContent>
  <xr:revisionPtr revIDLastSave="0" documentId="13_ncr:1_{699ACB3C-9E5E-43B9-AADD-50A67348067B}" xr6:coauthVersionLast="47" xr6:coauthVersionMax="47" xr10:uidLastSave="{00000000-0000-0000-0000-000000000000}"/>
  <bookViews>
    <workbookView xWindow="1788" yWindow="420" windowWidth="19728" windowHeight="11736" tabRatio="500" activeTab="5" xr2:uid="{00000000-000D-0000-FFFF-FFFF00000000}"/>
  </bookViews>
  <sheets>
    <sheet name="Sheet1" sheetId="1" r:id="rId1"/>
    <sheet name="Inspection" sheetId="5" r:id="rId2"/>
    <sheet name="Dictionnaire" sheetId="3" r:id="rId3"/>
    <sheet name="Journal de Nettoyage" sheetId="4" r:id="rId4"/>
    <sheet name="Données nettoyées (Fr)" sheetId="6" r:id="rId5"/>
    <sheet name="Cleaned_data (Eng)" sheetId="10" r:id="rId6"/>
    <sheet name="Indicateurs de vérifications" sheetId="9" r:id="rId7"/>
  </sheets>
  <definedNames>
    <definedName name="_xlnm._FilterDatabase" localSheetId="5" hidden="1">'Cleaned_data (Eng)'!$A$1:$AO$295</definedName>
    <definedName name="_xlnm._FilterDatabase" localSheetId="4" hidden="1">'Données nettoyées (Fr)'!$F$1:$F$295</definedName>
    <definedName name="_xlnm._FilterDatabase" localSheetId="0" hidden="1">Sheet1!$G$1:$G$301</definedName>
    <definedName name="Class_IMC" localSheetId="5">'Cleaned_data (Eng)'!$D$1</definedName>
    <definedName name="Class_IMC">'Données nettoyées (Fr)'!$D$1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10" l="1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AO20" i="10" s="1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AO111" i="10" s="1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AO178" i="10" s="1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AO213" i="10" s="1"/>
  <c r="T214" i="10"/>
  <c r="T215" i="10"/>
  <c r="AO215" i="10" s="1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" i="10"/>
  <c r="AO7" i="10"/>
  <c r="AO27" i="10"/>
  <c r="AO28" i="10"/>
  <c r="AO33" i="10"/>
  <c r="AO34" i="10"/>
  <c r="AO36" i="10"/>
  <c r="AO38" i="10"/>
  <c r="AO45" i="10"/>
  <c r="AO50" i="10"/>
  <c r="AO58" i="10"/>
  <c r="AO67" i="10"/>
  <c r="AO74" i="10"/>
  <c r="AO83" i="10"/>
  <c r="AO85" i="10"/>
  <c r="AO88" i="10"/>
  <c r="AO89" i="10"/>
  <c r="AO91" i="10"/>
  <c r="AO92" i="10"/>
  <c r="AO95" i="10"/>
  <c r="AO100" i="10"/>
  <c r="AO102" i="10"/>
  <c r="AO105" i="10"/>
  <c r="AO107" i="10"/>
  <c r="AO108" i="10"/>
  <c r="AO119" i="10"/>
  <c r="AO127" i="10"/>
  <c r="AO130" i="10"/>
  <c r="AO133" i="10"/>
  <c r="AO134" i="10"/>
  <c r="AO137" i="10"/>
  <c r="AO138" i="10"/>
  <c r="AO143" i="10"/>
  <c r="AO144" i="10"/>
  <c r="AO145" i="10"/>
  <c r="AO146" i="10"/>
  <c r="AO147" i="10"/>
  <c r="AO148" i="10"/>
  <c r="AO155" i="10"/>
  <c r="AO157" i="10"/>
  <c r="AO159" i="10"/>
  <c r="AO161" i="10"/>
  <c r="AO164" i="10"/>
  <c r="AO165" i="10"/>
  <c r="AO170" i="10"/>
  <c r="AO180" i="10"/>
  <c r="AO187" i="10"/>
  <c r="AO188" i="10"/>
  <c r="AO190" i="10"/>
  <c r="AO192" i="10"/>
  <c r="AO193" i="10"/>
  <c r="AO195" i="10"/>
  <c r="AO198" i="10"/>
  <c r="AO202" i="10"/>
  <c r="AO206" i="10"/>
  <c r="AO208" i="10"/>
  <c r="AO209" i="10"/>
  <c r="AO227" i="10"/>
  <c r="AO234" i="10"/>
  <c r="AO237" i="10"/>
  <c r="AO244" i="10"/>
  <c r="AO245" i="10"/>
  <c r="AO249" i="10"/>
  <c r="AO252" i="10"/>
  <c r="AO260" i="10"/>
  <c r="AO262" i="10"/>
  <c r="AO270" i="10"/>
  <c r="AO271" i="10"/>
  <c r="AO275" i="10"/>
  <c r="AO278" i="10"/>
  <c r="AO279" i="10"/>
  <c r="AO290" i="10"/>
  <c r="AO294" i="10"/>
  <c r="AB3" i="10"/>
  <c r="AO3" i="10" s="1"/>
  <c r="AB4" i="10"/>
  <c r="AO4" i="10" s="1"/>
  <c r="AB5" i="10"/>
  <c r="AO5" i="10" s="1"/>
  <c r="AB6" i="10"/>
  <c r="AO6" i="10" s="1"/>
  <c r="AB7" i="10"/>
  <c r="AB8" i="10"/>
  <c r="AO8" i="10" s="1"/>
  <c r="AB9" i="10"/>
  <c r="AO9" i="10" s="1"/>
  <c r="AB10" i="10"/>
  <c r="AO10" i="10" s="1"/>
  <c r="AB11" i="10"/>
  <c r="AO11" i="10" s="1"/>
  <c r="AB12" i="10"/>
  <c r="AO12" i="10" s="1"/>
  <c r="AB13" i="10"/>
  <c r="AO13" i="10" s="1"/>
  <c r="AB14" i="10"/>
  <c r="AO14" i="10" s="1"/>
  <c r="AB15" i="10"/>
  <c r="AO15" i="10" s="1"/>
  <c r="AB16" i="10"/>
  <c r="AO16" i="10" s="1"/>
  <c r="AB17" i="10"/>
  <c r="AO17" i="10" s="1"/>
  <c r="AB18" i="10"/>
  <c r="AO18" i="10" s="1"/>
  <c r="AB19" i="10"/>
  <c r="AO19" i="10" s="1"/>
  <c r="AB20" i="10"/>
  <c r="AB21" i="10"/>
  <c r="AO21" i="10" s="1"/>
  <c r="AB22" i="10"/>
  <c r="AO22" i="10" s="1"/>
  <c r="AB23" i="10"/>
  <c r="AO23" i="10" s="1"/>
  <c r="AB24" i="10"/>
  <c r="AO24" i="10" s="1"/>
  <c r="AB25" i="10"/>
  <c r="AO25" i="10" s="1"/>
  <c r="AB26" i="10"/>
  <c r="AO26" i="10" s="1"/>
  <c r="AB27" i="10"/>
  <c r="AB28" i="10"/>
  <c r="AB29" i="10"/>
  <c r="AO29" i="10" s="1"/>
  <c r="AB30" i="10"/>
  <c r="AO30" i="10" s="1"/>
  <c r="AB31" i="10"/>
  <c r="AO31" i="10" s="1"/>
  <c r="AB32" i="10"/>
  <c r="AO32" i="10" s="1"/>
  <c r="AB33" i="10"/>
  <c r="AB34" i="10"/>
  <c r="AB35" i="10"/>
  <c r="AO35" i="10" s="1"/>
  <c r="AB36" i="10"/>
  <c r="AB37" i="10"/>
  <c r="AO37" i="10" s="1"/>
  <c r="AB38" i="10"/>
  <c r="AB39" i="10"/>
  <c r="AO39" i="10" s="1"/>
  <c r="AB40" i="10"/>
  <c r="AO40" i="10" s="1"/>
  <c r="AB41" i="10"/>
  <c r="AO41" i="10" s="1"/>
  <c r="AB42" i="10"/>
  <c r="AO42" i="10" s="1"/>
  <c r="AB43" i="10"/>
  <c r="AO43" i="10" s="1"/>
  <c r="AB44" i="10"/>
  <c r="AO44" i="10" s="1"/>
  <c r="AB45" i="10"/>
  <c r="AB46" i="10"/>
  <c r="AO46" i="10" s="1"/>
  <c r="AB47" i="10"/>
  <c r="AO47" i="10" s="1"/>
  <c r="AB48" i="10"/>
  <c r="AO48" i="10" s="1"/>
  <c r="AB49" i="10"/>
  <c r="AO49" i="10" s="1"/>
  <c r="AB50" i="10"/>
  <c r="AB51" i="10"/>
  <c r="AO51" i="10" s="1"/>
  <c r="AB52" i="10"/>
  <c r="AO52" i="10" s="1"/>
  <c r="AB53" i="10"/>
  <c r="AO53" i="10" s="1"/>
  <c r="AB54" i="10"/>
  <c r="AO54" i="10" s="1"/>
  <c r="AB55" i="10"/>
  <c r="AO55" i="10" s="1"/>
  <c r="AB56" i="10"/>
  <c r="AO56" i="10" s="1"/>
  <c r="AB57" i="10"/>
  <c r="AO57" i="10" s="1"/>
  <c r="AB58" i="10"/>
  <c r="AB59" i="10"/>
  <c r="AO59" i="10" s="1"/>
  <c r="AB60" i="10"/>
  <c r="AO60" i="10" s="1"/>
  <c r="AB61" i="10"/>
  <c r="AO61" i="10" s="1"/>
  <c r="AB62" i="10"/>
  <c r="AO62" i="10" s="1"/>
  <c r="AB63" i="10"/>
  <c r="AO63" i="10" s="1"/>
  <c r="AB64" i="10"/>
  <c r="AO64" i="10" s="1"/>
  <c r="AB65" i="10"/>
  <c r="AO65" i="10" s="1"/>
  <c r="AB66" i="10"/>
  <c r="AO66" i="10" s="1"/>
  <c r="AB67" i="10"/>
  <c r="AB68" i="10"/>
  <c r="AO68" i="10" s="1"/>
  <c r="AB69" i="10"/>
  <c r="AO69" i="10" s="1"/>
  <c r="AB70" i="10"/>
  <c r="AO70" i="10" s="1"/>
  <c r="AB71" i="10"/>
  <c r="AO71" i="10" s="1"/>
  <c r="AB72" i="10"/>
  <c r="AO72" i="10" s="1"/>
  <c r="AB73" i="10"/>
  <c r="AO73" i="10" s="1"/>
  <c r="AB74" i="10"/>
  <c r="AB75" i="10"/>
  <c r="AO75" i="10" s="1"/>
  <c r="AB76" i="10"/>
  <c r="AO76" i="10" s="1"/>
  <c r="AB77" i="10"/>
  <c r="AO77" i="10" s="1"/>
  <c r="AB78" i="10"/>
  <c r="AO78" i="10" s="1"/>
  <c r="AB79" i="10"/>
  <c r="AO79" i="10" s="1"/>
  <c r="AB80" i="10"/>
  <c r="AO80" i="10" s="1"/>
  <c r="AB81" i="10"/>
  <c r="AO81" i="10" s="1"/>
  <c r="AB82" i="10"/>
  <c r="AO82" i="10" s="1"/>
  <c r="AB83" i="10"/>
  <c r="AB84" i="10"/>
  <c r="AO84" i="10" s="1"/>
  <c r="AB85" i="10"/>
  <c r="AB86" i="10"/>
  <c r="AO86" i="10" s="1"/>
  <c r="AB87" i="10"/>
  <c r="AO87" i="10" s="1"/>
  <c r="AB88" i="10"/>
  <c r="AB89" i="10"/>
  <c r="AB90" i="10"/>
  <c r="AO90" i="10" s="1"/>
  <c r="AB91" i="10"/>
  <c r="AB92" i="10"/>
  <c r="AB93" i="10"/>
  <c r="AO93" i="10" s="1"/>
  <c r="AB94" i="10"/>
  <c r="AO94" i="10" s="1"/>
  <c r="AB95" i="10"/>
  <c r="AB96" i="10"/>
  <c r="AO96" i="10" s="1"/>
  <c r="AB97" i="10"/>
  <c r="AO97" i="10" s="1"/>
  <c r="AB98" i="10"/>
  <c r="AO98" i="10" s="1"/>
  <c r="AB99" i="10"/>
  <c r="AO99" i="10" s="1"/>
  <c r="AB100" i="10"/>
  <c r="AB101" i="10"/>
  <c r="AO101" i="10" s="1"/>
  <c r="AB102" i="10"/>
  <c r="AB103" i="10"/>
  <c r="AO103" i="10" s="1"/>
  <c r="AB104" i="10"/>
  <c r="AO104" i="10" s="1"/>
  <c r="AB105" i="10"/>
  <c r="AB106" i="10"/>
  <c r="AO106" i="10" s="1"/>
  <c r="AB107" i="10"/>
  <c r="AB108" i="10"/>
  <c r="AB109" i="10"/>
  <c r="AO109" i="10" s="1"/>
  <c r="AB110" i="10"/>
  <c r="AO110" i="10" s="1"/>
  <c r="AB111" i="10"/>
  <c r="AB112" i="10"/>
  <c r="AO112" i="10" s="1"/>
  <c r="AB113" i="10"/>
  <c r="AO113" i="10" s="1"/>
  <c r="AB114" i="10"/>
  <c r="AO114" i="10" s="1"/>
  <c r="AB115" i="10"/>
  <c r="AO115" i="10" s="1"/>
  <c r="AB116" i="10"/>
  <c r="AO116" i="10" s="1"/>
  <c r="AB117" i="10"/>
  <c r="AO117" i="10" s="1"/>
  <c r="AB118" i="10"/>
  <c r="AO118" i="10" s="1"/>
  <c r="AB119" i="10"/>
  <c r="AB120" i="10"/>
  <c r="AO120" i="10" s="1"/>
  <c r="AB121" i="10"/>
  <c r="AO121" i="10" s="1"/>
  <c r="AB122" i="10"/>
  <c r="AO122" i="10" s="1"/>
  <c r="AB123" i="10"/>
  <c r="AO123" i="10" s="1"/>
  <c r="AB124" i="10"/>
  <c r="AO124" i="10" s="1"/>
  <c r="AB125" i="10"/>
  <c r="AO125" i="10" s="1"/>
  <c r="AB126" i="10"/>
  <c r="AO126" i="10" s="1"/>
  <c r="AB127" i="10"/>
  <c r="AB128" i="10"/>
  <c r="AO128" i="10" s="1"/>
  <c r="AB129" i="10"/>
  <c r="AO129" i="10" s="1"/>
  <c r="AB130" i="10"/>
  <c r="AB131" i="10"/>
  <c r="AO131" i="10" s="1"/>
  <c r="AB132" i="10"/>
  <c r="AO132" i="10" s="1"/>
  <c r="AB133" i="10"/>
  <c r="AB134" i="10"/>
  <c r="AB135" i="10"/>
  <c r="AO135" i="10" s="1"/>
  <c r="AB136" i="10"/>
  <c r="AO136" i="10" s="1"/>
  <c r="AB137" i="10"/>
  <c r="AB138" i="10"/>
  <c r="AB139" i="10"/>
  <c r="AO139" i="10" s="1"/>
  <c r="AB140" i="10"/>
  <c r="AO140" i="10" s="1"/>
  <c r="AB141" i="10"/>
  <c r="AO141" i="10" s="1"/>
  <c r="AB142" i="10"/>
  <c r="AO142" i="10" s="1"/>
  <c r="AB143" i="10"/>
  <c r="AB144" i="10"/>
  <c r="AB145" i="10"/>
  <c r="AB146" i="10"/>
  <c r="AB147" i="10"/>
  <c r="AB148" i="10"/>
  <c r="AB149" i="10"/>
  <c r="AO149" i="10" s="1"/>
  <c r="AB150" i="10"/>
  <c r="AO150" i="10" s="1"/>
  <c r="AB151" i="10"/>
  <c r="AO151" i="10" s="1"/>
  <c r="AB152" i="10"/>
  <c r="AO152" i="10" s="1"/>
  <c r="AB153" i="10"/>
  <c r="AO153" i="10" s="1"/>
  <c r="AB154" i="10"/>
  <c r="AO154" i="10" s="1"/>
  <c r="AB155" i="10"/>
  <c r="AB156" i="10"/>
  <c r="AO156" i="10" s="1"/>
  <c r="AB157" i="10"/>
  <c r="AB158" i="10"/>
  <c r="AO158" i="10" s="1"/>
  <c r="AB159" i="10"/>
  <c r="AB160" i="10"/>
  <c r="AO160" i="10" s="1"/>
  <c r="AB161" i="10"/>
  <c r="AB162" i="10"/>
  <c r="AO162" i="10" s="1"/>
  <c r="AB163" i="10"/>
  <c r="AO163" i="10" s="1"/>
  <c r="AB164" i="10"/>
  <c r="AB165" i="10"/>
  <c r="AB166" i="10"/>
  <c r="AO166" i="10" s="1"/>
  <c r="AB167" i="10"/>
  <c r="AO167" i="10" s="1"/>
  <c r="AB168" i="10"/>
  <c r="AO168" i="10" s="1"/>
  <c r="AB169" i="10"/>
  <c r="AO169" i="10" s="1"/>
  <c r="AB170" i="10"/>
  <c r="AB171" i="10"/>
  <c r="AO171" i="10" s="1"/>
  <c r="AB172" i="10"/>
  <c r="AO172" i="10" s="1"/>
  <c r="AB173" i="10"/>
  <c r="AO173" i="10" s="1"/>
  <c r="AB174" i="10"/>
  <c r="AO174" i="10" s="1"/>
  <c r="AB175" i="10"/>
  <c r="AO175" i="10" s="1"/>
  <c r="AB176" i="10"/>
  <c r="AO176" i="10" s="1"/>
  <c r="AB177" i="10"/>
  <c r="AO177" i="10" s="1"/>
  <c r="AB178" i="10"/>
  <c r="AB179" i="10"/>
  <c r="AO179" i="10" s="1"/>
  <c r="AB180" i="10"/>
  <c r="AB181" i="10"/>
  <c r="AO181" i="10" s="1"/>
  <c r="AB182" i="10"/>
  <c r="AO182" i="10" s="1"/>
  <c r="AB183" i="10"/>
  <c r="AO183" i="10" s="1"/>
  <c r="AB184" i="10"/>
  <c r="AO184" i="10" s="1"/>
  <c r="AB185" i="10"/>
  <c r="AO185" i="10" s="1"/>
  <c r="AB186" i="10"/>
  <c r="AO186" i="10" s="1"/>
  <c r="AB187" i="10"/>
  <c r="AB188" i="10"/>
  <c r="AB189" i="10"/>
  <c r="AO189" i="10" s="1"/>
  <c r="AB190" i="10"/>
  <c r="AB191" i="10"/>
  <c r="AO191" i="10" s="1"/>
  <c r="AB192" i="10"/>
  <c r="AB193" i="10"/>
  <c r="AB194" i="10"/>
  <c r="AO194" i="10" s="1"/>
  <c r="AB195" i="10"/>
  <c r="AB196" i="10"/>
  <c r="AO196" i="10" s="1"/>
  <c r="AB197" i="10"/>
  <c r="AO197" i="10" s="1"/>
  <c r="AB198" i="10"/>
  <c r="AB199" i="10"/>
  <c r="AO199" i="10" s="1"/>
  <c r="AB200" i="10"/>
  <c r="AO200" i="10" s="1"/>
  <c r="AB201" i="10"/>
  <c r="AO201" i="10" s="1"/>
  <c r="AB202" i="10"/>
  <c r="AB203" i="10"/>
  <c r="AO203" i="10" s="1"/>
  <c r="AB204" i="10"/>
  <c r="AO204" i="10" s="1"/>
  <c r="AB205" i="10"/>
  <c r="AO205" i="10" s="1"/>
  <c r="AB206" i="10"/>
  <c r="AB207" i="10"/>
  <c r="AO207" i="10" s="1"/>
  <c r="AB208" i="10"/>
  <c r="AB209" i="10"/>
  <c r="AB210" i="10"/>
  <c r="AO210" i="10" s="1"/>
  <c r="AB211" i="10"/>
  <c r="AO211" i="10" s="1"/>
  <c r="AB212" i="10"/>
  <c r="AO212" i="10" s="1"/>
  <c r="AB213" i="10"/>
  <c r="AB214" i="10"/>
  <c r="AO214" i="10" s="1"/>
  <c r="AB215" i="10"/>
  <c r="AB216" i="10"/>
  <c r="AO216" i="10" s="1"/>
  <c r="AB217" i="10"/>
  <c r="AO217" i="10" s="1"/>
  <c r="AB218" i="10"/>
  <c r="AO218" i="10" s="1"/>
  <c r="AB219" i="10"/>
  <c r="AO219" i="10" s="1"/>
  <c r="AB220" i="10"/>
  <c r="AO220" i="10" s="1"/>
  <c r="AB221" i="10"/>
  <c r="AO221" i="10" s="1"/>
  <c r="AB222" i="10"/>
  <c r="AO222" i="10" s="1"/>
  <c r="AB223" i="10"/>
  <c r="AO223" i="10" s="1"/>
  <c r="AB224" i="10"/>
  <c r="AO224" i="10" s="1"/>
  <c r="AB225" i="10"/>
  <c r="AO225" i="10" s="1"/>
  <c r="AB226" i="10"/>
  <c r="AO226" i="10" s="1"/>
  <c r="AB227" i="10"/>
  <c r="AB228" i="10"/>
  <c r="AO228" i="10" s="1"/>
  <c r="AB229" i="10"/>
  <c r="AO229" i="10" s="1"/>
  <c r="AB230" i="10"/>
  <c r="AO230" i="10" s="1"/>
  <c r="AB231" i="10"/>
  <c r="AO231" i="10" s="1"/>
  <c r="AB232" i="10"/>
  <c r="AO232" i="10" s="1"/>
  <c r="AB233" i="10"/>
  <c r="AO233" i="10" s="1"/>
  <c r="AB234" i="10"/>
  <c r="AB235" i="10"/>
  <c r="AO235" i="10" s="1"/>
  <c r="AB236" i="10"/>
  <c r="AO236" i="10" s="1"/>
  <c r="AB237" i="10"/>
  <c r="AB238" i="10"/>
  <c r="AO238" i="10" s="1"/>
  <c r="AB239" i="10"/>
  <c r="AO239" i="10" s="1"/>
  <c r="AB240" i="10"/>
  <c r="AO240" i="10" s="1"/>
  <c r="AB241" i="10"/>
  <c r="AO241" i="10" s="1"/>
  <c r="AB242" i="10"/>
  <c r="AO242" i="10" s="1"/>
  <c r="AB243" i="10"/>
  <c r="AO243" i="10" s="1"/>
  <c r="AB244" i="10"/>
  <c r="AB245" i="10"/>
  <c r="AB246" i="10"/>
  <c r="AO246" i="10" s="1"/>
  <c r="AB247" i="10"/>
  <c r="AO247" i="10" s="1"/>
  <c r="AB248" i="10"/>
  <c r="AO248" i="10" s="1"/>
  <c r="AB249" i="10"/>
  <c r="AB250" i="10"/>
  <c r="AO250" i="10" s="1"/>
  <c r="AB251" i="10"/>
  <c r="AO251" i="10" s="1"/>
  <c r="AB252" i="10"/>
  <c r="AB253" i="10"/>
  <c r="AO253" i="10" s="1"/>
  <c r="AB254" i="10"/>
  <c r="AO254" i="10" s="1"/>
  <c r="AB255" i="10"/>
  <c r="AO255" i="10" s="1"/>
  <c r="AB256" i="10"/>
  <c r="AO256" i="10" s="1"/>
  <c r="AB257" i="10"/>
  <c r="AO257" i="10" s="1"/>
  <c r="AB258" i="10"/>
  <c r="AO258" i="10" s="1"/>
  <c r="AB259" i="10"/>
  <c r="AO259" i="10" s="1"/>
  <c r="AB260" i="10"/>
  <c r="AB261" i="10"/>
  <c r="AO261" i="10" s="1"/>
  <c r="AB262" i="10"/>
  <c r="AB263" i="10"/>
  <c r="AO263" i="10" s="1"/>
  <c r="AB264" i="10"/>
  <c r="AO264" i="10" s="1"/>
  <c r="AB265" i="10"/>
  <c r="AO265" i="10" s="1"/>
  <c r="AB266" i="10"/>
  <c r="AO266" i="10" s="1"/>
  <c r="AB267" i="10"/>
  <c r="AO267" i="10" s="1"/>
  <c r="AB268" i="10"/>
  <c r="AO268" i="10" s="1"/>
  <c r="AB269" i="10"/>
  <c r="AO269" i="10" s="1"/>
  <c r="AB270" i="10"/>
  <c r="AB271" i="10"/>
  <c r="AB272" i="10"/>
  <c r="AO272" i="10" s="1"/>
  <c r="AB273" i="10"/>
  <c r="AO273" i="10" s="1"/>
  <c r="AB274" i="10"/>
  <c r="AO274" i="10" s="1"/>
  <c r="AB275" i="10"/>
  <c r="AB276" i="10"/>
  <c r="AO276" i="10" s="1"/>
  <c r="AB277" i="10"/>
  <c r="AO277" i="10" s="1"/>
  <c r="AB278" i="10"/>
  <c r="AB279" i="10"/>
  <c r="AB280" i="10"/>
  <c r="AO280" i="10" s="1"/>
  <c r="AB281" i="10"/>
  <c r="AO281" i="10" s="1"/>
  <c r="AB282" i="10"/>
  <c r="AO282" i="10" s="1"/>
  <c r="AB283" i="10"/>
  <c r="AO283" i="10" s="1"/>
  <c r="AB284" i="10"/>
  <c r="AO284" i="10" s="1"/>
  <c r="AB285" i="10"/>
  <c r="AO285" i="10" s="1"/>
  <c r="AB286" i="10"/>
  <c r="AO286" i="10" s="1"/>
  <c r="AB287" i="10"/>
  <c r="AO287" i="10" s="1"/>
  <c r="AB288" i="10"/>
  <c r="AO288" i="10" s="1"/>
  <c r="AB289" i="10"/>
  <c r="AO289" i="10" s="1"/>
  <c r="AB290" i="10"/>
  <c r="AB291" i="10"/>
  <c r="AO291" i="10" s="1"/>
  <c r="AB292" i="10"/>
  <c r="AO292" i="10" s="1"/>
  <c r="AB293" i="10"/>
  <c r="AO293" i="10" s="1"/>
  <c r="AB294" i="10"/>
  <c r="AB295" i="10"/>
  <c r="AO295" i="10" s="1"/>
  <c r="AB2" i="10"/>
  <c r="AO2" i="10" s="1"/>
  <c r="AG295" i="10"/>
  <c r="V295" i="10"/>
  <c r="N295" i="10"/>
  <c r="AG294" i="10"/>
  <c r="V294" i="10"/>
  <c r="N294" i="10"/>
  <c r="AG293" i="10"/>
  <c r="V293" i="10"/>
  <c r="N293" i="10"/>
  <c r="AG292" i="10"/>
  <c r="V292" i="10"/>
  <c r="N292" i="10"/>
  <c r="AG291" i="10"/>
  <c r="V291" i="10"/>
  <c r="N291" i="10"/>
  <c r="AG290" i="10"/>
  <c r="V290" i="10"/>
  <c r="N290" i="10"/>
  <c r="AG289" i="10"/>
  <c r="V289" i="10"/>
  <c r="N289" i="10"/>
  <c r="AG288" i="10"/>
  <c r="V288" i="10"/>
  <c r="N288" i="10"/>
  <c r="AG287" i="10"/>
  <c r="V287" i="10"/>
  <c r="N287" i="10"/>
  <c r="AG286" i="10"/>
  <c r="V286" i="10"/>
  <c r="N286" i="10"/>
  <c r="AG285" i="10"/>
  <c r="V285" i="10"/>
  <c r="N285" i="10"/>
  <c r="AG284" i="10"/>
  <c r="V284" i="10"/>
  <c r="N284" i="10"/>
  <c r="AG283" i="10"/>
  <c r="V283" i="10"/>
  <c r="N283" i="10"/>
  <c r="AG282" i="10"/>
  <c r="V282" i="10"/>
  <c r="N282" i="10"/>
  <c r="AG281" i="10"/>
  <c r="V281" i="10"/>
  <c r="N281" i="10"/>
  <c r="AG280" i="10"/>
  <c r="V280" i="10"/>
  <c r="N280" i="10"/>
  <c r="AG279" i="10"/>
  <c r="V279" i="10"/>
  <c r="N279" i="10"/>
  <c r="AG278" i="10"/>
  <c r="V278" i="10"/>
  <c r="N278" i="10"/>
  <c r="AG277" i="10"/>
  <c r="V277" i="10"/>
  <c r="N277" i="10"/>
  <c r="AG276" i="10"/>
  <c r="V276" i="10"/>
  <c r="N276" i="10"/>
  <c r="AG275" i="10"/>
  <c r="V275" i="10"/>
  <c r="N275" i="10"/>
  <c r="AG274" i="10"/>
  <c r="V274" i="10"/>
  <c r="N274" i="10"/>
  <c r="AG273" i="10"/>
  <c r="V273" i="10"/>
  <c r="N273" i="10"/>
  <c r="AG272" i="10"/>
  <c r="V272" i="10"/>
  <c r="N272" i="10"/>
  <c r="AG271" i="10"/>
  <c r="V271" i="10"/>
  <c r="N271" i="10"/>
  <c r="AG270" i="10"/>
  <c r="V270" i="10"/>
  <c r="N270" i="10"/>
  <c r="AG269" i="10"/>
  <c r="V269" i="10"/>
  <c r="N269" i="10"/>
  <c r="AG268" i="10"/>
  <c r="V268" i="10"/>
  <c r="N268" i="10"/>
  <c r="AG267" i="10"/>
  <c r="V267" i="10"/>
  <c r="N267" i="10"/>
  <c r="AG266" i="10"/>
  <c r="V266" i="10"/>
  <c r="N266" i="10"/>
  <c r="AG265" i="10"/>
  <c r="V265" i="10"/>
  <c r="N265" i="10"/>
  <c r="AG264" i="10"/>
  <c r="V264" i="10"/>
  <c r="N264" i="10"/>
  <c r="AG263" i="10"/>
  <c r="V263" i="10"/>
  <c r="N263" i="10"/>
  <c r="AG262" i="10"/>
  <c r="V262" i="10"/>
  <c r="N262" i="10"/>
  <c r="AG261" i="10"/>
  <c r="V261" i="10"/>
  <c r="N261" i="10"/>
  <c r="AG260" i="10"/>
  <c r="V260" i="10"/>
  <c r="N260" i="10"/>
  <c r="AG259" i="10"/>
  <c r="V259" i="10"/>
  <c r="N259" i="10"/>
  <c r="AG258" i="10"/>
  <c r="V258" i="10"/>
  <c r="N258" i="10"/>
  <c r="AG257" i="10"/>
  <c r="V257" i="10"/>
  <c r="N257" i="10"/>
  <c r="AG256" i="10"/>
  <c r="V256" i="10"/>
  <c r="N256" i="10"/>
  <c r="AG255" i="10"/>
  <c r="V255" i="10"/>
  <c r="N255" i="10"/>
  <c r="AG254" i="10"/>
  <c r="V254" i="10"/>
  <c r="N254" i="10"/>
  <c r="AG253" i="10"/>
  <c r="V253" i="10"/>
  <c r="N253" i="10"/>
  <c r="AG252" i="10"/>
  <c r="V252" i="10"/>
  <c r="N252" i="10"/>
  <c r="AG251" i="10"/>
  <c r="V251" i="10"/>
  <c r="N251" i="10"/>
  <c r="AG250" i="10"/>
  <c r="V250" i="10"/>
  <c r="N250" i="10"/>
  <c r="AG249" i="10"/>
  <c r="V249" i="10"/>
  <c r="N249" i="10"/>
  <c r="AG248" i="10"/>
  <c r="V248" i="10"/>
  <c r="N248" i="10"/>
  <c r="AG247" i="10"/>
  <c r="V247" i="10"/>
  <c r="N247" i="10"/>
  <c r="AG246" i="10"/>
  <c r="V246" i="10"/>
  <c r="N246" i="10"/>
  <c r="AG245" i="10"/>
  <c r="V245" i="10"/>
  <c r="N245" i="10"/>
  <c r="AG244" i="10"/>
  <c r="V244" i="10"/>
  <c r="N244" i="10"/>
  <c r="AG243" i="10"/>
  <c r="V243" i="10"/>
  <c r="N243" i="10"/>
  <c r="AG242" i="10"/>
  <c r="V242" i="10"/>
  <c r="N242" i="10"/>
  <c r="AG241" i="10"/>
  <c r="V241" i="10"/>
  <c r="N241" i="10"/>
  <c r="AG240" i="10"/>
  <c r="V240" i="10"/>
  <c r="N240" i="10"/>
  <c r="AG239" i="10"/>
  <c r="V239" i="10"/>
  <c r="N239" i="10"/>
  <c r="AG238" i="10"/>
  <c r="V238" i="10"/>
  <c r="N238" i="10"/>
  <c r="AG237" i="10"/>
  <c r="V237" i="10"/>
  <c r="N237" i="10"/>
  <c r="AG236" i="10"/>
  <c r="V236" i="10"/>
  <c r="N236" i="10"/>
  <c r="AG235" i="10"/>
  <c r="V235" i="10"/>
  <c r="N235" i="10"/>
  <c r="AG234" i="10"/>
  <c r="V234" i="10"/>
  <c r="N234" i="10"/>
  <c r="AG233" i="10"/>
  <c r="V233" i="10"/>
  <c r="N233" i="10"/>
  <c r="AG232" i="10"/>
  <c r="V232" i="10"/>
  <c r="N232" i="10"/>
  <c r="AG231" i="10"/>
  <c r="V231" i="10"/>
  <c r="N231" i="10"/>
  <c r="AG230" i="10"/>
  <c r="V230" i="10"/>
  <c r="N230" i="10"/>
  <c r="AG229" i="10"/>
  <c r="V229" i="10"/>
  <c r="N229" i="10"/>
  <c r="AG228" i="10"/>
  <c r="V228" i="10"/>
  <c r="N228" i="10"/>
  <c r="AG227" i="10"/>
  <c r="V227" i="10"/>
  <c r="N227" i="10"/>
  <c r="AG226" i="10"/>
  <c r="V226" i="10"/>
  <c r="N226" i="10"/>
  <c r="AG225" i="10"/>
  <c r="V225" i="10"/>
  <c r="N225" i="10"/>
  <c r="AG224" i="10"/>
  <c r="V224" i="10"/>
  <c r="N224" i="10"/>
  <c r="AG223" i="10"/>
  <c r="V223" i="10"/>
  <c r="N223" i="10"/>
  <c r="AG222" i="10"/>
  <c r="V222" i="10"/>
  <c r="N222" i="10"/>
  <c r="AG221" i="10"/>
  <c r="V221" i="10"/>
  <c r="N221" i="10"/>
  <c r="AG220" i="10"/>
  <c r="V220" i="10"/>
  <c r="N220" i="10"/>
  <c r="AG219" i="10"/>
  <c r="V219" i="10"/>
  <c r="N219" i="10"/>
  <c r="AG218" i="10"/>
  <c r="V218" i="10"/>
  <c r="N218" i="10"/>
  <c r="AG217" i="10"/>
  <c r="V217" i="10"/>
  <c r="N217" i="10"/>
  <c r="AG216" i="10"/>
  <c r="V216" i="10"/>
  <c r="N216" i="10"/>
  <c r="AG215" i="10"/>
  <c r="V215" i="10"/>
  <c r="N215" i="10"/>
  <c r="AG214" i="10"/>
  <c r="V214" i="10"/>
  <c r="N214" i="10"/>
  <c r="AG213" i="10"/>
  <c r="V213" i="10"/>
  <c r="N213" i="10"/>
  <c r="AG212" i="10"/>
  <c r="V212" i="10"/>
  <c r="N212" i="10"/>
  <c r="AG211" i="10"/>
  <c r="V211" i="10"/>
  <c r="N211" i="10"/>
  <c r="AG210" i="10"/>
  <c r="V210" i="10"/>
  <c r="N210" i="10"/>
  <c r="AG209" i="10"/>
  <c r="V209" i="10"/>
  <c r="N209" i="10"/>
  <c r="AG208" i="10"/>
  <c r="V208" i="10"/>
  <c r="N208" i="10"/>
  <c r="AG207" i="10"/>
  <c r="V207" i="10"/>
  <c r="N207" i="10"/>
  <c r="AG206" i="10"/>
  <c r="V206" i="10"/>
  <c r="N206" i="10"/>
  <c r="AG205" i="10"/>
  <c r="V205" i="10"/>
  <c r="N205" i="10"/>
  <c r="AG204" i="10"/>
  <c r="V204" i="10"/>
  <c r="N204" i="10"/>
  <c r="AG203" i="10"/>
  <c r="V203" i="10"/>
  <c r="N203" i="10"/>
  <c r="AG202" i="10"/>
  <c r="V202" i="10"/>
  <c r="N202" i="10"/>
  <c r="AG201" i="10"/>
  <c r="V201" i="10"/>
  <c r="N201" i="10"/>
  <c r="AG200" i="10"/>
  <c r="V200" i="10"/>
  <c r="N200" i="10"/>
  <c r="AG199" i="10"/>
  <c r="V199" i="10"/>
  <c r="N199" i="10"/>
  <c r="AG198" i="10"/>
  <c r="V198" i="10"/>
  <c r="N198" i="10"/>
  <c r="AG197" i="10"/>
  <c r="V197" i="10"/>
  <c r="N197" i="10"/>
  <c r="AG196" i="10"/>
  <c r="V196" i="10"/>
  <c r="N196" i="10"/>
  <c r="AG195" i="10"/>
  <c r="V195" i="10"/>
  <c r="N195" i="10"/>
  <c r="AG194" i="10"/>
  <c r="V194" i="10"/>
  <c r="N194" i="10"/>
  <c r="AG193" i="10"/>
  <c r="V193" i="10"/>
  <c r="N193" i="10"/>
  <c r="AG192" i="10"/>
  <c r="V192" i="10"/>
  <c r="N192" i="10"/>
  <c r="AG191" i="10"/>
  <c r="V191" i="10"/>
  <c r="N191" i="10"/>
  <c r="AG190" i="10"/>
  <c r="V190" i="10"/>
  <c r="N190" i="10"/>
  <c r="AG189" i="10"/>
  <c r="V189" i="10"/>
  <c r="N189" i="10"/>
  <c r="AG188" i="10"/>
  <c r="V188" i="10"/>
  <c r="N188" i="10"/>
  <c r="AG187" i="10"/>
  <c r="V187" i="10"/>
  <c r="N187" i="10"/>
  <c r="AG186" i="10"/>
  <c r="V186" i="10"/>
  <c r="N186" i="10"/>
  <c r="AG185" i="10"/>
  <c r="V185" i="10"/>
  <c r="N185" i="10"/>
  <c r="AG184" i="10"/>
  <c r="V184" i="10"/>
  <c r="N184" i="10"/>
  <c r="AG183" i="10"/>
  <c r="V183" i="10"/>
  <c r="N183" i="10"/>
  <c r="AG182" i="10"/>
  <c r="V182" i="10"/>
  <c r="N182" i="10"/>
  <c r="AG181" i="10"/>
  <c r="V181" i="10"/>
  <c r="N181" i="10"/>
  <c r="AG180" i="10"/>
  <c r="V180" i="10"/>
  <c r="N180" i="10"/>
  <c r="AG179" i="10"/>
  <c r="V179" i="10"/>
  <c r="N179" i="10"/>
  <c r="AG178" i="10"/>
  <c r="V178" i="10"/>
  <c r="N178" i="10"/>
  <c r="AG177" i="10"/>
  <c r="V177" i="10"/>
  <c r="N177" i="10"/>
  <c r="AG176" i="10"/>
  <c r="V176" i="10"/>
  <c r="N176" i="10"/>
  <c r="AG175" i="10"/>
  <c r="V175" i="10"/>
  <c r="N175" i="10"/>
  <c r="AG174" i="10"/>
  <c r="V174" i="10"/>
  <c r="N174" i="10"/>
  <c r="AG173" i="10"/>
  <c r="V173" i="10"/>
  <c r="N173" i="10"/>
  <c r="AG172" i="10"/>
  <c r="V172" i="10"/>
  <c r="N172" i="10"/>
  <c r="AG171" i="10"/>
  <c r="V171" i="10"/>
  <c r="N171" i="10"/>
  <c r="AG170" i="10"/>
  <c r="V170" i="10"/>
  <c r="N170" i="10"/>
  <c r="AG169" i="10"/>
  <c r="V169" i="10"/>
  <c r="N169" i="10"/>
  <c r="AG168" i="10"/>
  <c r="V168" i="10"/>
  <c r="N168" i="10"/>
  <c r="AG167" i="10"/>
  <c r="V167" i="10"/>
  <c r="N167" i="10"/>
  <c r="AG166" i="10"/>
  <c r="V166" i="10"/>
  <c r="N166" i="10"/>
  <c r="AG165" i="10"/>
  <c r="V165" i="10"/>
  <c r="N165" i="10"/>
  <c r="AG164" i="10"/>
  <c r="V164" i="10"/>
  <c r="N164" i="10"/>
  <c r="AG163" i="10"/>
  <c r="V163" i="10"/>
  <c r="N163" i="10"/>
  <c r="AG162" i="10"/>
  <c r="V162" i="10"/>
  <c r="N162" i="10"/>
  <c r="AG161" i="10"/>
  <c r="V161" i="10"/>
  <c r="N161" i="10"/>
  <c r="AG160" i="10"/>
  <c r="V160" i="10"/>
  <c r="N160" i="10"/>
  <c r="AG159" i="10"/>
  <c r="V159" i="10"/>
  <c r="N159" i="10"/>
  <c r="AG158" i="10"/>
  <c r="V158" i="10"/>
  <c r="N158" i="10"/>
  <c r="AG157" i="10"/>
  <c r="V157" i="10"/>
  <c r="N157" i="10"/>
  <c r="AG156" i="10"/>
  <c r="V156" i="10"/>
  <c r="N156" i="10"/>
  <c r="AG155" i="10"/>
  <c r="V155" i="10"/>
  <c r="N155" i="10"/>
  <c r="AG154" i="10"/>
  <c r="V154" i="10"/>
  <c r="N154" i="10"/>
  <c r="AG153" i="10"/>
  <c r="V153" i="10"/>
  <c r="N153" i="10"/>
  <c r="AG152" i="10"/>
  <c r="V152" i="10"/>
  <c r="N152" i="10"/>
  <c r="AG151" i="10"/>
  <c r="V151" i="10"/>
  <c r="N151" i="10"/>
  <c r="AG150" i="10"/>
  <c r="V150" i="10"/>
  <c r="N150" i="10"/>
  <c r="AG149" i="10"/>
  <c r="V149" i="10"/>
  <c r="N149" i="10"/>
  <c r="AG148" i="10"/>
  <c r="V148" i="10"/>
  <c r="N148" i="10"/>
  <c r="AG147" i="10"/>
  <c r="V147" i="10"/>
  <c r="N147" i="10"/>
  <c r="AG146" i="10"/>
  <c r="V146" i="10"/>
  <c r="N146" i="10"/>
  <c r="AG145" i="10"/>
  <c r="V145" i="10"/>
  <c r="N145" i="10"/>
  <c r="AG144" i="10"/>
  <c r="V144" i="10"/>
  <c r="N144" i="10"/>
  <c r="AG143" i="10"/>
  <c r="V143" i="10"/>
  <c r="N143" i="10"/>
  <c r="AG142" i="10"/>
  <c r="V142" i="10"/>
  <c r="N142" i="10"/>
  <c r="AG141" i="10"/>
  <c r="V141" i="10"/>
  <c r="N141" i="10"/>
  <c r="AG140" i="10"/>
  <c r="V140" i="10"/>
  <c r="N140" i="10"/>
  <c r="AG139" i="10"/>
  <c r="V139" i="10"/>
  <c r="N139" i="10"/>
  <c r="AG138" i="10"/>
  <c r="V138" i="10"/>
  <c r="N138" i="10"/>
  <c r="AG137" i="10"/>
  <c r="V137" i="10"/>
  <c r="N137" i="10"/>
  <c r="AG136" i="10"/>
  <c r="V136" i="10"/>
  <c r="N136" i="10"/>
  <c r="AG135" i="10"/>
  <c r="V135" i="10"/>
  <c r="N135" i="10"/>
  <c r="AG134" i="10"/>
  <c r="V134" i="10"/>
  <c r="N134" i="10"/>
  <c r="AG133" i="10"/>
  <c r="V133" i="10"/>
  <c r="N133" i="10"/>
  <c r="AG132" i="10"/>
  <c r="V132" i="10"/>
  <c r="N132" i="10"/>
  <c r="AG131" i="10"/>
  <c r="V131" i="10"/>
  <c r="N131" i="10"/>
  <c r="AG130" i="10"/>
  <c r="V130" i="10"/>
  <c r="N130" i="10"/>
  <c r="AG129" i="10"/>
  <c r="V129" i="10"/>
  <c r="N129" i="10"/>
  <c r="AG128" i="10"/>
  <c r="V128" i="10"/>
  <c r="N128" i="10"/>
  <c r="AG127" i="10"/>
  <c r="V127" i="10"/>
  <c r="N127" i="10"/>
  <c r="AG126" i="10"/>
  <c r="V126" i="10"/>
  <c r="N126" i="10"/>
  <c r="AG125" i="10"/>
  <c r="V125" i="10"/>
  <c r="N125" i="10"/>
  <c r="AG124" i="10"/>
  <c r="V124" i="10"/>
  <c r="N124" i="10"/>
  <c r="AG123" i="10"/>
  <c r="V123" i="10"/>
  <c r="N123" i="10"/>
  <c r="AG122" i="10"/>
  <c r="V122" i="10"/>
  <c r="N122" i="10"/>
  <c r="AG121" i="10"/>
  <c r="V121" i="10"/>
  <c r="N121" i="10"/>
  <c r="AG120" i="10"/>
  <c r="V120" i="10"/>
  <c r="N120" i="10"/>
  <c r="AG119" i="10"/>
  <c r="V119" i="10"/>
  <c r="N119" i="10"/>
  <c r="AG118" i="10"/>
  <c r="V118" i="10"/>
  <c r="N118" i="10"/>
  <c r="AG117" i="10"/>
  <c r="V117" i="10"/>
  <c r="N117" i="10"/>
  <c r="AG116" i="10"/>
  <c r="V116" i="10"/>
  <c r="N116" i="10"/>
  <c r="AG115" i="10"/>
  <c r="V115" i="10"/>
  <c r="N115" i="10"/>
  <c r="AG114" i="10"/>
  <c r="V114" i="10"/>
  <c r="N114" i="10"/>
  <c r="AG113" i="10"/>
  <c r="V113" i="10"/>
  <c r="N113" i="10"/>
  <c r="AG112" i="10"/>
  <c r="V112" i="10"/>
  <c r="N112" i="10"/>
  <c r="AG111" i="10"/>
  <c r="V111" i="10"/>
  <c r="N111" i="10"/>
  <c r="AG110" i="10"/>
  <c r="V110" i="10"/>
  <c r="N110" i="10"/>
  <c r="AG109" i="10"/>
  <c r="V109" i="10"/>
  <c r="N109" i="10"/>
  <c r="AG108" i="10"/>
  <c r="V108" i="10"/>
  <c r="N108" i="10"/>
  <c r="AG107" i="10"/>
  <c r="V107" i="10"/>
  <c r="N107" i="10"/>
  <c r="AG106" i="10"/>
  <c r="V106" i="10"/>
  <c r="N106" i="10"/>
  <c r="AG105" i="10"/>
  <c r="V105" i="10"/>
  <c r="N105" i="10"/>
  <c r="AG104" i="10"/>
  <c r="V104" i="10"/>
  <c r="N104" i="10"/>
  <c r="AG103" i="10"/>
  <c r="V103" i="10"/>
  <c r="N103" i="10"/>
  <c r="AG102" i="10"/>
  <c r="V102" i="10"/>
  <c r="N102" i="10"/>
  <c r="AG101" i="10"/>
  <c r="V101" i="10"/>
  <c r="N101" i="10"/>
  <c r="AG100" i="10"/>
  <c r="V100" i="10"/>
  <c r="N100" i="10"/>
  <c r="AG99" i="10"/>
  <c r="V99" i="10"/>
  <c r="N99" i="10"/>
  <c r="AG98" i="10"/>
  <c r="V98" i="10"/>
  <c r="N98" i="10"/>
  <c r="AG97" i="10"/>
  <c r="V97" i="10"/>
  <c r="N97" i="10"/>
  <c r="AG96" i="10"/>
  <c r="V96" i="10"/>
  <c r="N96" i="10"/>
  <c r="AG95" i="10"/>
  <c r="V95" i="10"/>
  <c r="N95" i="10"/>
  <c r="AG94" i="10"/>
  <c r="V94" i="10"/>
  <c r="N94" i="10"/>
  <c r="AG93" i="10"/>
  <c r="V93" i="10"/>
  <c r="N93" i="10"/>
  <c r="AG92" i="10"/>
  <c r="V92" i="10"/>
  <c r="N92" i="10"/>
  <c r="AG91" i="10"/>
  <c r="V91" i="10"/>
  <c r="N91" i="10"/>
  <c r="AG90" i="10"/>
  <c r="V90" i="10"/>
  <c r="N90" i="10"/>
  <c r="AG89" i="10"/>
  <c r="V89" i="10"/>
  <c r="N89" i="10"/>
  <c r="AG88" i="10"/>
  <c r="V88" i="10"/>
  <c r="N88" i="10"/>
  <c r="AG87" i="10"/>
  <c r="V87" i="10"/>
  <c r="N87" i="10"/>
  <c r="AG86" i="10"/>
  <c r="V86" i="10"/>
  <c r="N86" i="10"/>
  <c r="AG85" i="10"/>
  <c r="V85" i="10"/>
  <c r="N85" i="10"/>
  <c r="AG84" i="10"/>
  <c r="V84" i="10"/>
  <c r="N84" i="10"/>
  <c r="AG83" i="10"/>
  <c r="V83" i="10"/>
  <c r="N83" i="10"/>
  <c r="AG82" i="10"/>
  <c r="V82" i="10"/>
  <c r="N82" i="10"/>
  <c r="AG81" i="10"/>
  <c r="V81" i="10"/>
  <c r="N81" i="10"/>
  <c r="AG80" i="10"/>
  <c r="V80" i="10"/>
  <c r="N80" i="10"/>
  <c r="AG79" i="10"/>
  <c r="V79" i="10"/>
  <c r="N79" i="10"/>
  <c r="AG78" i="10"/>
  <c r="V78" i="10"/>
  <c r="N78" i="10"/>
  <c r="AG77" i="10"/>
  <c r="V77" i="10"/>
  <c r="N77" i="10"/>
  <c r="AG76" i="10"/>
  <c r="V76" i="10"/>
  <c r="N76" i="10"/>
  <c r="AG75" i="10"/>
  <c r="V75" i="10"/>
  <c r="N75" i="10"/>
  <c r="AG74" i="10"/>
  <c r="V74" i="10"/>
  <c r="N74" i="10"/>
  <c r="AG73" i="10"/>
  <c r="V73" i="10"/>
  <c r="N73" i="10"/>
  <c r="AG72" i="10"/>
  <c r="V72" i="10"/>
  <c r="N72" i="10"/>
  <c r="AG71" i="10"/>
  <c r="V71" i="10"/>
  <c r="N71" i="10"/>
  <c r="AG70" i="10"/>
  <c r="V70" i="10"/>
  <c r="N70" i="10"/>
  <c r="AG69" i="10"/>
  <c r="V69" i="10"/>
  <c r="N69" i="10"/>
  <c r="AG68" i="10"/>
  <c r="V68" i="10"/>
  <c r="N68" i="10"/>
  <c r="AG67" i="10"/>
  <c r="V67" i="10"/>
  <c r="N67" i="10"/>
  <c r="AG66" i="10"/>
  <c r="V66" i="10"/>
  <c r="N66" i="10"/>
  <c r="AG65" i="10"/>
  <c r="V65" i="10"/>
  <c r="N65" i="10"/>
  <c r="AG64" i="10"/>
  <c r="V64" i="10"/>
  <c r="N64" i="10"/>
  <c r="AG63" i="10"/>
  <c r="V63" i="10"/>
  <c r="N63" i="10"/>
  <c r="AG62" i="10"/>
  <c r="V62" i="10"/>
  <c r="N62" i="10"/>
  <c r="AG61" i="10"/>
  <c r="V61" i="10"/>
  <c r="N61" i="10"/>
  <c r="AG60" i="10"/>
  <c r="V60" i="10"/>
  <c r="N60" i="10"/>
  <c r="AG59" i="10"/>
  <c r="V59" i="10"/>
  <c r="N59" i="10"/>
  <c r="AG58" i="10"/>
  <c r="V58" i="10"/>
  <c r="N58" i="10"/>
  <c r="AG57" i="10"/>
  <c r="V57" i="10"/>
  <c r="N57" i="10"/>
  <c r="AG56" i="10"/>
  <c r="V56" i="10"/>
  <c r="N56" i="10"/>
  <c r="AG55" i="10"/>
  <c r="V55" i="10"/>
  <c r="N55" i="10"/>
  <c r="AG54" i="10"/>
  <c r="V54" i="10"/>
  <c r="N54" i="10"/>
  <c r="AG53" i="10"/>
  <c r="V53" i="10"/>
  <c r="N53" i="10"/>
  <c r="AG52" i="10"/>
  <c r="V52" i="10"/>
  <c r="N52" i="10"/>
  <c r="AG51" i="10"/>
  <c r="V51" i="10"/>
  <c r="N51" i="10"/>
  <c r="AG50" i="10"/>
  <c r="V50" i="10"/>
  <c r="N50" i="10"/>
  <c r="AG49" i="10"/>
  <c r="V49" i="10"/>
  <c r="N49" i="10"/>
  <c r="AG48" i="10"/>
  <c r="V48" i="10"/>
  <c r="N48" i="10"/>
  <c r="AG47" i="10"/>
  <c r="V47" i="10"/>
  <c r="N47" i="10"/>
  <c r="AG46" i="10"/>
  <c r="V46" i="10"/>
  <c r="N46" i="10"/>
  <c r="AG45" i="10"/>
  <c r="V45" i="10"/>
  <c r="N45" i="10"/>
  <c r="AG44" i="10"/>
  <c r="V44" i="10"/>
  <c r="N44" i="10"/>
  <c r="AG43" i="10"/>
  <c r="V43" i="10"/>
  <c r="N43" i="10"/>
  <c r="AG42" i="10"/>
  <c r="V42" i="10"/>
  <c r="N42" i="10"/>
  <c r="AG41" i="10"/>
  <c r="V41" i="10"/>
  <c r="N41" i="10"/>
  <c r="AG40" i="10"/>
  <c r="V40" i="10"/>
  <c r="N40" i="10"/>
  <c r="AG39" i="10"/>
  <c r="V39" i="10"/>
  <c r="N39" i="10"/>
  <c r="AG38" i="10"/>
  <c r="V38" i="10"/>
  <c r="N38" i="10"/>
  <c r="AG37" i="10"/>
  <c r="V37" i="10"/>
  <c r="N37" i="10"/>
  <c r="AG36" i="10"/>
  <c r="V36" i="10"/>
  <c r="N36" i="10"/>
  <c r="AG35" i="10"/>
  <c r="V35" i="10"/>
  <c r="N35" i="10"/>
  <c r="AG34" i="10"/>
  <c r="V34" i="10"/>
  <c r="N34" i="10"/>
  <c r="AG33" i="10"/>
  <c r="V33" i="10"/>
  <c r="N33" i="10"/>
  <c r="AG32" i="10"/>
  <c r="V32" i="10"/>
  <c r="N32" i="10"/>
  <c r="AG31" i="10"/>
  <c r="V31" i="10"/>
  <c r="N31" i="10"/>
  <c r="AG30" i="10"/>
  <c r="V30" i="10"/>
  <c r="N30" i="10"/>
  <c r="AG29" i="10"/>
  <c r="V29" i="10"/>
  <c r="N29" i="10"/>
  <c r="AG28" i="10"/>
  <c r="V28" i="10"/>
  <c r="N28" i="10"/>
  <c r="AG27" i="10"/>
  <c r="V27" i="10"/>
  <c r="N27" i="10"/>
  <c r="AG26" i="10"/>
  <c r="V26" i="10"/>
  <c r="N26" i="10"/>
  <c r="AG25" i="10"/>
  <c r="V25" i="10"/>
  <c r="N25" i="10"/>
  <c r="AG24" i="10"/>
  <c r="V24" i="10"/>
  <c r="N24" i="10"/>
  <c r="AG23" i="10"/>
  <c r="V23" i="10"/>
  <c r="N23" i="10"/>
  <c r="AG22" i="10"/>
  <c r="V22" i="10"/>
  <c r="N22" i="10"/>
  <c r="AG21" i="10"/>
  <c r="V21" i="10"/>
  <c r="N21" i="10"/>
  <c r="AG20" i="10"/>
  <c r="V20" i="10"/>
  <c r="N20" i="10"/>
  <c r="AG19" i="10"/>
  <c r="V19" i="10"/>
  <c r="N19" i="10"/>
  <c r="AG18" i="10"/>
  <c r="V18" i="10"/>
  <c r="N18" i="10"/>
  <c r="AG17" i="10"/>
  <c r="V17" i="10"/>
  <c r="N17" i="10"/>
  <c r="AG16" i="10"/>
  <c r="V16" i="10"/>
  <c r="N16" i="10"/>
  <c r="AG15" i="10"/>
  <c r="V15" i="10"/>
  <c r="N15" i="10"/>
  <c r="AG14" i="10"/>
  <c r="V14" i="10"/>
  <c r="N14" i="10"/>
  <c r="AG13" i="10"/>
  <c r="V13" i="10"/>
  <c r="N13" i="10"/>
  <c r="AG12" i="10"/>
  <c r="V12" i="10"/>
  <c r="N12" i="10"/>
  <c r="AG11" i="10"/>
  <c r="V11" i="10"/>
  <c r="N11" i="10"/>
  <c r="AG10" i="10"/>
  <c r="V10" i="10"/>
  <c r="N10" i="10"/>
  <c r="AG9" i="10"/>
  <c r="V9" i="10"/>
  <c r="N9" i="10"/>
  <c r="AG8" i="10"/>
  <c r="V8" i="10"/>
  <c r="N8" i="10"/>
  <c r="AG7" i="10"/>
  <c r="V7" i="10"/>
  <c r="N7" i="10"/>
  <c r="AG6" i="10"/>
  <c r="V6" i="10"/>
  <c r="N6" i="10"/>
  <c r="AG5" i="10"/>
  <c r="V5" i="10"/>
  <c r="N5" i="10"/>
  <c r="AG4" i="10"/>
  <c r="V4" i="10"/>
  <c r="N4" i="10"/>
  <c r="AG3" i="10"/>
  <c r="V3" i="10"/>
  <c r="N3" i="10"/>
  <c r="AG2" i="10"/>
  <c r="V2" i="10"/>
  <c r="N2" i="10"/>
  <c r="B21" i="9" a="1"/>
  <c r="B21" i="9" s="1"/>
  <c r="B29" i="9"/>
  <c r="B25" i="9"/>
  <c r="B24" i="9"/>
  <c r="B5" i="9"/>
  <c r="B4" i="9"/>
  <c r="AO7" i="6"/>
  <c r="AO27" i="6"/>
  <c r="AO28" i="6"/>
  <c r="AO33" i="6"/>
  <c r="AO34" i="6"/>
  <c r="AO36" i="6"/>
  <c r="AO38" i="6"/>
  <c r="AO45" i="6"/>
  <c r="AO50" i="6"/>
  <c r="AO58" i="6"/>
  <c r="AO67" i="6"/>
  <c r="AO74" i="6"/>
  <c r="AO83" i="6"/>
  <c r="AO85" i="6"/>
  <c r="AO88" i="6"/>
  <c r="AO89" i="6"/>
  <c r="AO91" i="6"/>
  <c r="AO92" i="6"/>
  <c r="AO95" i="6"/>
  <c r="AO100" i="6"/>
  <c r="AO102" i="6"/>
  <c r="AO105" i="6"/>
  <c r="AO107" i="6"/>
  <c r="AO108" i="6"/>
  <c r="AO127" i="6"/>
  <c r="AO130" i="6"/>
  <c r="AO133" i="6"/>
  <c r="AO134" i="6"/>
  <c r="AO137" i="6"/>
  <c r="AO138" i="6"/>
  <c r="AO143" i="6"/>
  <c r="AO144" i="6"/>
  <c r="AO145" i="6"/>
  <c r="AO146" i="6"/>
  <c r="AO147" i="6"/>
  <c r="AO148" i="6"/>
  <c r="AO155" i="6"/>
  <c r="AO157" i="6"/>
  <c r="AO159" i="6"/>
  <c r="AO161" i="6"/>
  <c r="AO164" i="6"/>
  <c r="AO165" i="6"/>
  <c r="AO170" i="6"/>
  <c r="AO180" i="6"/>
  <c r="AO187" i="6"/>
  <c r="AO188" i="6"/>
  <c r="AO190" i="6"/>
  <c r="AO192" i="6"/>
  <c r="AO193" i="6"/>
  <c r="AO195" i="6"/>
  <c r="AO198" i="6"/>
  <c r="AO202" i="6"/>
  <c r="AO206" i="6"/>
  <c r="AO208" i="6"/>
  <c r="AO209" i="6"/>
  <c r="AO227" i="6"/>
  <c r="AO234" i="6"/>
  <c r="AO237" i="6"/>
  <c r="AO244" i="6"/>
  <c r="AO245" i="6"/>
  <c r="AO249" i="6"/>
  <c r="AO252" i="6"/>
  <c r="AO260" i="6"/>
  <c r="AO262" i="6"/>
  <c r="AO270" i="6"/>
  <c r="AO271" i="6"/>
  <c r="AO275" i="6"/>
  <c r="AO278" i="6"/>
  <c r="AO279" i="6"/>
  <c r="AO290" i="6"/>
  <c r="AO294" i="6"/>
  <c r="L2" i="6"/>
  <c r="N2" i="6"/>
  <c r="T2" i="6"/>
  <c r="V2" i="6"/>
  <c r="AB2" i="6"/>
  <c r="AE2" i="6"/>
  <c r="AG2" i="6"/>
  <c r="L3" i="6"/>
  <c r="N3" i="6"/>
  <c r="T3" i="6"/>
  <c r="V3" i="6"/>
  <c r="AB3" i="6"/>
  <c r="AO3" i="6" s="1"/>
  <c r="AE3" i="6"/>
  <c r="AG3" i="6"/>
  <c r="L4" i="6"/>
  <c r="N4" i="6"/>
  <c r="T4" i="6"/>
  <c r="V4" i="6"/>
  <c r="AB4" i="6"/>
  <c r="AO4" i="6" s="1"/>
  <c r="AE4" i="6"/>
  <c r="AG4" i="6"/>
  <c r="L5" i="6"/>
  <c r="N5" i="6"/>
  <c r="T5" i="6"/>
  <c r="V5" i="6"/>
  <c r="AB5" i="6"/>
  <c r="AO5" i="6" s="1"/>
  <c r="AE5" i="6"/>
  <c r="AG5" i="6"/>
  <c r="L6" i="6"/>
  <c r="N6" i="6"/>
  <c r="T6" i="6"/>
  <c r="V6" i="6"/>
  <c r="AB6" i="6"/>
  <c r="AO6" i="6" s="1"/>
  <c r="AE6" i="6"/>
  <c r="AG6" i="6"/>
  <c r="L7" i="6"/>
  <c r="N7" i="6"/>
  <c r="T7" i="6"/>
  <c r="V7" i="6"/>
  <c r="AB7" i="6"/>
  <c r="AE7" i="6"/>
  <c r="AG7" i="6"/>
  <c r="L8" i="6"/>
  <c r="N8" i="6"/>
  <c r="T8" i="6"/>
  <c r="V8" i="6"/>
  <c r="AB8" i="6"/>
  <c r="AO8" i="6" s="1"/>
  <c r="AE8" i="6"/>
  <c r="AG8" i="6"/>
  <c r="L9" i="6"/>
  <c r="N9" i="6"/>
  <c r="T9" i="6"/>
  <c r="V9" i="6"/>
  <c r="AB9" i="6"/>
  <c r="AO9" i="6" s="1"/>
  <c r="AE9" i="6"/>
  <c r="AG9" i="6"/>
  <c r="L10" i="6"/>
  <c r="N10" i="6"/>
  <c r="T10" i="6"/>
  <c r="V10" i="6"/>
  <c r="AB10" i="6"/>
  <c r="AO10" i="6" s="1"/>
  <c r="AE10" i="6"/>
  <c r="AG10" i="6"/>
  <c r="L11" i="6"/>
  <c r="N11" i="6"/>
  <c r="T11" i="6"/>
  <c r="V11" i="6"/>
  <c r="AB11" i="6"/>
  <c r="AO11" i="6" s="1"/>
  <c r="AE11" i="6"/>
  <c r="AG11" i="6"/>
  <c r="L12" i="6"/>
  <c r="N12" i="6"/>
  <c r="T12" i="6"/>
  <c r="V12" i="6"/>
  <c r="AB12" i="6"/>
  <c r="AO12" i="6" s="1"/>
  <c r="AE12" i="6"/>
  <c r="AG12" i="6"/>
  <c r="L13" i="6"/>
  <c r="N13" i="6"/>
  <c r="T13" i="6"/>
  <c r="V13" i="6"/>
  <c r="AB13" i="6"/>
  <c r="AO13" i="6" s="1"/>
  <c r="AE13" i="6"/>
  <c r="AG13" i="6"/>
  <c r="L14" i="6"/>
  <c r="N14" i="6"/>
  <c r="T14" i="6"/>
  <c r="V14" i="6"/>
  <c r="AB14" i="6"/>
  <c r="AO14" i="6" s="1"/>
  <c r="AE14" i="6"/>
  <c r="AG14" i="6"/>
  <c r="L15" i="6"/>
  <c r="N15" i="6"/>
  <c r="T15" i="6"/>
  <c r="V15" i="6"/>
  <c r="AB15" i="6"/>
  <c r="AO15" i="6" s="1"/>
  <c r="AE15" i="6"/>
  <c r="AG15" i="6"/>
  <c r="L16" i="6"/>
  <c r="N16" i="6"/>
  <c r="T16" i="6"/>
  <c r="V16" i="6"/>
  <c r="AB16" i="6"/>
  <c r="AO16" i="6" s="1"/>
  <c r="AE16" i="6"/>
  <c r="AG16" i="6"/>
  <c r="L17" i="6"/>
  <c r="N17" i="6"/>
  <c r="T17" i="6"/>
  <c r="V17" i="6"/>
  <c r="AB17" i="6"/>
  <c r="AO17" i="6" s="1"/>
  <c r="AE17" i="6"/>
  <c r="AG17" i="6"/>
  <c r="L18" i="6"/>
  <c r="N18" i="6"/>
  <c r="T18" i="6"/>
  <c r="V18" i="6"/>
  <c r="AB18" i="6"/>
  <c r="AO18" i="6" s="1"/>
  <c r="AE18" i="6"/>
  <c r="AG18" i="6"/>
  <c r="L19" i="6"/>
  <c r="N19" i="6"/>
  <c r="T19" i="6"/>
  <c r="V19" i="6"/>
  <c r="AB19" i="6"/>
  <c r="AO19" i="6" s="1"/>
  <c r="AE19" i="6"/>
  <c r="AG19" i="6"/>
  <c r="L20" i="6"/>
  <c r="N20" i="6"/>
  <c r="T20" i="6"/>
  <c r="AO20" i="6" s="1"/>
  <c r="V20" i="6"/>
  <c r="AB20" i="6"/>
  <c r="AE20" i="6"/>
  <c r="AG20" i="6"/>
  <c r="L21" i="6"/>
  <c r="N21" i="6"/>
  <c r="T21" i="6"/>
  <c r="V21" i="6"/>
  <c r="AB21" i="6"/>
  <c r="AO21" i="6" s="1"/>
  <c r="AE21" i="6"/>
  <c r="AG21" i="6"/>
  <c r="L22" i="6"/>
  <c r="N22" i="6"/>
  <c r="T22" i="6"/>
  <c r="V22" i="6"/>
  <c r="AB22" i="6"/>
  <c r="AO22" i="6" s="1"/>
  <c r="AE22" i="6"/>
  <c r="AG22" i="6"/>
  <c r="L23" i="6"/>
  <c r="N23" i="6"/>
  <c r="T23" i="6"/>
  <c r="V23" i="6"/>
  <c r="AB23" i="6"/>
  <c r="AO23" i="6" s="1"/>
  <c r="AE23" i="6"/>
  <c r="AG23" i="6"/>
  <c r="L24" i="6"/>
  <c r="N24" i="6"/>
  <c r="T24" i="6"/>
  <c r="V24" i="6"/>
  <c r="AB24" i="6"/>
  <c r="AO24" i="6" s="1"/>
  <c r="AE24" i="6"/>
  <c r="AG24" i="6"/>
  <c r="L25" i="6"/>
  <c r="N25" i="6"/>
  <c r="T25" i="6"/>
  <c r="V25" i="6"/>
  <c r="AB25" i="6"/>
  <c r="AO25" i="6" s="1"/>
  <c r="AE25" i="6"/>
  <c r="AG25" i="6"/>
  <c r="L26" i="6"/>
  <c r="N26" i="6"/>
  <c r="T26" i="6"/>
  <c r="V26" i="6"/>
  <c r="AB26" i="6"/>
  <c r="AO26" i="6" s="1"/>
  <c r="AE26" i="6"/>
  <c r="AG26" i="6"/>
  <c r="L27" i="6"/>
  <c r="N27" i="6"/>
  <c r="T27" i="6"/>
  <c r="V27" i="6"/>
  <c r="AB27" i="6"/>
  <c r="AE27" i="6"/>
  <c r="AG27" i="6"/>
  <c r="L28" i="6"/>
  <c r="N28" i="6"/>
  <c r="T28" i="6"/>
  <c r="V28" i="6"/>
  <c r="AB28" i="6"/>
  <c r="AE28" i="6"/>
  <c r="AG28" i="6"/>
  <c r="L29" i="6"/>
  <c r="N29" i="6"/>
  <c r="T29" i="6"/>
  <c r="V29" i="6"/>
  <c r="AB29" i="6"/>
  <c r="AO29" i="6" s="1"/>
  <c r="AE29" i="6"/>
  <c r="AG29" i="6"/>
  <c r="L30" i="6"/>
  <c r="N30" i="6"/>
  <c r="T30" i="6"/>
  <c r="V30" i="6"/>
  <c r="AB30" i="6"/>
  <c r="AO30" i="6" s="1"/>
  <c r="AE30" i="6"/>
  <c r="AG30" i="6"/>
  <c r="L31" i="6"/>
  <c r="N31" i="6"/>
  <c r="T31" i="6"/>
  <c r="V31" i="6"/>
  <c r="AB31" i="6"/>
  <c r="AO31" i="6" s="1"/>
  <c r="AE31" i="6"/>
  <c r="AG31" i="6"/>
  <c r="L32" i="6"/>
  <c r="N32" i="6"/>
  <c r="T32" i="6"/>
  <c r="V32" i="6"/>
  <c r="AB32" i="6"/>
  <c r="AO32" i="6" s="1"/>
  <c r="AE32" i="6"/>
  <c r="AG32" i="6"/>
  <c r="L33" i="6"/>
  <c r="N33" i="6"/>
  <c r="T33" i="6"/>
  <c r="V33" i="6"/>
  <c r="AB33" i="6"/>
  <c r="AE33" i="6"/>
  <c r="AG33" i="6"/>
  <c r="L34" i="6"/>
  <c r="N34" i="6"/>
  <c r="T34" i="6"/>
  <c r="V34" i="6"/>
  <c r="AB34" i="6"/>
  <c r="AE34" i="6"/>
  <c r="AG34" i="6"/>
  <c r="L35" i="6"/>
  <c r="N35" i="6"/>
  <c r="T35" i="6"/>
  <c r="V35" i="6"/>
  <c r="AB35" i="6"/>
  <c r="AO35" i="6" s="1"/>
  <c r="AE35" i="6"/>
  <c r="AG35" i="6"/>
  <c r="L36" i="6"/>
  <c r="N36" i="6"/>
  <c r="T36" i="6"/>
  <c r="V36" i="6"/>
  <c r="AB36" i="6"/>
  <c r="AE36" i="6"/>
  <c r="AG36" i="6"/>
  <c r="L37" i="6"/>
  <c r="N37" i="6"/>
  <c r="T37" i="6"/>
  <c r="V37" i="6"/>
  <c r="AB37" i="6"/>
  <c r="AO37" i="6" s="1"/>
  <c r="AE37" i="6"/>
  <c r="AG37" i="6"/>
  <c r="L38" i="6"/>
  <c r="N38" i="6"/>
  <c r="T38" i="6"/>
  <c r="V38" i="6"/>
  <c r="AB38" i="6"/>
  <c r="AE38" i="6"/>
  <c r="AG38" i="6"/>
  <c r="L39" i="6"/>
  <c r="N39" i="6"/>
  <c r="T39" i="6"/>
  <c r="V39" i="6"/>
  <c r="AB39" i="6"/>
  <c r="AO39" i="6" s="1"/>
  <c r="AE39" i="6"/>
  <c r="AG39" i="6"/>
  <c r="L40" i="6"/>
  <c r="N40" i="6"/>
  <c r="T40" i="6"/>
  <c r="V40" i="6"/>
  <c r="AB40" i="6"/>
  <c r="AO40" i="6" s="1"/>
  <c r="AE40" i="6"/>
  <c r="AG40" i="6"/>
  <c r="L41" i="6"/>
  <c r="N41" i="6"/>
  <c r="T41" i="6"/>
  <c r="V41" i="6"/>
  <c r="AB41" i="6"/>
  <c r="AO41" i="6" s="1"/>
  <c r="AE41" i="6"/>
  <c r="AG41" i="6"/>
  <c r="L42" i="6"/>
  <c r="N42" i="6"/>
  <c r="T42" i="6"/>
  <c r="V42" i="6"/>
  <c r="AB42" i="6"/>
  <c r="AO42" i="6" s="1"/>
  <c r="AE42" i="6"/>
  <c r="AG42" i="6"/>
  <c r="L43" i="6"/>
  <c r="N43" i="6"/>
  <c r="T43" i="6"/>
  <c r="V43" i="6"/>
  <c r="AB43" i="6"/>
  <c r="AO43" i="6" s="1"/>
  <c r="AE43" i="6"/>
  <c r="AG43" i="6"/>
  <c r="L44" i="6"/>
  <c r="N44" i="6"/>
  <c r="T44" i="6"/>
  <c r="V44" i="6"/>
  <c r="AB44" i="6"/>
  <c r="AO44" i="6" s="1"/>
  <c r="AE44" i="6"/>
  <c r="AG44" i="6"/>
  <c r="L45" i="6"/>
  <c r="N45" i="6"/>
  <c r="T45" i="6"/>
  <c r="V45" i="6"/>
  <c r="AB45" i="6"/>
  <c r="AE45" i="6"/>
  <c r="AG45" i="6"/>
  <c r="L46" i="6"/>
  <c r="N46" i="6"/>
  <c r="T46" i="6"/>
  <c r="V46" i="6"/>
  <c r="AB46" i="6"/>
  <c r="AO46" i="6" s="1"/>
  <c r="AE46" i="6"/>
  <c r="AG46" i="6"/>
  <c r="L47" i="6"/>
  <c r="N47" i="6"/>
  <c r="T47" i="6"/>
  <c r="V47" i="6"/>
  <c r="AB47" i="6"/>
  <c r="AO47" i="6" s="1"/>
  <c r="AE47" i="6"/>
  <c r="AG47" i="6"/>
  <c r="L48" i="6"/>
  <c r="N48" i="6"/>
  <c r="T48" i="6"/>
  <c r="V48" i="6"/>
  <c r="AB48" i="6"/>
  <c r="AO48" i="6" s="1"/>
  <c r="AE48" i="6"/>
  <c r="AG48" i="6"/>
  <c r="L49" i="6"/>
  <c r="N49" i="6"/>
  <c r="T49" i="6"/>
  <c r="V49" i="6"/>
  <c r="AB49" i="6"/>
  <c r="AO49" i="6" s="1"/>
  <c r="AE49" i="6"/>
  <c r="AG49" i="6"/>
  <c r="L50" i="6"/>
  <c r="N50" i="6"/>
  <c r="T50" i="6"/>
  <c r="V50" i="6"/>
  <c r="AB50" i="6"/>
  <c r="AE50" i="6"/>
  <c r="AG50" i="6"/>
  <c r="L51" i="6"/>
  <c r="N51" i="6"/>
  <c r="T51" i="6"/>
  <c r="V51" i="6"/>
  <c r="AB51" i="6"/>
  <c r="AO51" i="6" s="1"/>
  <c r="AE51" i="6"/>
  <c r="AG51" i="6"/>
  <c r="L52" i="6"/>
  <c r="N52" i="6"/>
  <c r="T52" i="6"/>
  <c r="V52" i="6"/>
  <c r="AB52" i="6"/>
  <c r="AO52" i="6" s="1"/>
  <c r="AE52" i="6"/>
  <c r="AG52" i="6"/>
  <c r="L53" i="6"/>
  <c r="N53" i="6"/>
  <c r="T53" i="6"/>
  <c r="V53" i="6"/>
  <c r="AB53" i="6"/>
  <c r="AO53" i="6" s="1"/>
  <c r="AE53" i="6"/>
  <c r="AG53" i="6"/>
  <c r="L54" i="6"/>
  <c r="N54" i="6"/>
  <c r="T54" i="6"/>
  <c r="V54" i="6"/>
  <c r="AB54" i="6"/>
  <c r="AO54" i="6" s="1"/>
  <c r="AE54" i="6"/>
  <c r="AG54" i="6"/>
  <c r="L55" i="6"/>
  <c r="N55" i="6"/>
  <c r="T55" i="6"/>
  <c r="V55" i="6"/>
  <c r="AB55" i="6"/>
  <c r="AO55" i="6" s="1"/>
  <c r="AE55" i="6"/>
  <c r="AG55" i="6"/>
  <c r="L56" i="6"/>
  <c r="N56" i="6"/>
  <c r="T56" i="6"/>
  <c r="V56" i="6"/>
  <c r="AB56" i="6"/>
  <c r="AO56" i="6" s="1"/>
  <c r="AE56" i="6"/>
  <c r="AG56" i="6"/>
  <c r="L57" i="6"/>
  <c r="N57" i="6"/>
  <c r="T57" i="6"/>
  <c r="V57" i="6"/>
  <c r="AB57" i="6"/>
  <c r="AO57" i="6" s="1"/>
  <c r="AE57" i="6"/>
  <c r="AG57" i="6"/>
  <c r="L58" i="6"/>
  <c r="N58" i="6"/>
  <c r="T58" i="6"/>
  <c r="V58" i="6"/>
  <c r="AB58" i="6"/>
  <c r="AE58" i="6"/>
  <c r="AG58" i="6"/>
  <c r="L59" i="6"/>
  <c r="N59" i="6"/>
  <c r="T59" i="6"/>
  <c r="V59" i="6"/>
  <c r="AB59" i="6"/>
  <c r="AO59" i="6" s="1"/>
  <c r="AE59" i="6"/>
  <c r="AG59" i="6"/>
  <c r="L60" i="6"/>
  <c r="N60" i="6"/>
  <c r="T60" i="6"/>
  <c r="V60" i="6"/>
  <c r="AB60" i="6"/>
  <c r="AO60" i="6" s="1"/>
  <c r="AE60" i="6"/>
  <c r="AG60" i="6"/>
  <c r="L61" i="6"/>
  <c r="N61" i="6"/>
  <c r="T61" i="6"/>
  <c r="V61" i="6"/>
  <c r="AB61" i="6"/>
  <c r="AO61" i="6" s="1"/>
  <c r="AE61" i="6"/>
  <c r="AG61" i="6"/>
  <c r="L62" i="6"/>
  <c r="N62" i="6"/>
  <c r="T62" i="6"/>
  <c r="V62" i="6"/>
  <c r="AB62" i="6"/>
  <c r="AO62" i="6" s="1"/>
  <c r="AE62" i="6"/>
  <c r="AG62" i="6"/>
  <c r="L63" i="6"/>
  <c r="N63" i="6"/>
  <c r="T63" i="6"/>
  <c r="V63" i="6"/>
  <c r="AB63" i="6"/>
  <c r="AO63" i="6" s="1"/>
  <c r="AE63" i="6"/>
  <c r="AG63" i="6"/>
  <c r="L64" i="6"/>
  <c r="N64" i="6"/>
  <c r="T64" i="6"/>
  <c r="V64" i="6"/>
  <c r="AB64" i="6"/>
  <c r="AO64" i="6" s="1"/>
  <c r="AE64" i="6"/>
  <c r="AG64" i="6"/>
  <c r="L65" i="6"/>
  <c r="N65" i="6"/>
  <c r="T65" i="6"/>
  <c r="V65" i="6"/>
  <c r="AB65" i="6"/>
  <c r="AO65" i="6" s="1"/>
  <c r="AE65" i="6"/>
  <c r="AG65" i="6"/>
  <c r="L66" i="6"/>
  <c r="N66" i="6"/>
  <c r="T66" i="6"/>
  <c r="V66" i="6"/>
  <c r="AB66" i="6"/>
  <c r="AO66" i="6" s="1"/>
  <c r="AE66" i="6"/>
  <c r="AG66" i="6"/>
  <c r="L67" i="6"/>
  <c r="N67" i="6"/>
  <c r="T67" i="6"/>
  <c r="V67" i="6"/>
  <c r="AB67" i="6"/>
  <c r="AE67" i="6"/>
  <c r="AG67" i="6"/>
  <c r="L68" i="6"/>
  <c r="N68" i="6"/>
  <c r="T68" i="6"/>
  <c r="V68" i="6"/>
  <c r="AB68" i="6"/>
  <c r="AO68" i="6" s="1"/>
  <c r="AE68" i="6"/>
  <c r="AG68" i="6"/>
  <c r="L69" i="6"/>
  <c r="N69" i="6"/>
  <c r="T69" i="6"/>
  <c r="V69" i="6"/>
  <c r="AB69" i="6"/>
  <c r="AO69" i="6" s="1"/>
  <c r="AE69" i="6"/>
  <c r="AG69" i="6"/>
  <c r="L70" i="6"/>
  <c r="N70" i="6"/>
  <c r="T70" i="6"/>
  <c r="V70" i="6"/>
  <c r="AB70" i="6"/>
  <c r="AO70" i="6" s="1"/>
  <c r="AE70" i="6"/>
  <c r="AG70" i="6"/>
  <c r="L71" i="6"/>
  <c r="N71" i="6"/>
  <c r="T71" i="6"/>
  <c r="V71" i="6"/>
  <c r="AB71" i="6"/>
  <c r="AO71" i="6" s="1"/>
  <c r="AE71" i="6"/>
  <c r="AG71" i="6"/>
  <c r="L72" i="6"/>
  <c r="N72" i="6"/>
  <c r="T72" i="6"/>
  <c r="V72" i="6"/>
  <c r="AB72" i="6"/>
  <c r="AO72" i="6" s="1"/>
  <c r="AE72" i="6"/>
  <c r="AG72" i="6"/>
  <c r="L73" i="6"/>
  <c r="N73" i="6"/>
  <c r="T73" i="6"/>
  <c r="V73" i="6"/>
  <c r="AB73" i="6"/>
  <c r="AO73" i="6" s="1"/>
  <c r="AE73" i="6"/>
  <c r="AG73" i="6"/>
  <c r="L74" i="6"/>
  <c r="N74" i="6"/>
  <c r="T74" i="6"/>
  <c r="V74" i="6"/>
  <c r="AB74" i="6"/>
  <c r="AE74" i="6"/>
  <c r="AG74" i="6"/>
  <c r="L75" i="6"/>
  <c r="N75" i="6"/>
  <c r="T75" i="6"/>
  <c r="V75" i="6"/>
  <c r="AB75" i="6"/>
  <c r="AO75" i="6" s="1"/>
  <c r="AE75" i="6"/>
  <c r="AG75" i="6"/>
  <c r="L76" i="6"/>
  <c r="N76" i="6"/>
  <c r="T76" i="6"/>
  <c r="V76" i="6"/>
  <c r="AB76" i="6"/>
  <c r="AO76" i="6" s="1"/>
  <c r="AE76" i="6"/>
  <c r="AG76" i="6"/>
  <c r="L77" i="6"/>
  <c r="N77" i="6"/>
  <c r="T77" i="6"/>
  <c r="V77" i="6"/>
  <c r="AB77" i="6"/>
  <c r="AO77" i="6" s="1"/>
  <c r="AE77" i="6"/>
  <c r="AG77" i="6"/>
  <c r="L78" i="6"/>
  <c r="N78" i="6"/>
  <c r="T78" i="6"/>
  <c r="V78" i="6"/>
  <c r="AB78" i="6"/>
  <c r="AO78" i="6" s="1"/>
  <c r="AE78" i="6"/>
  <c r="AG78" i="6"/>
  <c r="L79" i="6"/>
  <c r="N79" i="6"/>
  <c r="T79" i="6"/>
  <c r="V79" i="6"/>
  <c r="AB79" i="6"/>
  <c r="AO79" i="6" s="1"/>
  <c r="AE79" i="6"/>
  <c r="AG79" i="6"/>
  <c r="L80" i="6"/>
  <c r="N80" i="6"/>
  <c r="T80" i="6"/>
  <c r="V80" i="6"/>
  <c r="AB80" i="6"/>
  <c r="AO80" i="6" s="1"/>
  <c r="AE80" i="6"/>
  <c r="AG80" i="6"/>
  <c r="L81" i="6"/>
  <c r="N81" i="6"/>
  <c r="T81" i="6"/>
  <c r="V81" i="6"/>
  <c r="AB81" i="6"/>
  <c r="AO81" i="6" s="1"/>
  <c r="AE81" i="6"/>
  <c r="AG81" i="6"/>
  <c r="L82" i="6"/>
  <c r="N82" i="6"/>
  <c r="T82" i="6"/>
  <c r="V82" i="6"/>
  <c r="AB82" i="6"/>
  <c r="AO82" i="6" s="1"/>
  <c r="AE82" i="6"/>
  <c r="AG82" i="6"/>
  <c r="L83" i="6"/>
  <c r="N83" i="6"/>
  <c r="T83" i="6"/>
  <c r="V83" i="6"/>
  <c r="AB83" i="6"/>
  <c r="AE83" i="6"/>
  <c r="AG83" i="6"/>
  <c r="L84" i="6"/>
  <c r="N84" i="6"/>
  <c r="T84" i="6"/>
  <c r="V84" i="6"/>
  <c r="AB84" i="6"/>
  <c r="AO84" i="6" s="1"/>
  <c r="AE84" i="6"/>
  <c r="AG84" i="6"/>
  <c r="L85" i="6"/>
  <c r="N85" i="6"/>
  <c r="T85" i="6"/>
  <c r="V85" i="6"/>
  <c r="AB85" i="6"/>
  <c r="AE85" i="6"/>
  <c r="AG85" i="6"/>
  <c r="L86" i="6"/>
  <c r="N86" i="6"/>
  <c r="T86" i="6"/>
  <c r="V86" i="6"/>
  <c r="AB86" i="6"/>
  <c r="AO86" i="6" s="1"/>
  <c r="AE86" i="6"/>
  <c r="AG86" i="6"/>
  <c r="L87" i="6"/>
  <c r="N87" i="6"/>
  <c r="T87" i="6"/>
  <c r="V87" i="6"/>
  <c r="AB87" i="6"/>
  <c r="AO87" i="6" s="1"/>
  <c r="AE87" i="6"/>
  <c r="AG87" i="6"/>
  <c r="L88" i="6"/>
  <c r="N88" i="6"/>
  <c r="T88" i="6"/>
  <c r="V88" i="6"/>
  <c r="AB88" i="6"/>
  <c r="AE88" i="6"/>
  <c r="AG88" i="6"/>
  <c r="L89" i="6"/>
  <c r="N89" i="6"/>
  <c r="T89" i="6"/>
  <c r="V89" i="6"/>
  <c r="AB89" i="6"/>
  <c r="AE89" i="6"/>
  <c r="AG89" i="6"/>
  <c r="L90" i="6"/>
  <c r="N90" i="6"/>
  <c r="T90" i="6"/>
  <c r="V90" i="6"/>
  <c r="AB90" i="6"/>
  <c r="AO90" i="6" s="1"/>
  <c r="AE90" i="6"/>
  <c r="AG90" i="6"/>
  <c r="L91" i="6"/>
  <c r="N91" i="6"/>
  <c r="T91" i="6"/>
  <c r="V91" i="6"/>
  <c r="AB91" i="6"/>
  <c r="AE91" i="6"/>
  <c r="AG91" i="6"/>
  <c r="L92" i="6"/>
  <c r="N92" i="6"/>
  <c r="T92" i="6"/>
  <c r="V92" i="6"/>
  <c r="AB92" i="6"/>
  <c r="AE92" i="6"/>
  <c r="AG92" i="6"/>
  <c r="L93" i="6"/>
  <c r="N93" i="6"/>
  <c r="T93" i="6"/>
  <c r="V93" i="6"/>
  <c r="AB93" i="6"/>
  <c r="AO93" i="6" s="1"/>
  <c r="AE93" i="6"/>
  <c r="AG93" i="6"/>
  <c r="L94" i="6"/>
  <c r="N94" i="6"/>
  <c r="T94" i="6"/>
  <c r="V94" i="6"/>
  <c r="AB94" i="6"/>
  <c r="AO94" i="6" s="1"/>
  <c r="AE94" i="6"/>
  <c r="AG94" i="6"/>
  <c r="L95" i="6"/>
  <c r="N95" i="6"/>
  <c r="T95" i="6"/>
  <c r="V95" i="6"/>
  <c r="AB95" i="6"/>
  <c r="AE95" i="6"/>
  <c r="AG95" i="6"/>
  <c r="L96" i="6"/>
  <c r="N96" i="6"/>
  <c r="T96" i="6"/>
  <c r="V96" i="6"/>
  <c r="AB96" i="6"/>
  <c r="AO96" i="6" s="1"/>
  <c r="AE96" i="6"/>
  <c r="AG96" i="6"/>
  <c r="L97" i="6"/>
  <c r="N97" i="6"/>
  <c r="T97" i="6"/>
  <c r="V97" i="6"/>
  <c r="AB97" i="6"/>
  <c r="AO97" i="6" s="1"/>
  <c r="AE97" i="6"/>
  <c r="AG97" i="6"/>
  <c r="L98" i="6"/>
  <c r="N98" i="6"/>
  <c r="T98" i="6"/>
  <c r="V98" i="6"/>
  <c r="AB98" i="6"/>
  <c r="AO98" i="6" s="1"/>
  <c r="AE98" i="6"/>
  <c r="AG98" i="6"/>
  <c r="L99" i="6"/>
  <c r="N99" i="6"/>
  <c r="T99" i="6"/>
  <c r="V99" i="6"/>
  <c r="AB99" i="6"/>
  <c r="AO99" i="6" s="1"/>
  <c r="AE99" i="6"/>
  <c r="AG99" i="6"/>
  <c r="L100" i="6"/>
  <c r="N100" i="6"/>
  <c r="T100" i="6"/>
  <c r="V100" i="6"/>
  <c r="AB100" i="6"/>
  <c r="AE100" i="6"/>
  <c r="AG100" i="6"/>
  <c r="L101" i="6"/>
  <c r="N101" i="6"/>
  <c r="T101" i="6"/>
  <c r="V101" i="6"/>
  <c r="AB101" i="6"/>
  <c r="AO101" i="6" s="1"/>
  <c r="AE101" i="6"/>
  <c r="AG101" i="6"/>
  <c r="L102" i="6"/>
  <c r="N102" i="6"/>
  <c r="T102" i="6"/>
  <c r="V102" i="6"/>
  <c r="AB102" i="6"/>
  <c r="AE102" i="6"/>
  <c r="AG102" i="6"/>
  <c r="L103" i="6"/>
  <c r="N103" i="6"/>
  <c r="T103" i="6"/>
  <c r="V103" i="6"/>
  <c r="AB103" i="6"/>
  <c r="AO103" i="6" s="1"/>
  <c r="AE103" i="6"/>
  <c r="AG103" i="6"/>
  <c r="L104" i="6"/>
  <c r="N104" i="6"/>
  <c r="T104" i="6"/>
  <c r="V104" i="6"/>
  <c r="AB104" i="6"/>
  <c r="AO104" i="6" s="1"/>
  <c r="AE104" i="6"/>
  <c r="AG104" i="6"/>
  <c r="L105" i="6"/>
  <c r="N105" i="6"/>
  <c r="T105" i="6"/>
  <c r="V105" i="6"/>
  <c r="AB105" i="6"/>
  <c r="AE105" i="6"/>
  <c r="AG105" i="6"/>
  <c r="L106" i="6"/>
  <c r="N106" i="6"/>
  <c r="T106" i="6"/>
  <c r="V106" i="6"/>
  <c r="AB106" i="6"/>
  <c r="AO106" i="6" s="1"/>
  <c r="AE106" i="6"/>
  <c r="AG106" i="6"/>
  <c r="L107" i="6"/>
  <c r="N107" i="6"/>
  <c r="T107" i="6"/>
  <c r="V107" i="6"/>
  <c r="AB107" i="6"/>
  <c r="AE107" i="6"/>
  <c r="AG107" i="6"/>
  <c r="L108" i="6"/>
  <c r="N108" i="6"/>
  <c r="T108" i="6"/>
  <c r="V108" i="6"/>
  <c r="AB108" i="6"/>
  <c r="AE108" i="6"/>
  <c r="AG108" i="6"/>
  <c r="L109" i="6"/>
  <c r="N109" i="6"/>
  <c r="T109" i="6"/>
  <c r="V109" i="6"/>
  <c r="AB109" i="6"/>
  <c r="AO109" i="6" s="1"/>
  <c r="AE109" i="6"/>
  <c r="AG109" i="6"/>
  <c r="L110" i="6"/>
  <c r="N110" i="6"/>
  <c r="T110" i="6"/>
  <c r="V110" i="6"/>
  <c r="AB110" i="6"/>
  <c r="AO110" i="6" s="1"/>
  <c r="AE110" i="6"/>
  <c r="AG110" i="6"/>
  <c r="L111" i="6"/>
  <c r="N111" i="6"/>
  <c r="T111" i="6"/>
  <c r="AO111" i="6" s="1"/>
  <c r="V111" i="6"/>
  <c r="AB111" i="6"/>
  <c r="AE111" i="6"/>
  <c r="AG111" i="6"/>
  <c r="L112" i="6"/>
  <c r="N112" i="6"/>
  <c r="T112" i="6"/>
  <c r="V112" i="6"/>
  <c r="AB112" i="6"/>
  <c r="AO112" i="6" s="1"/>
  <c r="AE112" i="6"/>
  <c r="AG112" i="6"/>
  <c r="L113" i="6"/>
  <c r="N113" i="6"/>
  <c r="T113" i="6"/>
  <c r="V113" i="6"/>
  <c r="AB113" i="6"/>
  <c r="AO113" i="6" s="1"/>
  <c r="AE113" i="6"/>
  <c r="AG113" i="6"/>
  <c r="L114" i="6"/>
  <c r="N114" i="6"/>
  <c r="T114" i="6"/>
  <c r="V114" i="6"/>
  <c r="AB114" i="6"/>
  <c r="AO114" i="6" s="1"/>
  <c r="AE114" i="6"/>
  <c r="AG114" i="6"/>
  <c r="L115" i="6"/>
  <c r="N115" i="6"/>
  <c r="T115" i="6"/>
  <c r="V115" i="6"/>
  <c r="AB115" i="6"/>
  <c r="AO115" i="6" s="1"/>
  <c r="AE115" i="6"/>
  <c r="AG115" i="6"/>
  <c r="L116" i="6"/>
  <c r="N116" i="6"/>
  <c r="T116" i="6"/>
  <c r="V116" i="6"/>
  <c r="AB116" i="6"/>
  <c r="AO116" i="6" s="1"/>
  <c r="AE116" i="6"/>
  <c r="AG116" i="6"/>
  <c r="L117" i="6"/>
  <c r="N117" i="6"/>
  <c r="T117" i="6"/>
  <c r="V117" i="6"/>
  <c r="AB117" i="6"/>
  <c r="AO117" i="6" s="1"/>
  <c r="AE117" i="6"/>
  <c r="AG117" i="6"/>
  <c r="L118" i="6"/>
  <c r="N118" i="6"/>
  <c r="T118" i="6"/>
  <c r="V118" i="6"/>
  <c r="AB118" i="6"/>
  <c r="AO118" i="6" s="1"/>
  <c r="AE118" i="6"/>
  <c r="AG118" i="6"/>
  <c r="L119" i="6"/>
  <c r="N119" i="6"/>
  <c r="T119" i="6"/>
  <c r="V119" i="6"/>
  <c r="AB119" i="6"/>
  <c r="AO119" i="6" s="1"/>
  <c r="AE119" i="6"/>
  <c r="AG119" i="6"/>
  <c r="L120" i="6"/>
  <c r="N120" i="6"/>
  <c r="T120" i="6"/>
  <c r="V120" i="6"/>
  <c r="AB120" i="6"/>
  <c r="AO120" i="6" s="1"/>
  <c r="AE120" i="6"/>
  <c r="AG120" i="6"/>
  <c r="L121" i="6"/>
  <c r="N121" i="6"/>
  <c r="T121" i="6"/>
  <c r="V121" i="6"/>
  <c r="AB121" i="6"/>
  <c r="AO121" i="6" s="1"/>
  <c r="AE121" i="6"/>
  <c r="AG121" i="6"/>
  <c r="L122" i="6"/>
  <c r="N122" i="6"/>
  <c r="T122" i="6"/>
  <c r="V122" i="6"/>
  <c r="AB122" i="6"/>
  <c r="AO122" i="6" s="1"/>
  <c r="AE122" i="6"/>
  <c r="AG122" i="6"/>
  <c r="L123" i="6"/>
  <c r="N123" i="6"/>
  <c r="T123" i="6"/>
  <c r="V123" i="6"/>
  <c r="AB123" i="6"/>
  <c r="AO123" i="6" s="1"/>
  <c r="AE123" i="6"/>
  <c r="AG123" i="6"/>
  <c r="L124" i="6"/>
  <c r="N124" i="6"/>
  <c r="T124" i="6"/>
  <c r="V124" i="6"/>
  <c r="AB124" i="6"/>
  <c r="AO124" i="6" s="1"/>
  <c r="AE124" i="6"/>
  <c r="AG124" i="6"/>
  <c r="L125" i="6"/>
  <c r="N125" i="6"/>
  <c r="T125" i="6"/>
  <c r="V125" i="6"/>
  <c r="AB125" i="6"/>
  <c r="AO125" i="6" s="1"/>
  <c r="AE125" i="6"/>
  <c r="AG125" i="6"/>
  <c r="L126" i="6"/>
  <c r="N126" i="6"/>
  <c r="T126" i="6"/>
  <c r="V126" i="6"/>
  <c r="AB126" i="6"/>
  <c r="AO126" i="6" s="1"/>
  <c r="AE126" i="6"/>
  <c r="AG126" i="6"/>
  <c r="L127" i="6"/>
  <c r="N127" i="6"/>
  <c r="T127" i="6"/>
  <c r="V127" i="6"/>
  <c r="AB127" i="6"/>
  <c r="AE127" i="6"/>
  <c r="AG127" i="6"/>
  <c r="L128" i="6"/>
  <c r="N128" i="6"/>
  <c r="T128" i="6"/>
  <c r="V128" i="6"/>
  <c r="AB128" i="6"/>
  <c r="AO128" i="6" s="1"/>
  <c r="AE128" i="6"/>
  <c r="AG128" i="6"/>
  <c r="L129" i="6"/>
  <c r="N129" i="6"/>
  <c r="T129" i="6"/>
  <c r="V129" i="6"/>
  <c r="AB129" i="6"/>
  <c r="AO129" i="6" s="1"/>
  <c r="AE129" i="6"/>
  <c r="AG129" i="6"/>
  <c r="L130" i="6"/>
  <c r="N130" i="6"/>
  <c r="T130" i="6"/>
  <c r="V130" i="6"/>
  <c r="AB130" i="6"/>
  <c r="AE130" i="6"/>
  <c r="AG130" i="6"/>
  <c r="L131" i="6"/>
  <c r="N131" i="6"/>
  <c r="T131" i="6"/>
  <c r="V131" i="6"/>
  <c r="AB131" i="6"/>
  <c r="AO131" i="6" s="1"/>
  <c r="AE131" i="6"/>
  <c r="AG131" i="6"/>
  <c r="L132" i="6"/>
  <c r="N132" i="6"/>
  <c r="T132" i="6"/>
  <c r="V132" i="6"/>
  <c r="AB132" i="6"/>
  <c r="AO132" i="6" s="1"/>
  <c r="AE132" i="6"/>
  <c r="AG132" i="6"/>
  <c r="L133" i="6"/>
  <c r="N133" i="6"/>
  <c r="T133" i="6"/>
  <c r="V133" i="6"/>
  <c r="AB133" i="6"/>
  <c r="AE133" i="6"/>
  <c r="AG133" i="6"/>
  <c r="L134" i="6"/>
  <c r="N134" i="6"/>
  <c r="T134" i="6"/>
  <c r="V134" i="6"/>
  <c r="AB134" i="6"/>
  <c r="AE134" i="6"/>
  <c r="AG134" i="6"/>
  <c r="L135" i="6"/>
  <c r="N135" i="6"/>
  <c r="T135" i="6"/>
  <c r="V135" i="6"/>
  <c r="AB135" i="6"/>
  <c r="AO135" i="6" s="1"/>
  <c r="AE135" i="6"/>
  <c r="AG135" i="6"/>
  <c r="L136" i="6"/>
  <c r="N136" i="6"/>
  <c r="T136" i="6"/>
  <c r="V136" i="6"/>
  <c r="AB136" i="6"/>
  <c r="AO136" i="6" s="1"/>
  <c r="AE136" i="6"/>
  <c r="AG136" i="6"/>
  <c r="L137" i="6"/>
  <c r="N137" i="6"/>
  <c r="T137" i="6"/>
  <c r="V137" i="6"/>
  <c r="AB137" i="6"/>
  <c r="AE137" i="6"/>
  <c r="AG137" i="6"/>
  <c r="L138" i="6"/>
  <c r="N138" i="6"/>
  <c r="T138" i="6"/>
  <c r="V138" i="6"/>
  <c r="AB138" i="6"/>
  <c r="AE138" i="6"/>
  <c r="AG138" i="6"/>
  <c r="L139" i="6"/>
  <c r="N139" i="6"/>
  <c r="T139" i="6"/>
  <c r="V139" i="6"/>
  <c r="AB139" i="6"/>
  <c r="AO139" i="6" s="1"/>
  <c r="AE139" i="6"/>
  <c r="AG139" i="6"/>
  <c r="L140" i="6"/>
  <c r="N140" i="6"/>
  <c r="T140" i="6"/>
  <c r="V140" i="6"/>
  <c r="AB140" i="6"/>
  <c r="AO140" i="6" s="1"/>
  <c r="AE140" i="6"/>
  <c r="AG140" i="6"/>
  <c r="L141" i="6"/>
  <c r="N141" i="6"/>
  <c r="T141" i="6"/>
  <c r="V141" i="6"/>
  <c r="AB141" i="6"/>
  <c r="AO141" i="6" s="1"/>
  <c r="AE141" i="6"/>
  <c r="AG141" i="6"/>
  <c r="L142" i="6"/>
  <c r="N142" i="6"/>
  <c r="T142" i="6"/>
  <c r="V142" i="6"/>
  <c r="AB142" i="6"/>
  <c r="AO142" i="6" s="1"/>
  <c r="AE142" i="6"/>
  <c r="AG142" i="6"/>
  <c r="L143" i="6"/>
  <c r="N143" i="6"/>
  <c r="T143" i="6"/>
  <c r="V143" i="6"/>
  <c r="AB143" i="6"/>
  <c r="AE143" i="6"/>
  <c r="AG143" i="6"/>
  <c r="L144" i="6"/>
  <c r="N144" i="6"/>
  <c r="T144" i="6"/>
  <c r="V144" i="6"/>
  <c r="AB144" i="6"/>
  <c r="AE144" i="6"/>
  <c r="AG144" i="6"/>
  <c r="L145" i="6"/>
  <c r="N145" i="6"/>
  <c r="T145" i="6"/>
  <c r="V145" i="6"/>
  <c r="AB145" i="6"/>
  <c r="AE145" i="6"/>
  <c r="AG145" i="6"/>
  <c r="L146" i="6"/>
  <c r="N146" i="6"/>
  <c r="T146" i="6"/>
  <c r="V146" i="6"/>
  <c r="AB146" i="6"/>
  <c r="AE146" i="6"/>
  <c r="AG146" i="6"/>
  <c r="L147" i="6"/>
  <c r="N147" i="6"/>
  <c r="T147" i="6"/>
  <c r="V147" i="6"/>
  <c r="AB147" i="6"/>
  <c r="AE147" i="6"/>
  <c r="AG147" i="6"/>
  <c r="L148" i="6"/>
  <c r="N148" i="6"/>
  <c r="T148" i="6"/>
  <c r="V148" i="6"/>
  <c r="AB148" i="6"/>
  <c r="AE148" i="6"/>
  <c r="AG148" i="6"/>
  <c r="L149" i="6"/>
  <c r="N149" i="6"/>
  <c r="T149" i="6"/>
  <c r="V149" i="6"/>
  <c r="AB149" i="6"/>
  <c r="AO149" i="6" s="1"/>
  <c r="AE149" i="6"/>
  <c r="AG149" i="6"/>
  <c r="L150" i="6"/>
  <c r="N150" i="6"/>
  <c r="T150" i="6"/>
  <c r="V150" i="6"/>
  <c r="AB150" i="6"/>
  <c r="AO150" i="6" s="1"/>
  <c r="AE150" i="6"/>
  <c r="AG150" i="6"/>
  <c r="L151" i="6"/>
  <c r="N151" i="6"/>
  <c r="T151" i="6"/>
  <c r="V151" i="6"/>
  <c r="AB151" i="6"/>
  <c r="AO151" i="6" s="1"/>
  <c r="AE151" i="6"/>
  <c r="AG151" i="6"/>
  <c r="L152" i="6"/>
  <c r="N152" i="6"/>
  <c r="T152" i="6"/>
  <c r="V152" i="6"/>
  <c r="AB152" i="6"/>
  <c r="AO152" i="6" s="1"/>
  <c r="AE152" i="6"/>
  <c r="AG152" i="6"/>
  <c r="L153" i="6"/>
  <c r="N153" i="6"/>
  <c r="T153" i="6"/>
  <c r="V153" i="6"/>
  <c r="AB153" i="6"/>
  <c r="AO153" i="6" s="1"/>
  <c r="AE153" i="6"/>
  <c r="AG153" i="6"/>
  <c r="L154" i="6"/>
  <c r="N154" i="6"/>
  <c r="T154" i="6"/>
  <c r="V154" i="6"/>
  <c r="AB154" i="6"/>
  <c r="AO154" i="6" s="1"/>
  <c r="AE154" i="6"/>
  <c r="AG154" i="6"/>
  <c r="L155" i="6"/>
  <c r="N155" i="6"/>
  <c r="T155" i="6"/>
  <c r="V155" i="6"/>
  <c r="AB155" i="6"/>
  <c r="AE155" i="6"/>
  <c r="AG155" i="6"/>
  <c r="L156" i="6"/>
  <c r="N156" i="6"/>
  <c r="T156" i="6"/>
  <c r="V156" i="6"/>
  <c r="AB156" i="6"/>
  <c r="AO156" i="6" s="1"/>
  <c r="AE156" i="6"/>
  <c r="AG156" i="6"/>
  <c r="L157" i="6"/>
  <c r="N157" i="6"/>
  <c r="T157" i="6"/>
  <c r="V157" i="6"/>
  <c r="AB157" i="6"/>
  <c r="AE157" i="6"/>
  <c r="AG157" i="6"/>
  <c r="L158" i="6"/>
  <c r="N158" i="6"/>
  <c r="T158" i="6"/>
  <c r="V158" i="6"/>
  <c r="AB158" i="6"/>
  <c r="AO158" i="6" s="1"/>
  <c r="AE158" i="6"/>
  <c r="AG158" i="6"/>
  <c r="L159" i="6"/>
  <c r="N159" i="6"/>
  <c r="T159" i="6"/>
  <c r="V159" i="6"/>
  <c r="AB159" i="6"/>
  <c r="AE159" i="6"/>
  <c r="AG159" i="6"/>
  <c r="L160" i="6"/>
  <c r="N160" i="6"/>
  <c r="T160" i="6"/>
  <c r="V160" i="6"/>
  <c r="AB160" i="6"/>
  <c r="AO160" i="6" s="1"/>
  <c r="AE160" i="6"/>
  <c r="AG160" i="6"/>
  <c r="L161" i="6"/>
  <c r="N161" i="6"/>
  <c r="T161" i="6"/>
  <c r="V161" i="6"/>
  <c r="AB161" i="6"/>
  <c r="AE161" i="6"/>
  <c r="AG161" i="6"/>
  <c r="L162" i="6"/>
  <c r="N162" i="6"/>
  <c r="T162" i="6"/>
  <c r="V162" i="6"/>
  <c r="AB162" i="6"/>
  <c r="AO162" i="6" s="1"/>
  <c r="AE162" i="6"/>
  <c r="AG162" i="6"/>
  <c r="L163" i="6"/>
  <c r="N163" i="6"/>
  <c r="T163" i="6"/>
  <c r="V163" i="6"/>
  <c r="AB163" i="6"/>
  <c r="AO163" i="6" s="1"/>
  <c r="AE163" i="6"/>
  <c r="AG163" i="6"/>
  <c r="L164" i="6"/>
  <c r="N164" i="6"/>
  <c r="T164" i="6"/>
  <c r="V164" i="6"/>
  <c r="AB164" i="6"/>
  <c r="AE164" i="6"/>
  <c r="AG164" i="6"/>
  <c r="L165" i="6"/>
  <c r="N165" i="6"/>
  <c r="T165" i="6"/>
  <c r="V165" i="6"/>
  <c r="AB165" i="6"/>
  <c r="AE165" i="6"/>
  <c r="AG165" i="6"/>
  <c r="L166" i="6"/>
  <c r="N166" i="6"/>
  <c r="T166" i="6"/>
  <c r="V166" i="6"/>
  <c r="AB166" i="6"/>
  <c r="AO166" i="6" s="1"/>
  <c r="AE166" i="6"/>
  <c r="AG166" i="6"/>
  <c r="L167" i="6"/>
  <c r="N167" i="6"/>
  <c r="T167" i="6"/>
  <c r="V167" i="6"/>
  <c r="AB167" i="6"/>
  <c r="AO167" i="6" s="1"/>
  <c r="AE167" i="6"/>
  <c r="AG167" i="6"/>
  <c r="L168" i="6"/>
  <c r="N168" i="6"/>
  <c r="T168" i="6"/>
  <c r="V168" i="6"/>
  <c r="AB168" i="6"/>
  <c r="AO168" i="6" s="1"/>
  <c r="AE168" i="6"/>
  <c r="AG168" i="6"/>
  <c r="L169" i="6"/>
  <c r="N169" i="6"/>
  <c r="T169" i="6"/>
  <c r="V169" i="6"/>
  <c r="AB169" i="6"/>
  <c r="AO169" i="6" s="1"/>
  <c r="AE169" i="6"/>
  <c r="AG169" i="6"/>
  <c r="L170" i="6"/>
  <c r="N170" i="6"/>
  <c r="T170" i="6"/>
  <c r="V170" i="6"/>
  <c r="AB170" i="6"/>
  <c r="AE170" i="6"/>
  <c r="AG170" i="6"/>
  <c r="L171" i="6"/>
  <c r="N171" i="6"/>
  <c r="T171" i="6"/>
  <c r="V171" i="6"/>
  <c r="AB171" i="6"/>
  <c r="AO171" i="6" s="1"/>
  <c r="AE171" i="6"/>
  <c r="AG171" i="6"/>
  <c r="L172" i="6"/>
  <c r="N172" i="6"/>
  <c r="T172" i="6"/>
  <c r="V172" i="6"/>
  <c r="AB172" i="6"/>
  <c r="AO172" i="6" s="1"/>
  <c r="AE172" i="6"/>
  <c r="AG172" i="6"/>
  <c r="L173" i="6"/>
  <c r="N173" i="6"/>
  <c r="T173" i="6"/>
  <c r="V173" i="6"/>
  <c r="AB173" i="6"/>
  <c r="AO173" i="6" s="1"/>
  <c r="AE173" i="6"/>
  <c r="AG173" i="6"/>
  <c r="L174" i="6"/>
  <c r="N174" i="6"/>
  <c r="T174" i="6"/>
  <c r="V174" i="6"/>
  <c r="AB174" i="6"/>
  <c r="AO174" i="6" s="1"/>
  <c r="AE174" i="6"/>
  <c r="AG174" i="6"/>
  <c r="L175" i="6"/>
  <c r="N175" i="6"/>
  <c r="T175" i="6"/>
  <c r="V175" i="6"/>
  <c r="AB175" i="6"/>
  <c r="AO175" i="6" s="1"/>
  <c r="AE175" i="6"/>
  <c r="AG175" i="6"/>
  <c r="L176" i="6"/>
  <c r="N176" i="6"/>
  <c r="T176" i="6"/>
  <c r="V176" i="6"/>
  <c r="AB176" i="6"/>
  <c r="AO176" i="6" s="1"/>
  <c r="AE176" i="6"/>
  <c r="AG176" i="6"/>
  <c r="L177" i="6"/>
  <c r="N177" i="6"/>
  <c r="T177" i="6"/>
  <c r="V177" i="6"/>
  <c r="AB177" i="6"/>
  <c r="AO177" i="6" s="1"/>
  <c r="AE177" i="6"/>
  <c r="AG177" i="6"/>
  <c r="L178" i="6"/>
  <c r="N178" i="6"/>
  <c r="T178" i="6"/>
  <c r="AO178" i="6" s="1"/>
  <c r="V178" i="6"/>
  <c r="AB178" i="6"/>
  <c r="AE178" i="6"/>
  <c r="AG178" i="6"/>
  <c r="L179" i="6"/>
  <c r="N179" i="6"/>
  <c r="T179" i="6"/>
  <c r="V179" i="6"/>
  <c r="AB179" i="6"/>
  <c r="AO179" i="6" s="1"/>
  <c r="AE179" i="6"/>
  <c r="AG179" i="6"/>
  <c r="L180" i="6"/>
  <c r="N180" i="6"/>
  <c r="T180" i="6"/>
  <c r="V180" i="6"/>
  <c r="AB180" i="6"/>
  <c r="AE180" i="6"/>
  <c r="AG180" i="6"/>
  <c r="L181" i="6"/>
  <c r="N181" i="6"/>
  <c r="T181" i="6"/>
  <c r="V181" i="6"/>
  <c r="AB181" i="6"/>
  <c r="AO181" i="6" s="1"/>
  <c r="AE181" i="6"/>
  <c r="AG181" i="6"/>
  <c r="L182" i="6"/>
  <c r="N182" i="6"/>
  <c r="T182" i="6"/>
  <c r="V182" i="6"/>
  <c r="AB182" i="6"/>
  <c r="AO182" i="6" s="1"/>
  <c r="AE182" i="6"/>
  <c r="AG182" i="6"/>
  <c r="L183" i="6"/>
  <c r="N183" i="6"/>
  <c r="T183" i="6"/>
  <c r="V183" i="6"/>
  <c r="AB183" i="6"/>
  <c r="AO183" i="6" s="1"/>
  <c r="AE183" i="6"/>
  <c r="AG183" i="6"/>
  <c r="L184" i="6"/>
  <c r="N184" i="6"/>
  <c r="T184" i="6"/>
  <c r="V184" i="6"/>
  <c r="AB184" i="6"/>
  <c r="AO184" i="6" s="1"/>
  <c r="AE184" i="6"/>
  <c r="AG184" i="6"/>
  <c r="L185" i="6"/>
  <c r="N185" i="6"/>
  <c r="T185" i="6"/>
  <c r="V185" i="6"/>
  <c r="AB185" i="6"/>
  <c r="AO185" i="6" s="1"/>
  <c r="AE185" i="6"/>
  <c r="AG185" i="6"/>
  <c r="L186" i="6"/>
  <c r="N186" i="6"/>
  <c r="T186" i="6"/>
  <c r="V186" i="6"/>
  <c r="AB186" i="6"/>
  <c r="AO186" i="6" s="1"/>
  <c r="AE186" i="6"/>
  <c r="AG186" i="6"/>
  <c r="L187" i="6"/>
  <c r="N187" i="6"/>
  <c r="T187" i="6"/>
  <c r="V187" i="6"/>
  <c r="AB187" i="6"/>
  <c r="AE187" i="6"/>
  <c r="AG187" i="6"/>
  <c r="L188" i="6"/>
  <c r="N188" i="6"/>
  <c r="T188" i="6"/>
  <c r="V188" i="6"/>
  <c r="AB188" i="6"/>
  <c r="AE188" i="6"/>
  <c r="AG188" i="6"/>
  <c r="L189" i="6"/>
  <c r="N189" i="6"/>
  <c r="T189" i="6"/>
  <c r="V189" i="6"/>
  <c r="AB189" i="6"/>
  <c r="AO189" i="6" s="1"/>
  <c r="AE189" i="6"/>
  <c r="AG189" i="6"/>
  <c r="L190" i="6"/>
  <c r="N190" i="6"/>
  <c r="T190" i="6"/>
  <c r="V190" i="6"/>
  <c r="AB190" i="6"/>
  <c r="AE190" i="6"/>
  <c r="AG190" i="6"/>
  <c r="L191" i="6"/>
  <c r="N191" i="6"/>
  <c r="T191" i="6"/>
  <c r="V191" i="6"/>
  <c r="AB191" i="6"/>
  <c r="AO191" i="6" s="1"/>
  <c r="AE191" i="6"/>
  <c r="AG191" i="6"/>
  <c r="L192" i="6"/>
  <c r="N192" i="6"/>
  <c r="T192" i="6"/>
  <c r="V192" i="6"/>
  <c r="AB192" i="6"/>
  <c r="AE192" i="6"/>
  <c r="AG192" i="6"/>
  <c r="L193" i="6"/>
  <c r="N193" i="6"/>
  <c r="T193" i="6"/>
  <c r="V193" i="6"/>
  <c r="AB193" i="6"/>
  <c r="AE193" i="6"/>
  <c r="AG193" i="6"/>
  <c r="L194" i="6"/>
  <c r="N194" i="6"/>
  <c r="T194" i="6"/>
  <c r="V194" i="6"/>
  <c r="AB194" i="6"/>
  <c r="AO194" i="6" s="1"/>
  <c r="AE194" i="6"/>
  <c r="AG194" i="6"/>
  <c r="L195" i="6"/>
  <c r="N195" i="6"/>
  <c r="T195" i="6"/>
  <c r="V195" i="6"/>
  <c r="AB195" i="6"/>
  <c r="AE195" i="6"/>
  <c r="AG195" i="6"/>
  <c r="L196" i="6"/>
  <c r="N196" i="6"/>
  <c r="T196" i="6"/>
  <c r="V196" i="6"/>
  <c r="AB196" i="6"/>
  <c r="AO196" i="6" s="1"/>
  <c r="AE196" i="6"/>
  <c r="AG196" i="6"/>
  <c r="L197" i="6"/>
  <c r="N197" i="6"/>
  <c r="T197" i="6"/>
  <c r="V197" i="6"/>
  <c r="AB197" i="6"/>
  <c r="AO197" i="6" s="1"/>
  <c r="AE197" i="6"/>
  <c r="AG197" i="6"/>
  <c r="L198" i="6"/>
  <c r="N198" i="6"/>
  <c r="T198" i="6"/>
  <c r="V198" i="6"/>
  <c r="AB198" i="6"/>
  <c r="AE198" i="6"/>
  <c r="AG198" i="6"/>
  <c r="L199" i="6"/>
  <c r="N199" i="6"/>
  <c r="T199" i="6"/>
  <c r="V199" i="6"/>
  <c r="AB199" i="6"/>
  <c r="AO199" i="6" s="1"/>
  <c r="AE199" i="6"/>
  <c r="AG199" i="6"/>
  <c r="L200" i="6"/>
  <c r="N200" i="6"/>
  <c r="T200" i="6"/>
  <c r="V200" i="6"/>
  <c r="AB200" i="6"/>
  <c r="AO200" i="6" s="1"/>
  <c r="AE200" i="6"/>
  <c r="AG200" i="6"/>
  <c r="L201" i="6"/>
  <c r="N201" i="6"/>
  <c r="T201" i="6"/>
  <c r="V201" i="6"/>
  <c r="AB201" i="6"/>
  <c r="AO201" i="6" s="1"/>
  <c r="AE201" i="6"/>
  <c r="AG201" i="6"/>
  <c r="L202" i="6"/>
  <c r="N202" i="6"/>
  <c r="T202" i="6"/>
  <c r="V202" i="6"/>
  <c r="AB202" i="6"/>
  <c r="AE202" i="6"/>
  <c r="AG202" i="6"/>
  <c r="L203" i="6"/>
  <c r="N203" i="6"/>
  <c r="T203" i="6"/>
  <c r="V203" i="6"/>
  <c r="AB203" i="6"/>
  <c r="AO203" i="6" s="1"/>
  <c r="AE203" i="6"/>
  <c r="AG203" i="6"/>
  <c r="L204" i="6"/>
  <c r="N204" i="6"/>
  <c r="T204" i="6"/>
  <c r="V204" i="6"/>
  <c r="AB204" i="6"/>
  <c r="AO204" i="6" s="1"/>
  <c r="AE204" i="6"/>
  <c r="AG204" i="6"/>
  <c r="L205" i="6"/>
  <c r="N205" i="6"/>
  <c r="T205" i="6"/>
  <c r="V205" i="6"/>
  <c r="AB205" i="6"/>
  <c r="AO205" i="6" s="1"/>
  <c r="AE205" i="6"/>
  <c r="AG205" i="6"/>
  <c r="L206" i="6"/>
  <c r="N206" i="6"/>
  <c r="T206" i="6"/>
  <c r="V206" i="6"/>
  <c r="AB206" i="6"/>
  <c r="AE206" i="6"/>
  <c r="AG206" i="6"/>
  <c r="L207" i="6"/>
  <c r="N207" i="6"/>
  <c r="T207" i="6"/>
  <c r="V207" i="6"/>
  <c r="AB207" i="6"/>
  <c r="AO207" i="6" s="1"/>
  <c r="AE207" i="6"/>
  <c r="AG207" i="6"/>
  <c r="L208" i="6"/>
  <c r="N208" i="6"/>
  <c r="T208" i="6"/>
  <c r="V208" i="6"/>
  <c r="AB208" i="6"/>
  <c r="AE208" i="6"/>
  <c r="AG208" i="6"/>
  <c r="L209" i="6"/>
  <c r="N209" i="6"/>
  <c r="T209" i="6"/>
  <c r="V209" i="6"/>
  <c r="AB209" i="6"/>
  <c r="AE209" i="6"/>
  <c r="AG209" i="6"/>
  <c r="L210" i="6"/>
  <c r="N210" i="6"/>
  <c r="T210" i="6"/>
  <c r="V210" i="6"/>
  <c r="AB210" i="6"/>
  <c r="AO210" i="6" s="1"/>
  <c r="AE210" i="6"/>
  <c r="AG210" i="6"/>
  <c r="L211" i="6"/>
  <c r="N211" i="6"/>
  <c r="T211" i="6"/>
  <c r="V211" i="6"/>
  <c r="AB211" i="6"/>
  <c r="AO211" i="6" s="1"/>
  <c r="AE211" i="6"/>
  <c r="AG211" i="6"/>
  <c r="L212" i="6"/>
  <c r="N212" i="6"/>
  <c r="T212" i="6"/>
  <c r="V212" i="6"/>
  <c r="AB212" i="6"/>
  <c r="AO212" i="6" s="1"/>
  <c r="AE212" i="6"/>
  <c r="AG212" i="6"/>
  <c r="L213" i="6"/>
  <c r="N213" i="6"/>
  <c r="T213" i="6"/>
  <c r="AO213" i="6" s="1"/>
  <c r="V213" i="6"/>
  <c r="AB213" i="6"/>
  <c r="AE213" i="6"/>
  <c r="AG213" i="6"/>
  <c r="L214" i="6"/>
  <c r="N214" i="6"/>
  <c r="T214" i="6"/>
  <c r="V214" i="6"/>
  <c r="AB214" i="6"/>
  <c r="AO214" i="6" s="1"/>
  <c r="AE214" i="6"/>
  <c r="AG214" i="6"/>
  <c r="L215" i="6"/>
  <c r="N215" i="6"/>
  <c r="T215" i="6"/>
  <c r="AO215" i="6" s="1"/>
  <c r="V215" i="6"/>
  <c r="AB215" i="6"/>
  <c r="AE215" i="6"/>
  <c r="AG215" i="6"/>
  <c r="L216" i="6"/>
  <c r="N216" i="6"/>
  <c r="T216" i="6"/>
  <c r="V216" i="6"/>
  <c r="AB216" i="6"/>
  <c r="AO216" i="6" s="1"/>
  <c r="AE216" i="6"/>
  <c r="AG216" i="6"/>
  <c r="L217" i="6"/>
  <c r="N217" i="6"/>
  <c r="T217" i="6"/>
  <c r="V217" i="6"/>
  <c r="AB217" i="6"/>
  <c r="AO217" i="6" s="1"/>
  <c r="AE217" i="6"/>
  <c r="AG217" i="6"/>
  <c r="L218" i="6"/>
  <c r="N218" i="6"/>
  <c r="T218" i="6"/>
  <c r="V218" i="6"/>
  <c r="AB218" i="6"/>
  <c r="AO218" i="6" s="1"/>
  <c r="AE218" i="6"/>
  <c r="AG218" i="6"/>
  <c r="L219" i="6"/>
  <c r="N219" i="6"/>
  <c r="T219" i="6"/>
  <c r="V219" i="6"/>
  <c r="AB219" i="6"/>
  <c r="AO219" i="6" s="1"/>
  <c r="AE219" i="6"/>
  <c r="AG219" i="6"/>
  <c r="L220" i="6"/>
  <c r="N220" i="6"/>
  <c r="T220" i="6"/>
  <c r="V220" i="6"/>
  <c r="AB220" i="6"/>
  <c r="AO220" i="6" s="1"/>
  <c r="AE220" i="6"/>
  <c r="AG220" i="6"/>
  <c r="L221" i="6"/>
  <c r="N221" i="6"/>
  <c r="T221" i="6"/>
  <c r="V221" i="6"/>
  <c r="AB221" i="6"/>
  <c r="AO221" i="6" s="1"/>
  <c r="AE221" i="6"/>
  <c r="AG221" i="6"/>
  <c r="L222" i="6"/>
  <c r="N222" i="6"/>
  <c r="T222" i="6"/>
  <c r="V222" i="6"/>
  <c r="AB222" i="6"/>
  <c r="AO222" i="6" s="1"/>
  <c r="AE222" i="6"/>
  <c r="AG222" i="6"/>
  <c r="L223" i="6"/>
  <c r="N223" i="6"/>
  <c r="T223" i="6"/>
  <c r="V223" i="6"/>
  <c r="AB223" i="6"/>
  <c r="AO223" i="6" s="1"/>
  <c r="AE223" i="6"/>
  <c r="AG223" i="6"/>
  <c r="L224" i="6"/>
  <c r="N224" i="6"/>
  <c r="T224" i="6"/>
  <c r="V224" i="6"/>
  <c r="AB224" i="6"/>
  <c r="AO224" i="6" s="1"/>
  <c r="AE224" i="6"/>
  <c r="AG224" i="6"/>
  <c r="L225" i="6"/>
  <c r="N225" i="6"/>
  <c r="T225" i="6"/>
  <c r="V225" i="6"/>
  <c r="AB225" i="6"/>
  <c r="AO225" i="6" s="1"/>
  <c r="AE225" i="6"/>
  <c r="AG225" i="6"/>
  <c r="L226" i="6"/>
  <c r="N226" i="6"/>
  <c r="T226" i="6"/>
  <c r="V226" i="6"/>
  <c r="AB226" i="6"/>
  <c r="AO226" i="6" s="1"/>
  <c r="AE226" i="6"/>
  <c r="AG226" i="6"/>
  <c r="L227" i="6"/>
  <c r="N227" i="6"/>
  <c r="T227" i="6"/>
  <c r="V227" i="6"/>
  <c r="AB227" i="6"/>
  <c r="AE227" i="6"/>
  <c r="AG227" i="6"/>
  <c r="L228" i="6"/>
  <c r="N228" i="6"/>
  <c r="T228" i="6"/>
  <c r="V228" i="6"/>
  <c r="AB228" i="6"/>
  <c r="AO228" i="6" s="1"/>
  <c r="AE228" i="6"/>
  <c r="AG228" i="6"/>
  <c r="L229" i="6"/>
  <c r="N229" i="6"/>
  <c r="T229" i="6"/>
  <c r="V229" i="6"/>
  <c r="AB229" i="6"/>
  <c r="AO229" i="6" s="1"/>
  <c r="AE229" i="6"/>
  <c r="AG229" i="6"/>
  <c r="L230" i="6"/>
  <c r="N230" i="6"/>
  <c r="T230" i="6"/>
  <c r="V230" i="6"/>
  <c r="AB230" i="6"/>
  <c r="AO230" i="6" s="1"/>
  <c r="AE230" i="6"/>
  <c r="AG230" i="6"/>
  <c r="L231" i="6"/>
  <c r="N231" i="6"/>
  <c r="T231" i="6"/>
  <c r="V231" i="6"/>
  <c r="AB231" i="6"/>
  <c r="AO231" i="6" s="1"/>
  <c r="AE231" i="6"/>
  <c r="AG231" i="6"/>
  <c r="L232" i="6"/>
  <c r="N232" i="6"/>
  <c r="T232" i="6"/>
  <c r="V232" i="6"/>
  <c r="AB232" i="6"/>
  <c r="AO232" i="6" s="1"/>
  <c r="AE232" i="6"/>
  <c r="AG232" i="6"/>
  <c r="L233" i="6"/>
  <c r="N233" i="6"/>
  <c r="T233" i="6"/>
  <c r="V233" i="6"/>
  <c r="AB233" i="6"/>
  <c r="AO233" i="6" s="1"/>
  <c r="AE233" i="6"/>
  <c r="AG233" i="6"/>
  <c r="L234" i="6"/>
  <c r="N234" i="6"/>
  <c r="T234" i="6"/>
  <c r="V234" i="6"/>
  <c r="AB234" i="6"/>
  <c r="AE234" i="6"/>
  <c r="AG234" i="6"/>
  <c r="L235" i="6"/>
  <c r="N235" i="6"/>
  <c r="T235" i="6"/>
  <c r="V235" i="6"/>
  <c r="AB235" i="6"/>
  <c r="AO235" i="6" s="1"/>
  <c r="AE235" i="6"/>
  <c r="AG235" i="6"/>
  <c r="L236" i="6"/>
  <c r="N236" i="6"/>
  <c r="T236" i="6"/>
  <c r="V236" i="6"/>
  <c r="AB236" i="6"/>
  <c r="AO236" i="6" s="1"/>
  <c r="AE236" i="6"/>
  <c r="AG236" i="6"/>
  <c r="L237" i="6"/>
  <c r="N237" i="6"/>
  <c r="T237" i="6"/>
  <c r="V237" i="6"/>
  <c r="AB237" i="6"/>
  <c r="AE237" i="6"/>
  <c r="AG237" i="6"/>
  <c r="L238" i="6"/>
  <c r="N238" i="6"/>
  <c r="T238" i="6"/>
  <c r="V238" i="6"/>
  <c r="AB238" i="6"/>
  <c r="AO238" i="6" s="1"/>
  <c r="AE238" i="6"/>
  <c r="AG238" i="6"/>
  <c r="L239" i="6"/>
  <c r="N239" i="6"/>
  <c r="T239" i="6"/>
  <c r="V239" i="6"/>
  <c r="AB239" i="6"/>
  <c r="AO239" i="6" s="1"/>
  <c r="AE239" i="6"/>
  <c r="AG239" i="6"/>
  <c r="L240" i="6"/>
  <c r="N240" i="6"/>
  <c r="T240" i="6"/>
  <c r="V240" i="6"/>
  <c r="AB240" i="6"/>
  <c r="AO240" i="6" s="1"/>
  <c r="AE240" i="6"/>
  <c r="AG240" i="6"/>
  <c r="L241" i="6"/>
  <c r="N241" i="6"/>
  <c r="T241" i="6"/>
  <c r="V241" i="6"/>
  <c r="AB241" i="6"/>
  <c r="AO241" i="6" s="1"/>
  <c r="AE241" i="6"/>
  <c r="AG241" i="6"/>
  <c r="L242" i="6"/>
  <c r="N242" i="6"/>
  <c r="T242" i="6"/>
  <c r="V242" i="6"/>
  <c r="AB242" i="6"/>
  <c r="AO242" i="6" s="1"/>
  <c r="AE242" i="6"/>
  <c r="AG242" i="6"/>
  <c r="L243" i="6"/>
  <c r="N243" i="6"/>
  <c r="T243" i="6"/>
  <c r="V243" i="6"/>
  <c r="AB243" i="6"/>
  <c r="AO243" i="6" s="1"/>
  <c r="AE243" i="6"/>
  <c r="AG243" i="6"/>
  <c r="L244" i="6"/>
  <c r="N244" i="6"/>
  <c r="T244" i="6"/>
  <c r="V244" i="6"/>
  <c r="AB244" i="6"/>
  <c r="AE244" i="6"/>
  <c r="AG244" i="6"/>
  <c r="L245" i="6"/>
  <c r="N245" i="6"/>
  <c r="T245" i="6"/>
  <c r="V245" i="6"/>
  <c r="AB245" i="6"/>
  <c r="AE245" i="6"/>
  <c r="AG245" i="6"/>
  <c r="L246" i="6"/>
  <c r="N246" i="6"/>
  <c r="T246" i="6"/>
  <c r="V246" i="6"/>
  <c r="AB246" i="6"/>
  <c r="AO246" i="6" s="1"/>
  <c r="AE246" i="6"/>
  <c r="AG246" i="6"/>
  <c r="L247" i="6"/>
  <c r="N247" i="6"/>
  <c r="T247" i="6"/>
  <c r="V247" i="6"/>
  <c r="AB247" i="6"/>
  <c r="AO247" i="6" s="1"/>
  <c r="AE247" i="6"/>
  <c r="AG247" i="6"/>
  <c r="L248" i="6"/>
  <c r="N248" i="6"/>
  <c r="T248" i="6"/>
  <c r="V248" i="6"/>
  <c r="AB248" i="6"/>
  <c r="AO248" i="6" s="1"/>
  <c r="AE248" i="6"/>
  <c r="AG248" i="6"/>
  <c r="L249" i="6"/>
  <c r="N249" i="6"/>
  <c r="T249" i="6"/>
  <c r="V249" i="6"/>
  <c r="AB249" i="6"/>
  <c r="AE249" i="6"/>
  <c r="AG249" i="6"/>
  <c r="L250" i="6"/>
  <c r="N250" i="6"/>
  <c r="T250" i="6"/>
  <c r="V250" i="6"/>
  <c r="AB250" i="6"/>
  <c r="AO250" i="6" s="1"/>
  <c r="AE250" i="6"/>
  <c r="AG250" i="6"/>
  <c r="L251" i="6"/>
  <c r="N251" i="6"/>
  <c r="T251" i="6"/>
  <c r="V251" i="6"/>
  <c r="AB251" i="6"/>
  <c r="AO251" i="6" s="1"/>
  <c r="AE251" i="6"/>
  <c r="AG251" i="6"/>
  <c r="L252" i="6"/>
  <c r="N252" i="6"/>
  <c r="T252" i="6"/>
  <c r="V252" i="6"/>
  <c r="AB252" i="6"/>
  <c r="AE252" i="6"/>
  <c r="AG252" i="6"/>
  <c r="L253" i="6"/>
  <c r="N253" i="6"/>
  <c r="T253" i="6"/>
  <c r="V253" i="6"/>
  <c r="AB253" i="6"/>
  <c r="AO253" i="6" s="1"/>
  <c r="AE253" i="6"/>
  <c r="AG253" i="6"/>
  <c r="L254" i="6"/>
  <c r="N254" i="6"/>
  <c r="T254" i="6"/>
  <c r="V254" i="6"/>
  <c r="AB254" i="6"/>
  <c r="AO254" i="6" s="1"/>
  <c r="AE254" i="6"/>
  <c r="AG254" i="6"/>
  <c r="L255" i="6"/>
  <c r="N255" i="6"/>
  <c r="T255" i="6"/>
  <c r="V255" i="6"/>
  <c r="AB255" i="6"/>
  <c r="AO255" i="6" s="1"/>
  <c r="AE255" i="6"/>
  <c r="AG255" i="6"/>
  <c r="L256" i="6"/>
  <c r="N256" i="6"/>
  <c r="T256" i="6"/>
  <c r="V256" i="6"/>
  <c r="AB256" i="6"/>
  <c r="AO256" i="6" s="1"/>
  <c r="AE256" i="6"/>
  <c r="AG256" i="6"/>
  <c r="L257" i="6"/>
  <c r="N257" i="6"/>
  <c r="T257" i="6"/>
  <c r="V257" i="6"/>
  <c r="AB257" i="6"/>
  <c r="AO257" i="6" s="1"/>
  <c r="AE257" i="6"/>
  <c r="AG257" i="6"/>
  <c r="L258" i="6"/>
  <c r="N258" i="6"/>
  <c r="T258" i="6"/>
  <c r="V258" i="6"/>
  <c r="AB258" i="6"/>
  <c r="AO258" i="6" s="1"/>
  <c r="AE258" i="6"/>
  <c r="AG258" i="6"/>
  <c r="L259" i="6"/>
  <c r="N259" i="6"/>
  <c r="T259" i="6"/>
  <c r="V259" i="6"/>
  <c r="AB259" i="6"/>
  <c r="AO259" i="6" s="1"/>
  <c r="AE259" i="6"/>
  <c r="AG259" i="6"/>
  <c r="L260" i="6"/>
  <c r="N260" i="6"/>
  <c r="T260" i="6"/>
  <c r="V260" i="6"/>
  <c r="AB260" i="6"/>
  <c r="AE260" i="6"/>
  <c r="AG260" i="6"/>
  <c r="L261" i="6"/>
  <c r="N261" i="6"/>
  <c r="T261" i="6"/>
  <c r="V261" i="6"/>
  <c r="AB261" i="6"/>
  <c r="AO261" i="6" s="1"/>
  <c r="AE261" i="6"/>
  <c r="AG261" i="6"/>
  <c r="L262" i="6"/>
  <c r="N262" i="6"/>
  <c r="T262" i="6"/>
  <c r="V262" i="6"/>
  <c r="AB262" i="6"/>
  <c r="AE262" i="6"/>
  <c r="AG262" i="6"/>
  <c r="L263" i="6"/>
  <c r="N263" i="6"/>
  <c r="T263" i="6"/>
  <c r="V263" i="6"/>
  <c r="AB263" i="6"/>
  <c r="AO263" i="6" s="1"/>
  <c r="AE263" i="6"/>
  <c r="AG263" i="6"/>
  <c r="L264" i="6"/>
  <c r="N264" i="6"/>
  <c r="T264" i="6"/>
  <c r="V264" i="6"/>
  <c r="AB264" i="6"/>
  <c r="AO264" i="6" s="1"/>
  <c r="AE264" i="6"/>
  <c r="AG264" i="6"/>
  <c r="L265" i="6"/>
  <c r="N265" i="6"/>
  <c r="T265" i="6"/>
  <c r="V265" i="6"/>
  <c r="AB265" i="6"/>
  <c r="AO265" i="6" s="1"/>
  <c r="AE265" i="6"/>
  <c r="AG265" i="6"/>
  <c r="L266" i="6"/>
  <c r="N266" i="6"/>
  <c r="T266" i="6"/>
  <c r="V266" i="6"/>
  <c r="AB266" i="6"/>
  <c r="AO266" i="6" s="1"/>
  <c r="AE266" i="6"/>
  <c r="AG266" i="6"/>
  <c r="L267" i="6"/>
  <c r="N267" i="6"/>
  <c r="T267" i="6"/>
  <c r="V267" i="6"/>
  <c r="AB267" i="6"/>
  <c r="AO267" i="6" s="1"/>
  <c r="AE267" i="6"/>
  <c r="AG267" i="6"/>
  <c r="L268" i="6"/>
  <c r="N268" i="6"/>
  <c r="T268" i="6"/>
  <c r="V268" i="6"/>
  <c r="AB268" i="6"/>
  <c r="AO268" i="6" s="1"/>
  <c r="AE268" i="6"/>
  <c r="AG268" i="6"/>
  <c r="L269" i="6"/>
  <c r="N269" i="6"/>
  <c r="T269" i="6"/>
  <c r="V269" i="6"/>
  <c r="AB269" i="6"/>
  <c r="AO269" i="6" s="1"/>
  <c r="AE269" i="6"/>
  <c r="AG269" i="6"/>
  <c r="L270" i="6"/>
  <c r="N270" i="6"/>
  <c r="T270" i="6"/>
  <c r="V270" i="6"/>
  <c r="AB270" i="6"/>
  <c r="AE270" i="6"/>
  <c r="AG270" i="6"/>
  <c r="L271" i="6"/>
  <c r="N271" i="6"/>
  <c r="T271" i="6"/>
  <c r="V271" i="6"/>
  <c r="AB271" i="6"/>
  <c r="AE271" i="6"/>
  <c r="AG271" i="6"/>
  <c r="L272" i="6"/>
  <c r="N272" i="6"/>
  <c r="T272" i="6"/>
  <c r="V272" i="6"/>
  <c r="AB272" i="6"/>
  <c r="AO272" i="6" s="1"/>
  <c r="AE272" i="6"/>
  <c r="AG272" i="6"/>
  <c r="L273" i="6"/>
  <c r="N273" i="6"/>
  <c r="T273" i="6"/>
  <c r="V273" i="6"/>
  <c r="AB273" i="6"/>
  <c r="AO273" i="6" s="1"/>
  <c r="AE273" i="6"/>
  <c r="AG273" i="6"/>
  <c r="L274" i="6"/>
  <c r="N274" i="6"/>
  <c r="V274" i="6"/>
  <c r="AB274" i="6"/>
  <c r="AO274" i="6" s="1"/>
  <c r="AE274" i="6"/>
  <c r="AG274" i="6"/>
  <c r="L275" i="6"/>
  <c r="N275" i="6"/>
  <c r="T275" i="6"/>
  <c r="V275" i="6"/>
  <c r="AB275" i="6"/>
  <c r="AE275" i="6"/>
  <c r="AG275" i="6"/>
  <c r="L276" i="6"/>
  <c r="N276" i="6"/>
  <c r="T276" i="6"/>
  <c r="V276" i="6"/>
  <c r="AB276" i="6"/>
  <c r="AO276" i="6" s="1"/>
  <c r="AE276" i="6"/>
  <c r="AG276" i="6"/>
  <c r="L277" i="6"/>
  <c r="N277" i="6"/>
  <c r="T277" i="6"/>
  <c r="V277" i="6"/>
  <c r="AB277" i="6"/>
  <c r="AO277" i="6" s="1"/>
  <c r="AE277" i="6"/>
  <c r="AG277" i="6"/>
  <c r="L278" i="6"/>
  <c r="N278" i="6"/>
  <c r="T278" i="6"/>
  <c r="V278" i="6"/>
  <c r="AB278" i="6"/>
  <c r="AE278" i="6"/>
  <c r="AG278" i="6"/>
  <c r="L279" i="6"/>
  <c r="N279" i="6"/>
  <c r="T279" i="6"/>
  <c r="V279" i="6"/>
  <c r="AB279" i="6"/>
  <c r="AE279" i="6"/>
  <c r="AG279" i="6"/>
  <c r="L280" i="6"/>
  <c r="N280" i="6"/>
  <c r="T280" i="6"/>
  <c r="V280" i="6"/>
  <c r="AB280" i="6"/>
  <c r="AO280" i="6" s="1"/>
  <c r="AE280" i="6"/>
  <c r="AG280" i="6"/>
  <c r="L281" i="6"/>
  <c r="N281" i="6"/>
  <c r="T281" i="6"/>
  <c r="V281" i="6"/>
  <c r="AB281" i="6"/>
  <c r="AO281" i="6" s="1"/>
  <c r="AE281" i="6"/>
  <c r="AG281" i="6"/>
  <c r="L282" i="6"/>
  <c r="N282" i="6"/>
  <c r="T282" i="6"/>
  <c r="V282" i="6"/>
  <c r="AB282" i="6"/>
  <c r="AO282" i="6" s="1"/>
  <c r="AE282" i="6"/>
  <c r="AG282" i="6"/>
  <c r="L283" i="6"/>
  <c r="N283" i="6"/>
  <c r="T283" i="6"/>
  <c r="V283" i="6"/>
  <c r="AB283" i="6"/>
  <c r="AO283" i="6" s="1"/>
  <c r="AE283" i="6"/>
  <c r="AG283" i="6"/>
  <c r="L284" i="6"/>
  <c r="N284" i="6"/>
  <c r="T284" i="6"/>
  <c r="V284" i="6"/>
  <c r="AB284" i="6"/>
  <c r="AO284" i="6" s="1"/>
  <c r="AE284" i="6"/>
  <c r="AG284" i="6"/>
  <c r="L285" i="6"/>
  <c r="N285" i="6"/>
  <c r="T285" i="6"/>
  <c r="V285" i="6"/>
  <c r="AB285" i="6"/>
  <c r="AO285" i="6" s="1"/>
  <c r="AE285" i="6"/>
  <c r="AG285" i="6"/>
  <c r="L286" i="6"/>
  <c r="N286" i="6"/>
  <c r="T286" i="6"/>
  <c r="V286" i="6"/>
  <c r="AB286" i="6"/>
  <c r="AO286" i="6" s="1"/>
  <c r="AE286" i="6"/>
  <c r="AG286" i="6"/>
  <c r="L287" i="6"/>
  <c r="N287" i="6"/>
  <c r="T287" i="6"/>
  <c r="V287" i="6"/>
  <c r="AB287" i="6"/>
  <c r="AO287" i="6" s="1"/>
  <c r="AE287" i="6"/>
  <c r="AG287" i="6"/>
  <c r="L288" i="6"/>
  <c r="N288" i="6"/>
  <c r="T288" i="6"/>
  <c r="V288" i="6"/>
  <c r="AB288" i="6"/>
  <c r="AO288" i="6" s="1"/>
  <c r="AE288" i="6"/>
  <c r="AG288" i="6"/>
  <c r="L289" i="6"/>
  <c r="N289" i="6"/>
  <c r="T289" i="6"/>
  <c r="V289" i="6"/>
  <c r="AB289" i="6"/>
  <c r="AO289" i="6" s="1"/>
  <c r="AE289" i="6"/>
  <c r="AG289" i="6"/>
  <c r="L290" i="6"/>
  <c r="N290" i="6"/>
  <c r="T290" i="6"/>
  <c r="V290" i="6"/>
  <c r="AB290" i="6"/>
  <c r="AE290" i="6"/>
  <c r="AG290" i="6"/>
  <c r="L291" i="6"/>
  <c r="N291" i="6"/>
  <c r="T291" i="6"/>
  <c r="V291" i="6"/>
  <c r="AB291" i="6"/>
  <c r="AO291" i="6" s="1"/>
  <c r="AE291" i="6"/>
  <c r="AG291" i="6"/>
  <c r="L292" i="6"/>
  <c r="N292" i="6"/>
  <c r="T292" i="6"/>
  <c r="V292" i="6"/>
  <c r="AB292" i="6"/>
  <c r="AO292" i="6" s="1"/>
  <c r="AE292" i="6"/>
  <c r="AG292" i="6"/>
  <c r="L293" i="6"/>
  <c r="N293" i="6"/>
  <c r="T293" i="6"/>
  <c r="V293" i="6"/>
  <c r="AB293" i="6"/>
  <c r="AO293" i="6" s="1"/>
  <c r="AE293" i="6"/>
  <c r="AG293" i="6"/>
  <c r="L294" i="6"/>
  <c r="N294" i="6"/>
  <c r="T294" i="6"/>
  <c r="V294" i="6"/>
  <c r="AB294" i="6"/>
  <c r="AE294" i="6"/>
  <c r="AG294" i="6"/>
  <c r="L295" i="6"/>
  <c r="N295" i="6"/>
  <c r="T295" i="6"/>
  <c r="V295" i="6"/>
  <c r="AB295" i="6"/>
  <c r="AO295" i="6" s="1"/>
  <c r="AE295" i="6"/>
  <c r="AG295" i="6"/>
  <c r="D34" i="5"/>
  <c r="C34" i="5"/>
  <c r="D33" i="5"/>
  <c r="C33" i="5"/>
  <c r="D32" i="5"/>
  <c r="C32" i="5"/>
  <c r="D31" i="5"/>
  <c r="C31" i="5"/>
  <c r="D30" i="5"/>
  <c r="C30" i="5"/>
  <c r="D29" i="5"/>
  <c r="C29" i="5"/>
  <c r="E28" i="5"/>
  <c r="D28" i="5"/>
  <c r="C28" i="5"/>
  <c r="D26" i="5"/>
  <c r="D27" i="5"/>
  <c r="C27" i="5"/>
  <c r="C26" i="5"/>
  <c r="D25" i="5"/>
  <c r="C25" i="5"/>
  <c r="D24" i="5"/>
  <c r="C24" i="5"/>
  <c r="E23" i="5"/>
  <c r="D23" i="5"/>
  <c r="C23" i="5"/>
  <c r="E22" i="5"/>
  <c r="D22" i="5"/>
  <c r="C22" i="5"/>
  <c r="E18" i="5"/>
  <c r="D21" i="5"/>
  <c r="C21" i="5"/>
  <c r="D20" i="5"/>
  <c r="C20" i="5"/>
  <c r="E19" i="5"/>
  <c r="D19" i="5"/>
  <c r="C19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C13" i="5"/>
  <c r="C12" i="5"/>
  <c r="E13" i="5"/>
  <c r="E12" i="5"/>
  <c r="D13" i="5"/>
  <c r="D12" i="5"/>
  <c r="E11" i="5"/>
  <c r="D11" i="5"/>
  <c r="C11" i="5"/>
  <c r="E10" i="5"/>
  <c r="E9" i="5"/>
  <c r="D10" i="5"/>
  <c r="D9" i="5"/>
  <c r="E8" i="5"/>
  <c r="E7" i="5"/>
  <c r="D8" i="5"/>
  <c r="D7" i="5"/>
  <c r="E6" i="5"/>
  <c r="D6" i="5"/>
  <c r="C10" i="5"/>
  <c r="C9" i="5"/>
  <c r="C8" i="5"/>
  <c r="C7" i="5"/>
  <c r="C6" i="5"/>
  <c r="B3" i="5"/>
  <c r="B2" i="5"/>
  <c r="H113" i="1"/>
  <c r="G113" i="1"/>
  <c r="H107" i="1"/>
  <c r="G107" i="1"/>
  <c r="H73" i="1"/>
  <c r="G73" i="1"/>
  <c r="H68" i="1"/>
  <c r="G68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B10" i="9" l="1"/>
  <c r="B15" i="9"/>
  <c r="B17" i="9"/>
  <c r="AO2" i="6"/>
  <c r="B16" i="9"/>
  <c r="B9" i="9"/>
  <c r="B11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<sst xmlns="http://schemas.openxmlformats.org/spreadsheetml/2006/main" count="14529" uniqueCount="722">
  <si>
    <t>D</t>
  </si>
  <si>
    <t>Gender</t>
  </si>
  <si>
    <t>BirthComor</t>
  </si>
  <si>
    <t>BMI measure</t>
  </si>
  <si>
    <t>BMI</t>
  </si>
  <si>
    <t>Vacstat</t>
  </si>
  <si>
    <t>Date 1</t>
  </si>
  <si>
    <t>Date 2</t>
  </si>
  <si>
    <t>Age</t>
  </si>
  <si>
    <t>Class</t>
  </si>
  <si>
    <t>Infected prior to vaccination</t>
  </si>
  <si>
    <t>Quantivac at 28 days</t>
  </si>
  <si>
    <t>Q 28 Result</t>
  </si>
  <si>
    <t>ODQ28Days</t>
  </si>
  <si>
    <t>NCPat28 days</t>
  </si>
  <si>
    <t>N28Results</t>
  </si>
  <si>
    <t>Quantivacat3 months</t>
  </si>
  <si>
    <t>Q3 Result</t>
  </si>
  <si>
    <t>ODQ4months</t>
  </si>
  <si>
    <t>NCPat3months</t>
  </si>
  <si>
    <t>N3Result</t>
  </si>
  <si>
    <t>Quantivacat7months</t>
  </si>
  <si>
    <t>Q7Result</t>
  </si>
  <si>
    <t>ODQ7months</t>
  </si>
  <si>
    <t>NCPat7months</t>
  </si>
  <si>
    <t>N7Result</t>
  </si>
  <si>
    <t>Time</t>
  </si>
  <si>
    <t>Status</t>
  </si>
  <si>
    <t>TruncatedTiter</t>
  </si>
  <si>
    <t>US-050</t>
  </si>
  <si>
    <t>NA</t>
  </si>
  <si>
    <t>Overweight</t>
  </si>
  <si>
    <t>Non Vaccinated</t>
  </si>
  <si>
    <t>S1</t>
  </si>
  <si>
    <t>N</t>
  </si>
  <si>
    <t>&gt;120</t>
  </si>
  <si>
    <t>R</t>
  </si>
  <si>
    <t>US-509</t>
  </si>
  <si>
    <t>M</t>
  </si>
  <si>
    <t>Normal Weight</t>
  </si>
  <si>
    <t>US-063</t>
  </si>
  <si>
    <t>Underweight</t>
  </si>
  <si>
    <t>US-188</t>
  </si>
  <si>
    <t>S4</t>
  </si>
  <si>
    <t>*****</t>
  </si>
  <si>
    <t>*</t>
  </si>
  <si>
    <t>US-286</t>
  </si>
  <si>
    <t>Obese</t>
  </si>
  <si>
    <t>US-116</t>
  </si>
  <si>
    <t>Y</t>
  </si>
  <si>
    <t>US-544</t>
  </si>
  <si>
    <t>US-551</t>
  </si>
  <si>
    <t>1.9138/1.8862</t>
  </si>
  <si>
    <t>US-231</t>
  </si>
  <si>
    <t>Vaccinated</t>
  </si>
  <si>
    <t>1.7662/1.6430</t>
  </si>
  <si>
    <t>US-547</t>
  </si>
  <si>
    <t>US-530</t>
  </si>
  <si>
    <t>US-149</t>
  </si>
  <si>
    <t>0.0831/0.0814</t>
  </si>
  <si>
    <t>US-433</t>
  </si>
  <si>
    <t>US-258</t>
  </si>
  <si>
    <t>US-124</t>
  </si>
  <si>
    <t>US-429</t>
  </si>
  <si>
    <t>US-150</t>
  </si>
  <si>
    <t>0.4397/0.4511</t>
  </si>
  <si>
    <t>US-493</t>
  </si>
  <si>
    <t>US-255</t>
  </si>
  <si>
    <t>US-134</t>
  </si>
  <si>
    <t>US-137</t>
  </si>
  <si>
    <t>US-229</t>
  </si>
  <si>
    <t>US-573</t>
  </si>
  <si>
    <t>US-048</t>
  </si>
  <si>
    <t>US-066</t>
  </si>
  <si>
    <t>US-169</t>
  </si>
  <si>
    <t>US-512</t>
  </si>
  <si>
    <t>US-004</t>
  </si>
  <si>
    <t>US-042</t>
  </si>
  <si>
    <t>US-100</t>
  </si>
  <si>
    <t>US-484</t>
  </si>
  <si>
    <t>US-453</t>
  </si>
  <si>
    <t>US-082</t>
  </si>
  <si>
    <t>US-543</t>
  </si>
  <si>
    <t>US-118</t>
  </si>
  <si>
    <t>US-526</t>
  </si>
  <si>
    <t>?</t>
  </si>
  <si>
    <t>US-440</t>
  </si>
  <si>
    <t>US-024</t>
  </si>
  <si>
    <t>0.8635/0.7942</t>
  </si>
  <si>
    <t>US-101</t>
  </si>
  <si>
    <t>US-223</t>
  </si>
  <si>
    <t>0.1142/0.1797</t>
  </si>
  <si>
    <t>US-287</t>
  </si>
  <si>
    <t>US-019</t>
  </si>
  <si>
    <t>US-184</t>
  </si>
  <si>
    <t>US-535</t>
  </si>
  <si>
    <t>US-165</t>
  </si>
  <si>
    <t>US-518</t>
  </si>
  <si>
    <t>US-221</t>
  </si>
  <si>
    <t>US-035</t>
  </si>
  <si>
    <t>0.2176/0.2527</t>
  </si>
  <si>
    <t>1.3463/1.3074</t>
  </si>
  <si>
    <t>US-087</t>
  </si>
  <si>
    <t>US-253</t>
  </si>
  <si>
    <t>US-220</t>
  </si>
  <si>
    <t>US-273</t>
  </si>
  <si>
    <t>US-191</t>
  </si>
  <si>
    <t>US-054</t>
  </si>
  <si>
    <t>US-532</t>
  </si>
  <si>
    <t>US-005</t>
  </si>
  <si>
    <t>US-135</t>
  </si>
  <si>
    <t>US-457</t>
  </si>
  <si>
    <t>US-182</t>
  </si>
  <si>
    <t>US-280</t>
  </si>
  <si>
    <t>US-292</t>
  </si>
  <si>
    <t>US-257</t>
  </si>
  <si>
    <t>US-161</t>
  </si>
  <si>
    <t>US-178</t>
  </si>
  <si>
    <t>US-528</t>
  </si>
  <si>
    <t>1.6353/1.6913</t>
  </si>
  <si>
    <t>US-475</t>
  </si>
  <si>
    <t>0.9112/0.8884</t>
  </si>
  <si>
    <t>US-216</t>
  </si>
  <si>
    <t>US-416</t>
  </si>
  <si>
    <t>US-545</t>
  </si>
  <si>
    <t>US-211</t>
  </si>
  <si>
    <t>US-212</t>
  </si>
  <si>
    <t>US-386</t>
  </si>
  <si>
    <t>US-317</t>
  </si>
  <si>
    <t>US-187</t>
  </si>
  <si>
    <t>US-248</t>
  </si>
  <si>
    <t>US-148</t>
  </si>
  <si>
    <t>0.2606/0.2541</t>
  </si>
  <si>
    <t>US-449</t>
  </si>
  <si>
    <t>US-426</t>
  </si>
  <si>
    <t>US-470</t>
  </si>
  <si>
    <t>US-404</t>
  </si>
  <si>
    <t>&gt;120/&gt;120</t>
  </si>
  <si>
    <t>US-238</t>
  </si>
  <si>
    <t>US-158</t>
  </si>
  <si>
    <t>US-267</t>
  </si>
  <si>
    <t>US-481</t>
  </si>
  <si>
    <t>2.6413/2.5695</t>
  </si>
  <si>
    <t>US-205</t>
  </si>
  <si>
    <t>US-504</t>
  </si>
  <si>
    <t>US-097</t>
  </si>
  <si>
    <t>US-459</t>
  </si>
  <si>
    <t>US-127</t>
  </si>
  <si>
    <t>US-075</t>
  </si>
  <si>
    <t>US-006</t>
  </si>
  <si>
    <t>US-575</t>
  </si>
  <si>
    <t>US-549</t>
  </si>
  <si>
    <t>0.5714/0.5580</t>
  </si>
  <si>
    <t>US-215</t>
  </si>
  <si>
    <t>US-189</t>
  </si>
  <si>
    <t>US-260</t>
  </si>
  <si>
    <t>US-285</t>
  </si>
  <si>
    <t>US-138</t>
  </si>
  <si>
    <t>US-195</t>
  </si>
  <si>
    <t>US-159</t>
  </si>
  <si>
    <t>US-170</t>
  </si>
  <si>
    <t>US-262</t>
  </si>
  <si>
    <t>US-276</t>
  </si>
  <si>
    <t>US-506</t>
  </si>
  <si>
    <t>US-099</t>
  </si>
  <si>
    <t>US-456</t>
  </si>
  <si>
    <t>US-263</t>
  </si>
  <si>
    <t>US-230</t>
  </si>
  <si>
    <t>0.1378/0.1336</t>
  </si>
  <si>
    <t>US-194</t>
  </si>
  <si>
    <t>US-494</t>
  </si>
  <si>
    <t>US-446</t>
  </si>
  <si>
    <t>US-183</t>
  </si>
  <si>
    <t>US-452</t>
  </si>
  <si>
    <t>US-103</t>
  </si>
  <si>
    <t>US-357</t>
  </si>
  <si>
    <t>US-120</t>
  </si>
  <si>
    <t>US-465</t>
  </si>
  <si>
    <t>US-201</t>
  </si>
  <si>
    <t>US-173</t>
  </si>
  <si>
    <t>US-522</t>
  </si>
  <si>
    <t>US-480</t>
  </si>
  <si>
    <t>US-473</t>
  </si>
  <si>
    <t>1.3257/1.2524</t>
  </si>
  <si>
    <t>US-001</t>
  </si>
  <si>
    <t>0.9253/1.0066</t>
  </si>
  <si>
    <t>0.7500/0.7889</t>
  </si>
  <si>
    <t>US-521</t>
  </si>
  <si>
    <t>1.1874/1.2084</t>
  </si>
  <si>
    <t>US-407</t>
  </si>
  <si>
    <t>US-172</t>
  </si>
  <si>
    <t>US-424</t>
  </si>
  <si>
    <t>US-296</t>
  </si>
  <si>
    <t>US-133</t>
  </si>
  <si>
    <t>US-275</t>
  </si>
  <si>
    <t>US-396</t>
  </si>
  <si>
    <t>0.0826/0.0915</t>
  </si>
  <si>
    <t>*****/*****</t>
  </si>
  <si>
    <t>US-425</t>
  </si>
  <si>
    <t>US-175</t>
  </si>
  <si>
    <t>US-151</t>
  </si>
  <si>
    <t>0.7707/0.7500</t>
  </si>
  <si>
    <t>US-365</t>
  </si>
  <si>
    <t>US-413</t>
  </si>
  <si>
    <t>US-442</t>
  </si>
  <si>
    <t>US-008</t>
  </si>
  <si>
    <t>1.0224/1.1099</t>
  </si>
  <si>
    <t>US-268</t>
  </si>
  <si>
    <t>US-032</t>
  </si>
  <si>
    <t>1.8094/1.7439</t>
  </si>
  <si>
    <t>US-241</t>
  </si>
  <si>
    <t>US-566</t>
  </si>
  <si>
    <t>US-564</t>
  </si>
  <si>
    <t>US-434</t>
  </si>
  <si>
    <t>US-463</t>
  </si>
  <si>
    <t>US-501</t>
  </si>
  <si>
    <t>2.0153/1.8908</t>
  </si>
  <si>
    <t>2.7787/2.8079</t>
  </si>
  <si>
    <t>US-492</t>
  </si>
  <si>
    <t>US-293</t>
  </si>
  <si>
    <t>US-415</t>
  </si>
  <si>
    <t>US-540</t>
  </si>
  <si>
    <t>US-539</t>
  </si>
  <si>
    <t>US-264</t>
  </si>
  <si>
    <t>US-360</t>
  </si>
  <si>
    <t>US-110</t>
  </si>
  <si>
    <t>US-236</t>
  </si>
  <si>
    <t>0.2817/2817</t>
  </si>
  <si>
    <t>US-491</t>
  </si>
  <si>
    <t>US-305</t>
  </si>
  <si>
    <t>US-435</t>
  </si>
  <si>
    <t>US-117</t>
  </si>
  <si>
    <t>US-537</t>
  </si>
  <si>
    <t>US-007</t>
  </si>
  <si>
    <t>US-478</t>
  </si>
  <si>
    <t>1.0785/1.0496</t>
  </si>
  <si>
    <t>US-122</t>
  </si>
  <si>
    <t>US-281</t>
  </si>
  <si>
    <t>US-155</t>
  </si>
  <si>
    <t>1.7231/1.7934</t>
  </si>
  <si>
    <t>US-181</t>
  </si>
  <si>
    <t>US-482</t>
  </si>
  <si>
    <t>US-020</t>
  </si>
  <si>
    <t>US-450</t>
  </si>
  <si>
    <t>US-500</t>
  </si>
  <si>
    <t>2.0873/2.1987</t>
  </si>
  <si>
    <t>6.9520/6.7829</t>
  </si>
  <si>
    <t>US-439</t>
  </si>
  <si>
    <t>US-209</t>
  </si>
  <si>
    <t>US-517</t>
  </si>
  <si>
    <t>US-222</t>
  </si>
  <si>
    <t>US-174</t>
  </si>
  <si>
    <t>US-468</t>
  </si>
  <si>
    <t>US-289</t>
  </si>
  <si>
    <t>US-486</t>
  </si>
  <si>
    <t>US-490</t>
  </si>
  <si>
    <t>US-192</t>
  </si>
  <si>
    <t>US-428</t>
  </si>
  <si>
    <t>US-471</t>
  </si>
  <si>
    <t>US-405</t>
  </si>
  <si>
    <t>US-474</t>
  </si>
  <si>
    <t>7.0434/7.1736</t>
  </si>
  <si>
    <t>US-163</t>
  </si>
  <si>
    <t>US-083</t>
  </si>
  <si>
    <t>US-015</t>
  </si>
  <si>
    <t>US-145</t>
  </si>
  <si>
    <t>US-562</t>
  </si>
  <si>
    <t>US-550</t>
  </si>
  <si>
    <t>US-219</t>
  </si>
  <si>
    <t>US-495</t>
  </si>
  <si>
    <t>US-026</t>
  </si>
  <si>
    <t>0.1004/0.1086</t>
  </si>
  <si>
    <t>US-065</t>
  </si>
  <si>
    <t>US-199</t>
  </si>
  <si>
    <t>US-288</t>
  </si>
  <si>
    <t>0.3058/0.2656</t>
  </si>
  <si>
    <t>US-385</t>
  </si>
  <si>
    <t>US-542</t>
  </si>
  <si>
    <t>US-265</t>
  </si>
  <si>
    <t>US-256</t>
  </si>
  <si>
    <t>US-069</t>
  </si>
  <si>
    <t>0.5758/0.6220</t>
  </si>
  <si>
    <t>US-448</t>
  </si>
  <si>
    <t>US-104</t>
  </si>
  <si>
    <t>US-162</t>
  </si>
  <si>
    <t>1.4641/1.4058</t>
  </si>
  <si>
    <t>US-156</t>
  </si>
  <si>
    <t>US-489</t>
  </si>
  <si>
    <t>US-558</t>
  </si>
  <si>
    <t>US-147</t>
  </si>
  <si>
    <t>US-023</t>
  </si>
  <si>
    <t>US-403</t>
  </si>
  <si>
    <t>&gt;120/*****</t>
  </si>
  <si>
    <t>US-373</t>
  </si>
  <si>
    <t>US-010</t>
  </si>
  <si>
    <t>US-143</t>
  </si>
  <si>
    <t>US-392</t>
  </si>
  <si>
    <t>0.1585/0.0848</t>
  </si>
  <si>
    <t>US-235</t>
  </si>
  <si>
    <t>1.8873/1.8497</t>
  </si>
  <si>
    <t>US-454</t>
  </si>
  <si>
    <t>US-469</t>
  </si>
  <si>
    <t>US-193</t>
  </si>
  <si>
    <t>US-505</t>
  </si>
  <si>
    <t>US-271</t>
  </si>
  <si>
    <t>US-498</t>
  </si>
  <si>
    <t>1.5814/1.5539</t>
  </si>
  <si>
    <t>US-441</t>
  </si>
  <si>
    <t>US-239</t>
  </si>
  <si>
    <t>US-533</t>
  </si>
  <si>
    <t>US-283</t>
  </si>
  <si>
    <t>US-464</t>
  </si>
  <si>
    <t>US-021</t>
  </si>
  <si>
    <t>US-279</t>
  </si>
  <si>
    <t>0.0626/0.0604</t>
  </si>
  <si>
    <t>US-462</t>
  </si>
  <si>
    <t>US-128</t>
  </si>
  <si>
    <t>US-002</t>
  </si>
  <si>
    <t>US-240</t>
  </si>
  <si>
    <t>4.2989/3.9011</t>
  </si>
  <si>
    <t>US-244</t>
  </si>
  <si>
    <t>US-332</t>
  </si>
  <si>
    <t>US-568</t>
  </si>
  <si>
    <t>US-282</t>
  </si>
  <si>
    <t>US-180</t>
  </si>
  <si>
    <t>US-247</t>
  </si>
  <si>
    <t>US-423</t>
  </si>
  <si>
    <t>US-525</t>
  </si>
  <si>
    <t>US-418</t>
  </si>
  <si>
    <t>US-210</t>
  </si>
  <si>
    <t>US-367</t>
  </si>
  <si>
    <t>US-388</t>
  </si>
  <si>
    <t>2.1116/2.1518</t>
  </si>
  <si>
    <t>US-347</t>
  </si>
  <si>
    <t>US-096</t>
  </si>
  <si>
    <t>US-427</t>
  </si>
  <si>
    <t>US-242</t>
  </si>
  <si>
    <t>US-228</t>
  </si>
  <si>
    <t>0.3639/0.3636</t>
  </si>
  <si>
    <t>US-523</t>
  </si>
  <si>
    <t>US-414</t>
  </si>
  <si>
    <t>US-190</t>
  </si>
  <si>
    <t>US-252</t>
  </si>
  <si>
    <t>US-269</t>
  </si>
  <si>
    <t>US-381</t>
  </si>
  <si>
    <t>US-444</t>
  </si>
  <si>
    <t>US-136</t>
  </si>
  <si>
    <t>US-322</t>
  </si>
  <si>
    <t>US-198</t>
  </si>
  <si>
    <t>US-277</t>
  </si>
  <si>
    <t>US-496</t>
  </si>
  <si>
    <t>US-179</t>
  </si>
  <si>
    <t>US-278</t>
  </si>
  <si>
    <t>0.0626/0.0537</t>
  </si>
  <si>
    <t>US-261</t>
  </si>
  <si>
    <t>US-090</t>
  </si>
  <si>
    <t>0.1142/0.0825</t>
  </si>
  <si>
    <t>US-140</t>
  </si>
  <si>
    <t>US-502</t>
  </si>
  <si>
    <t>1.1157/1.1463</t>
  </si>
  <si>
    <t>US-011</t>
  </si>
  <si>
    <t>US-012</t>
  </si>
  <si>
    <t>US-027</t>
  </si>
  <si>
    <t>0.9303/0.8914</t>
  </si>
  <si>
    <t>US-038</t>
  </si>
  <si>
    <t>US-064</t>
  </si>
  <si>
    <t>US-111</t>
  </si>
  <si>
    <t>US-114</t>
  </si>
  <si>
    <t>US-119</t>
  </si>
  <si>
    <t>US-129</t>
  </si>
  <si>
    <t>US-131</t>
  </si>
  <si>
    <t>US-146</t>
  </si>
  <si>
    <t>US-160</t>
  </si>
  <si>
    <t>US-171</t>
  </si>
  <si>
    <t>US-197</t>
  </si>
  <si>
    <t>US-208</t>
  </si>
  <si>
    <t>US-213</t>
  </si>
  <si>
    <t>US-214</t>
  </si>
  <si>
    <t>US-251</t>
  </si>
  <si>
    <t>US-270</t>
  </si>
  <si>
    <t>US-362</t>
  </si>
  <si>
    <t>US-412</t>
  </si>
  <si>
    <t>US-483</t>
  </si>
  <si>
    <t>US-513</t>
  </si>
  <si>
    <t>US-538</t>
  </si>
  <si>
    <t>US-552</t>
  </si>
  <si>
    <t>US-555</t>
  </si>
  <si>
    <t>US-350</t>
  </si>
  <si>
    <t>Sexe</t>
  </si>
  <si>
    <t>Numérique (Décimal)</t>
  </si>
  <si>
    <t>Valeur_IMC</t>
  </si>
  <si>
    <t>Classe_IMC</t>
  </si>
  <si>
    <t>Statut_vaccinal</t>
  </si>
  <si>
    <t>Date</t>
  </si>
  <si>
    <t>Catégorique (Ordinale)</t>
  </si>
  <si>
    <t>Valeurs manquantes</t>
  </si>
  <si>
    <t>Titre_tronque</t>
  </si>
  <si>
    <t>Dictionnaire révisé</t>
  </si>
  <si>
    <t>Catégorique (Nominale)</t>
  </si>
  <si>
    <t>Identifiant unique du sujet avec préfixe "US-"</t>
  </si>
  <si>
    <t>Probable</t>
  </si>
  <si>
    <t>Signification de "US-" non confirmée</t>
  </si>
  <si>
    <t>Sexe du sujet</t>
  </si>
  <si>
    <t>Certain</t>
  </si>
  <si>
    <t>Aucun</t>
  </si>
  <si>
    <t>Comorbidite_naissance</t>
  </si>
  <si>
    <t>Présence de comorbidité à la naissance (Yes/No/NA)</t>
  </si>
  <si>
    <t>Date_dose1</t>
  </si>
  <si>
    <t>Date_dose2</t>
  </si>
  <si>
    <t>Date de la 1ère dose de vaccin</t>
  </si>
  <si>
    <t>Numérique (Entier)</t>
  </si>
  <si>
    <t>Classe_scolaire</t>
  </si>
  <si>
    <t>Titre_AC_28j</t>
  </si>
  <si>
    <t>Numérique (Continu)</t>
  </si>
  <si>
    <t>Resultat_qual_28j</t>
  </si>
  <si>
    <t>DensiteOptique_28j</t>
  </si>
  <si>
    <t>Densité optique (ELISA) à 28 jours</t>
  </si>
  <si>
    <t>Resultat_neutralisation_28j</t>
  </si>
  <si>
    <t>Résultat qualitatif de neutralisation</t>
  </si>
  <si>
    <t>Titre_AC_3mois</t>
  </si>
  <si>
    <t>Resultat_qual_3mois</t>
  </si>
  <si>
    <t>DensiteOptique_3mois</t>
  </si>
  <si>
    <t>Densité optique à 3 mois</t>
  </si>
  <si>
    <t>Resultat_neutralisation_3mois</t>
  </si>
  <si>
    <t>Resultat_qual_7mois</t>
  </si>
  <si>
    <t>DensiteOptique_7mois</t>
  </si>
  <si>
    <t>Densité optique à 7 mois</t>
  </si>
  <si>
    <t>Resultat_neutralisation_7mois</t>
  </si>
  <si>
    <t>Temps_suivi_jours</t>
  </si>
  <si>
    <t>Numérique (Discret)</t>
  </si>
  <si>
    <t>Statut_evenement</t>
  </si>
  <si>
    <r>
      <t>Méthode de reconstruction</t>
    </r>
    <r>
      <rPr>
        <sz val="11"/>
        <color rgb="FF000000"/>
        <rFont val="Calibri"/>
        <family val="2"/>
        <charset val="1"/>
      </rPr>
      <t xml:space="preserve"> </t>
    </r>
  </si>
  <si>
    <t>Hypothèses basées sur</t>
  </si>
  <si>
    <t>(1) L'analyse directe des valeurs,</t>
  </si>
  <si>
    <t>(2) Le vocabulaire standard de la sérologie vaccinale,</t>
  </si>
  <si>
    <t>(3) Le contexte de l'étude (adolescents scolarisés, suivi à 28j/3mois/7mois)"</t>
  </si>
  <si>
    <t>Female</t>
  </si>
  <si>
    <t>N°</t>
  </si>
  <si>
    <t>Variable(s)</t>
  </si>
  <si>
    <t>Action réalisée</t>
  </si>
  <si>
    <t>Justification</t>
  </si>
  <si>
    <t>Etapes</t>
  </si>
  <si>
    <t>Chargement et inspection de la base</t>
  </si>
  <si>
    <t>Toutes les variables</t>
  </si>
  <si>
    <t>Inspection visuelle de la base de données, Prise de connaissances des différentes variables et leurs modalités</t>
  </si>
  <si>
    <t>Documentation</t>
  </si>
  <si>
    <t>Absence de documentation officielle</t>
  </si>
  <si>
    <t>Construction d'un dictionnaire de données à partir de recherche sur internet et des clarifications avec l'IA</t>
  </si>
  <si>
    <t>Livrables</t>
  </si>
  <si>
    <t>Sommaire de la base de données</t>
  </si>
  <si>
    <t>Nombre de colonnes</t>
  </si>
  <si>
    <t>Items</t>
  </si>
  <si>
    <t>Nombre de lignes</t>
  </si>
  <si>
    <t>Variables</t>
  </si>
  <si>
    <t>Modalités rencontrées</t>
  </si>
  <si>
    <t>Cellules vides</t>
  </si>
  <si>
    <t xml:space="preserve">Type </t>
  </si>
  <si>
    <t>Standard (Texte)</t>
  </si>
  <si>
    <t>Standard (Catégorielle)</t>
  </si>
  <si>
    <t>Nombre (Numérique)</t>
  </si>
  <si>
    <t>Inspection générale de la base (Nombre de lignes et de colonnes, variables, cellules vides, valeurs manquantes)</t>
  </si>
  <si>
    <t>ID_sujet</t>
  </si>
  <si>
    <t>Class_IMC</t>
  </si>
  <si>
    <t>Dose_Date1</t>
  </si>
  <si>
    <t>Dose_Date2</t>
  </si>
  <si>
    <t>Infection_antérieure</t>
  </si>
  <si>
    <t>Base de données nettoyée</t>
  </si>
  <si>
    <t xml:space="preserve">Renommage des colonnes suivant le dictionnaire révisé </t>
  </si>
  <si>
    <t>Comorbidite_naissance, Date_Dose1, Date_Dose2</t>
  </si>
  <si>
    <t>Nettoyage : Valeurs manquantes</t>
  </si>
  <si>
    <t xml:space="preserve">Remplacement de 107 cellules "NA" (texte) par cellules vides </t>
  </si>
  <si>
    <t>NA → (vide)</t>
  </si>
  <si>
    <t xml:space="preserve"> 100% des manquants codés en texte "NA", Aucune vraie cellule vide dans la colonne d'origine</t>
  </si>
  <si>
    <t>CapaciteNeutralisation_28j_mesure1</t>
  </si>
  <si>
    <t xml:space="preserve">Note : les "#N/A" dans Date_dose1/Date_dose2 ne sont pas du texte mais de vraies valeurs d'erreur Excel (probablement issues d'une formule =NA() ou RECHERCHEV dans le fichier source) — Rechercher/Remplacer en mode texte ne les détecte pas ; utilisation de F5 &gt; Cellules &gt; Erreurs à la place. </t>
  </si>
  <si>
    <t>Nettoyage : Valeurs dupliquées</t>
  </si>
  <si>
    <t>Observations</t>
  </si>
  <si>
    <t>Absence de documentation sur la nature de la 2e valeur ; choix de conserver l'information brute sans perte plutôt que de calculer une moyenne arbitraire</t>
  </si>
  <si>
    <t>CapaciteNeutralisation_28j_mesure2</t>
  </si>
  <si>
    <t>CapaciteNeutralisation_3mois_mesure1</t>
  </si>
  <si>
    <t>CapaciteNeutralisation_3mois_mesure2</t>
  </si>
  <si>
    <t>CapaciteNeutralisation_7mois_mesure1</t>
  </si>
  <si>
    <t>CapaciteNeutralisation_7mois_mesure2</t>
  </si>
  <si>
    <t>Séparation des cellules à double mesure ("xy") en 2 colonnes distinctes (_mesure1, _mesure2) via Convertir Texte en colonnes)</t>
  </si>
  <si>
    <t>Titre_AC_7mois_mesure_1</t>
  </si>
  <si>
    <t>Titre_AC_7mois_mesure_2</t>
  </si>
  <si>
    <t>CapaciteNeutralisation_(28j, 3mois, 7mois) et Titre_AC_7mois</t>
  </si>
  <si>
    <t>Anomalie détectée : l'outil "Texte en colonnes" a mal interprété le séparateur décimal (confusion point virgule, paramètres régionaux français) lors de la séparation des cellules "xy" — valeurs comme "1.6594" transformées en "16594". Corrigé en spécifiant manuellement les séparateurs via le bouton "Avancé" de l'assistant. Lacolonne Titre_AC_7mois n'a pas posé de problèeme de séparateur</t>
  </si>
  <si>
    <t>Titre_AC_28j_valeurs</t>
  </si>
  <si>
    <t>Titre_AC_28j_statut</t>
  </si>
  <si>
    <t>Titre_AC_3mois_statut</t>
  </si>
  <si>
    <t>Titre_AC_3mois_valeurs</t>
  </si>
  <si>
    <t>Titre_AC_7mois_mesure_1_statut</t>
  </si>
  <si>
    <t>Titre_AC_7mois_mesure_1_valeurs</t>
  </si>
  <si>
    <t>Titre_AC_7mois_mesure_2_statut</t>
  </si>
  <si>
    <t>Titre_AC_7mois_mesure_2_valeurs</t>
  </si>
  <si>
    <t>Nettoyage : Censure/codes spéciaux</t>
  </si>
  <si>
    <t>Titre_AC_28j, Titre_AC_3mois, Titre_AC_7mois_mesure1, Titre_AC_7mois_mesure2</t>
  </si>
  <si>
    <t>Colonnes d'origine mélangeaient valeurs numériques réelles et codes texte ("&gt;120", "*****") ; conserver l'info qualitative plutôt que de la supprimer ou d'inventer une valeur</t>
  </si>
  <si>
    <t xml:space="preserve">Ajout d'un test ESTVIDE() en priorité dans les formules, car les vraies cellules vides étaient mal interprétées (donnaient 0 en valeur et "Normal" en statut par défaut). CNUM() renvoie 0 sur une cellule vide au lieu d'une erreur ; nécessaire pour distinguer "vraiment manquant" de "censure"/"échec technique" ; Cellule vide : "0.00000"/"Normal" → "" / cellule vide </t>
  </si>
  <si>
    <t>Séparation de chaque colonne en 2 : "_valeur" (numérique pur) et "_statut" (Normal/Censure_haute/Echec_technique/Manquant), via SIERREUR(CNUM(...)) et test GAUCHE()/ESTVIDE(). Nous avons "&gt;120" → valeur vide + statut "Censure_haute" ; "*****" → valeur vide + statut "Echec_technique" ; cellule vraiment vide → valeur vide + statut en cellule vide</t>
  </si>
  <si>
    <t>(4) Recherche de logique par croisement de variables</t>
  </si>
  <si>
    <t>Non testé</t>
  </si>
  <si>
    <t>Incertain</t>
  </si>
  <si>
    <t>Resultat_qual_28j/3mois/7mois vs Titre_AC correspondant</t>
  </si>
  <si>
    <t>Validation croisée et Logique confirmée aux 3 temps : "*"↔"*****" (test non réalisé), "N"↔numérique, "R"↔(numérique ou "&gt;120"), "?"↔numérique | 2 cas anomalies détectés ("R" associé à "*****") sur 294×3 ≈ 880 paires observées</t>
  </si>
  <si>
    <t>Piège rencontré : "*" et "?" sont interprétés comme caractères joker par Rechercher/Remplacer dans Excel — nécessité d'échapper avec "~*" et "~?" pour cibler les symboles littéraux.</t>
  </si>
  <si>
    <t>Vérification de la cohérence entre résultat qualitatif et valeur quantitative associée ; Recodage de "*" en "Non testé" et "," en "Incertain"</t>
  </si>
  <si>
    <t>Nettoyage : Recodage catégoriel des codes spéciaux "*" et "?"</t>
  </si>
  <si>
    <t>Correction label</t>
  </si>
  <si>
    <t>Titre_AC_28j/_3mois/_7mois_mesure1/_mesure2 (statut)</t>
  </si>
  <si>
    <t>Remplacement global "Echec_technique" → "Non_teste" (337 cellules), puis exception manuelle sur US-111 (Titre_AC_3mois) remise en "Echec_technique"</t>
  </si>
  <si>
    <t>Validation croisée montrant que la quasi-totalité des cas étaient systématiques (test non réalisé) et non des pannes ; US-111 isolé et contredit le pattern</t>
  </si>
  <si>
    <t>Correction saisie</t>
  </si>
  <si>
    <t>Détecté lors du scan final de vérification des caractères spéciaux résiduels</t>
  </si>
  <si>
    <t>Correction de "2817" en "0.2817" (point décimal manquant, valeur aberrante comparée à mesure1=0.2817 et à la plage habituelle de la variable) ; "2817" → "0.2817"</t>
  </si>
  <si>
    <t>Femme</t>
  </si>
  <si>
    <t>Homme</t>
  </si>
  <si>
    <t>Non</t>
  </si>
  <si>
    <t>Oui</t>
  </si>
  <si>
    <t>Surpoids</t>
  </si>
  <si>
    <t>Poids normal</t>
  </si>
  <si>
    <t>Obésité</t>
  </si>
  <si>
    <t>Insuffisance pondérale</t>
  </si>
  <si>
    <t>Non vacciné</t>
  </si>
  <si>
    <t>Vacciné</t>
  </si>
  <si>
    <t>Négatif</t>
  </si>
  <si>
    <t>Réactif</t>
  </si>
  <si>
    <t>Standardisation catégorielle</t>
  </si>
  <si>
    <t>Sexe, Comorbidite_naissance, Infection_anterieure, Resultat_neutralisation_28j/3mois/7mois, Classe_IMC, Statut_vaccinal</t>
  </si>
  <si>
    <t>Vérification exhaustive des 29 colonnes confirmant que ces 8 étaient les seules concernées (Classe_scolaire exclue, codes scolaires propres à l'étude, non traduisibles)</t>
  </si>
  <si>
    <t>Recodage des 8 dernières colonnes catégorielles vers des libellés explicites en français (codes courts F/M/Y/N/R décodés + traduction des modalités restées en anglais) ; Ex: "F"→"Femme" ; "Overweight"→"Surpoids" ; "Vaccinated"→"Vacciné"</t>
  </si>
  <si>
    <t xml:space="preserve">Pour une cohérence terminologique complète du fichier </t>
  </si>
  <si>
    <t>Vérification types de données</t>
  </si>
  <si>
    <t>Toutes les colonnes</t>
  </si>
  <si>
    <t>Contrôle systématique du type de chaque colonne (alignement, Ctrl+1) : colonnes numériques (Valeur_IMC, Age, Densite_optique_..., Titre_AC_..._valeur, CapaciteNeutralisation_..., Temps_suivi_jours) et colonnes dates (Date_dose1/2) vérifiées correctes ; Correction du format mixte "Standard/Nombre" sur Titre_AC_7mois_mesure_2 ; uniformisation du format des en-têtes (ligne 1) en "Standard" sur l'ensemble du fichier</t>
  </si>
  <si>
    <t xml:space="preserve"> 2 constats sans impact réel, documentés pour mémoire : (1) en-têtes parfois au même format "Nombre" que leurs valeurs — sans effet, un en-tête reste du texte quel que soit le format appliqué ; (2) formats Standard sur Age/Temps_suivi_jours — sans impact sur les calculs. Seule vraie correction : format mixte Standard/Nombre uniformisé sur Titre_AC_7mois_mesure_2, et harmonisation des en-têtes en "Standard" ; Contrôle nécessaire après les transformations des étapes 2-4 (formules, séparations, recodages) pour s'assurer qu'aucune valeur numérique n'était restée déguisée en texte</t>
  </si>
  <si>
    <t>Ensemble du fichier</t>
  </si>
  <si>
    <t>Suppression de toute la mise en forme héritée (couleurs, gras, polices, bordures manquantes) et réapplication d'un style uniforme (bordures complètes, en-têtes en gras, police unique, tableau structuré)</t>
  </si>
  <si>
    <t xml:space="preserve"> Investigation menée avant suppression : (1) surlignage jaune sur ODQ28Days/ODQ4months coïncidant exactement avec les 2 colonnes déjà signalées comme problématiques au dictionnaire ; signal probable des auteurs originaux, confiance renforcée sur ces variables ; (2) surlignage bleu sur 2 lignes isolées (US-004, US-019) ; hypothèse de contradiction Q Result/N Results testée et rejetée : origine non déterminée, probable audit manuel des auteurs ; (3) désaccord Q Result/N Results noté comme caractéristique biologique du dataset (deux méthodes sérologiques différentes), non corrigé ; (4) cellule rouge isolée (US-116) et triangles verts Excel (BMI/Vacstat, faux-positifs standards) sans pattern confirmé. Mise en forme jugée sans valeur analytique exploitable au-delà de ces observations, supprimée après investigation</t>
  </si>
  <si>
    <t>Standardisation de la mise en forme</t>
  </si>
  <si>
    <t>Titre_tronque_dérivée</t>
  </si>
  <si>
    <t>Construction variable dérivée</t>
  </si>
  <si>
    <t>Colonne reconstruite (vide à l'origine) : valeur=120 si le statut de censure au temps correspondant à Temps_suivi_jours est "Censure_haute", vide sinon</t>
  </si>
  <si>
    <t>Absence de documentation officielle ; règle basée sur la correspondance Time/point de mesure le plus proche (92j→3mois, 182j/210j→7mois, faute de colonne dédiée à 182j) ; convention standard en analyse de survie pour encoder une censure connue</t>
  </si>
  <si>
    <t>1. Nombre de lignes et de ID</t>
  </si>
  <si>
    <t>Nombre d'ID uniques</t>
  </si>
  <si>
    <t>2. % de Censure haute, Non teste par temps, comparé au croisement initial</t>
  </si>
  <si>
    <t>Moyenne 7mois : =MOYENNE.SI(colonne_statut_7mois_mesure1;"Normal";colonne_valeur_7mois_mesure1)</t>
  </si>
  <si>
    <t>3. Titre_AC moyen (hors censurés/non testés) croissant dans le temps</t>
  </si>
  <si>
    <t>Moyenne 28j</t>
  </si>
  <si>
    <t>Moyenne 3mois</t>
  </si>
  <si>
    <t>% Censure_haute à 28j</t>
  </si>
  <si>
    <t>% Censure_haute à 7 mois</t>
  </si>
  <si>
    <t>4. Cohérence chronologique des dates</t>
  </si>
  <si>
    <t>5. Plage d'âge plausible</t>
  </si>
  <si>
    <t>Minimum</t>
  </si>
  <si>
    <t>Maximum</t>
  </si>
  <si>
    <t>6. Cohérence Titre_tronque / Statut_evenement</t>
  </si>
  <si>
    <t>Titre_tronque / Statut_evenement</t>
  </si>
  <si>
    <t>Cohérence chronologique des dates</t>
  </si>
  <si>
    <t/>
  </si>
  <si>
    <t>Indicateurs de validation</t>
  </si>
  <si>
    <t>Ensemble du dataset nettoyé</t>
  </si>
  <si>
    <t>Calcul de 6 indicateurs de vérification post-nettoyage sur feuille dédiée "Indicateurs" : (1) intégrité — 294 lignes, 294 ID uniques ; (2) répartition Censure_haute par temps (43/156/174 à 28j/3mois/7mois), conforme au croisement établi en étape 4 ; (3) progression du titre d'anticorps moyen (cas "Normal" uniquement) : 18.98 → 29.72 → 44.49, cohérente avec la logique biologique attendue (montée post-vaccinale) ; (4) cohérence chronologique Dose_Date1/Dose_Date2 (0 inversion) ; (5) plage d'âge plausible (11-16 ans) ; (6) cohérence de la variable dérivée Titre_tronque avec Statut_evenement (0 incohérence)</t>
  </si>
  <si>
    <t>Objectif double : produire des indicateurs de synthèse ET valider que le nettoyage des étapes 1-5 n'a pas laissé d'erreur cachée</t>
  </si>
  <si>
    <t xml:space="preserve"> Une anomalie a été détectée par l'indicateur 3 (moyenne à 7 mois initialement à 431 321.99, hors de toute plage plausible) : facteur ×10000 résiduel sur Titre_AC_7mois_mesure_1_valeurs (bug de séparateur décimal non corrigé aux étapes précédentes, ex. US-512 : 979592→97.9592), corrigé par division ciblée des valeurs &gt;1000</t>
  </si>
  <si>
    <t>Nettoyage : Renommage des colonnes</t>
  </si>
  <si>
    <t>Aucune perte de ligne</t>
  </si>
  <si>
    <t>Aucun doublon d'ID</t>
  </si>
  <si>
    <t>Référence de départ</t>
  </si>
  <si>
    <t>Croissance logique confirmée</t>
  </si>
  <si>
    <t>croissance confirmée</t>
  </si>
  <si>
    <t>Aucune inversion de date</t>
  </si>
  <si>
    <t>Cohérent avec public adolescent scolarisé</t>
  </si>
  <si>
    <t>Règle de construction respectée</t>
  </si>
  <si>
    <t>Subject_ID</t>
  </si>
  <si>
    <t>Sex</t>
  </si>
  <si>
    <t>Birth_comorbidity</t>
  </si>
  <si>
    <t>BMI_value</t>
  </si>
  <si>
    <t>BMI_class</t>
  </si>
  <si>
    <t>Vaccination_status</t>
  </si>
  <si>
    <t>School_grade</t>
  </si>
  <si>
    <t>Prior_infection</t>
  </si>
  <si>
    <t>Antibody_titer_28d_status</t>
  </si>
  <si>
    <t>Antibody_titer_28d</t>
  </si>
  <si>
    <t>Antibody_titer_28d_value</t>
  </si>
  <si>
    <t>Qual_result_28d</t>
  </si>
  <si>
    <t>Optical_density_28d</t>
  </si>
  <si>
    <t>Neutralization_capacity_28d_m1</t>
  </si>
  <si>
    <t>Neutralization_capacity_28d_m2</t>
  </si>
  <si>
    <t>Neutralization_result_28d</t>
  </si>
  <si>
    <t>Antibody_titer_3m_status</t>
  </si>
  <si>
    <t>Antibody_titer_3m</t>
  </si>
  <si>
    <t>Antibody_titer_3m_value</t>
  </si>
  <si>
    <t>Qual_result_3m</t>
  </si>
  <si>
    <t>Optical_density_3m</t>
  </si>
  <si>
    <t>Neutralization_capacity_3m_m1</t>
  </si>
  <si>
    <t>Neutralization_capacity_3m_m2</t>
  </si>
  <si>
    <t>Neutralization_result_3m</t>
  </si>
  <si>
    <t>Antibody_titer_7m_m1_status</t>
  </si>
  <si>
    <t>Antibody_titer_7m_m1</t>
  </si>
  <si>
    <t>Antibody_titer_7m_m1_value</t>
  </si>
  <si>
    <t>Antibody_titer_7m_m2_status</t>
  </si>
  <si>
    <t>Antibody_titer_7m_m2</t>
  </si>
  <si>
    <t>Antibody_titer_7m_m2_value</t>
  </si>
  <si>
    <t>Qual_result_7m</t>
  </si>
  <si>
    <t>Optical_density_7m</t>
  </si>
  <si>
    <t>Neutralization_capacity_7m_m1</t>
  </si>
  <si>
    <t>Neutralization_capacity_7m_m2</t>
  </si>
  <si>
    <t>Neutralization_result_7m</t>
  </si>
  <si>
    <t>Followup_time_days</t>
  </si>
  <si>
    <t>Event_status</t>
  </si>
  <si>
    <t>Truncated_titer_derived</t>
  </si>
  <si>
    <t>Male</t>
  </si>
  <si>
    <t>Yes</t>
  </si>
  <si>
    <t>No</t>
  </si>
  <si>
    <t>Unvaccinated</t>
  </si>
  <si>
    <t>Negative</t>
  </si>
  <si>
    <t>Reactive</t>
  </si>
  <si>
    <t>Not tested</t>
  </si>
  <si>
    <t>Uncertain</t>
  </si>
  <si>
    <t>Nom initial</t>
  </si>
  <si>
    <t>Nom proposé (FR)</t>
  </si>
  <si>
    <t>Nom proposé (EN)</t>
  </si>
  <si>
    <t>Type</t>
  </si>
  <si>
    <t>Certitude</t>
  </si>
  <si>
    <t>Problème identifié</t>
  </si>
  <si>
    <t>Unique subject identifier with "US-" prefix</t>
  </si>
  <si>
    <t>Subject's sex</t>
  </si>
  <si>
    <t>Presence of birth comorbidity (Yes/No/NA)</t>
  </si>
  <si>
    <t>Nature exacte non précisée ; "NA" stocké comme texte</t>
  </si>
  <si>
    <t>Valeur numérique de l'IMC</t>
  </si>
  <si>
    <t>Numeric BMI value</t>
  </si>
  <si>
    <t>Catégorie de poids</t>
  </si>
  <si>
    <t>Weight category</t>
  </si>
  <si>
    <t>Statut vaccinal</t>
  </si>
  <si>
    <t>Vaccination status</t>
  </si>
  <si>
    <t>Dose1_date</t>
  </si>
  <si>
    <t>Date of 1st vaccine dose</t>
  </si>
  <si>
    <t>Manquants codés "#N/A" en texte</t>
  </si>
  <si>
    <t>Dose2_date</t>
  </si>
  <si>
    <t>Date de la 2ème dose (~3-4 sem. après)</t>
  </si>
  <si>
    <t>Date of 2nd dose (~3-4 weeks later)</t>
  </si>
  <si>
    <t>Idem</t>
  </si>
  <si>
    <t>Âge en années</t>
  </si>
  <si>
    <t>Age in years</t>
  </si>
  <si>
    <t>Format "Standard"</t>
  </si>
  <si>
    <t>Niveau scolaire</t>
  </si>
  <si>
    <t>School grade level</t>
  </si>
  <si>
    <t>Seulement 2 modalités (S1, S4)</t>
  </si>
  <si>
    <t>Infection_anterieure</t>
  </si>
  <si>
    <t>Statut sérologique avant vaccination</t>
  </si>
  <si>
    <t>Serological status prior to vaccination</t>
  </si>
  <si>
    <t>"R" déduit, non documenté</t>
  </si>
  <si>
    <t>Statut de la mesure (Normal/Censure_haute/Non_teste/Echec_technique)</t>
  </si>
  <si>
    <t>Measurement status</t>
  </si>
  <si>
    <t>Reconstruit</t>
  </si>
  <si>
    <t>Créé lors du nettoyage</t>
  </si>
  <si>
    <t>(idem)</t>
  </si>
  <si>
    <t>Valeur brute d'origine</t>
  </si>
  <si>
    <t>Original raw value</t>
  </si>
  <si>
    <t>Valeurs "*****"/"&gt;120" mêlées aux nombres</t>
  </si>
  <si>
    <t>Titre quantitatif d'anticorps à 28 jours (valeur numérique pure)</t>
  </si>
  <si>
    <t>Quantitative antibody titer at 28 days (clean numeric)</t>
  </si>
  <si>
    <t>Aucun (nettoyé)</t>
  </si>
  <si>
    <t>Résultat qualitatif dérivé</t>
  </si>
  <si>
    <t>Derived qualitative result</t>
  </si>
  <si>
    <t>Probable, confirmé par croisement</t>
  </si>
  <si>
    <t>"?"/"*" clarifiés (Incertain/Non_teste)</t>
  </si>
  <si>
    <t>Optical density (ELISA) at 28 days</t>
  </si>
  <si>
    <t>Terminologie déduite</t>
  </si>
  <si>
    <t>Capacité de neutralisation à 28j, 1ère mesure</t>
  </si>
  <si>
    <t>Neutralization capacity at 28d, 1st reading</t>
  </si>
  <si>
    <t>Séparée d'une cellule à double valeur</t>
  </si>
  <si>
    <t>2ème mesure (relecture)</t>
  </si>
  <si>
    <t>2nd reading (duplicate)</t>
  </si>
  <si>
    <t>Qualitative neutralization result</t>
  </si>
  <si>
    <t>Statut de la mesure</t>
  </si>
  <si>
    <t>"&gt;120"/"*****" mêlés</t>
  </si>
  <si>
    <t>Titre quantitatif à 3 mois (valeur pure)</t>
  </si>
  <si>
    <t>Quantitative antibody titer at 3 months (clean)</t>
  </si>
  <si>
    <t>Résultat qualitatif</t>
  </si>
  <si>
    <t>Qualitative result</t>
  </si>
  <si>
    <t>Idem 28j</t>
  </si>
  <si>
    <t>Optical density at 3 months</t>
  </si>
  <si>
    <t>Nom d'origine incohérent ("4months")</t>
  </si>
  <si>
    <t>Capacité de neutralisation à 3 mois, 1ère mesure</t>
  </si>
  <si>
    <t>Neutralization capacity at 3m, 1st reading</t>
  </si>
  <si>
    <t>2ème mesure</t>
  </si>
  <si>
    <t>2nd reading</t>
  </si>
  <si>
    <t>Statut de la 1ère mesure</t>
  </si>
  <si>
    <t>1st reading status</t>
  </si>
  <si>
    <t>Valeur brute, 1ère mesure</t>
  </si>
  <si>
    <t>Raw value, 1st reading</t>
  </si>
  <si>
    <t>"&gt;120", "*****" mêlés</t>
  </si>
  <si>
    <t>Titre à 7 mois, 1ère mesure (valeur pure)</t>
  </si>
  <si>
    <t>Antibody titer at 7m, 1st reading (clean)</t>
  </si>
  <si>
    <t>Bug ×10000 corrigé (validé par indicateur)</t>
  </si>
  <si>
    <t>Statut de la 2ème mesure</t>
  </si>
  <si>
    <t>2nd reading status</t>
  </si>
  <si>
    <t>Valeur brute, 2ème mesure</t>
  </si>
  <si>
    <t>Raw value, 2nd reading</t>
  </si>
  <si>
    <t>Titre à 7 mois, 2ème mesure (valeur pure)</t>
  </si>
  <si>
    <t>Antibody titer at 7m, 2nd reading (clean)</t>
  </si>
  <si>
    <t>Résultat qualitatif à 7 mois</t>
  </si>
  <si>
    <t>Qualitative result at 7 months</t>
  </si>
  <si>
    <t>Optical density at 7 months</t>
  </si>
  <si>
    <t>Capacité de neutralisation à 7 mois, 1ère mesure</t>
  </si>
  <si>
    <t>Neutralization capacity at 7m, 1st reading</t>
  </si>
  <si>
    <t>Jour de visite de suivi (92/182/210)</t>
  </si>
  <si>
    <t>Follow-up visit day (92/182/210 only)</t>
  </si>
  <si>
    <t>Catégorique (Nominale, binaire)</t>
  </si>
  <si>
    <t>Indicateur d'événement (0=censuré, 1=survenu)</t>
  </si>
  <si>
    <t>Event indicator (0=censored, 1=occurred)</t>
  </si>
  <si>
    <t>À confirmer</t>
  </si>
  <si>
    <t>Nature exacte non confirmée</t>
  </si>
  <si>
    <t>Titre au seuil de censure (120), rattaché au temps de suivi le plus proche</t>
  </si>
  <si>
    <t>Titer at censoring threshold (120), nearest follow-up time</t>
  </si>
  <si>
    <t>Colonne vide à l'origine ; construite selon règle documentée</t>
  </si>
  <si>
    <t>Signification (FR)</t>
  </si>
  <si>
    <t>Signification 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</si>
</sst>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0;[Red]0.0000"/>
    <numFmt numFmtId="167" formatCode="[$-409]mmmm\ d&quot;, &quot;yyyy;@"/>
    <numFmt numFmtId="168" formatCode="[$-409]d\-mmm\-yy;@"/>
  </numFmts>
  <fonts count="1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8"/>
      <color rgb="FF202124"/>
      <name val="Arial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1"/>
      <color rgb="FF2021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B4C7E7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5" fontId="2" fillId="2" borderId="0" xfId="0" applyNumberFormat="1" applyFont="1" applyFill="1"/>
    <xf numFmtId="166" fontId="0" fillId="0" borderId="0" xfId="0" applyNumberFormat="1"/>
    <xf numFmtId="165" fontId="1" fillId="2" borderId="0" xfId="0" applyNumberFormat="1" applyFont="1" applyFill="1"/>
    <xf numFmtId="16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/>
    <xf numFmtId="0" fontId="0" fillId="3" borderId="0" xfId="0" applyFill="1"/>
    <xf numFmtId="168" fontId="0" fillId="3" borderId="0" xfId="0" applyNumberFormat="1" applyFill="1"/>
    <xf numFmtId="167" fontId="0" fillId="0" borderId="0" xfId="0" applyNumberFormat="1"/>
    <xf numFmtId="0" fontId="4" fillId="0" borderId="0" xfId="0" applyFont="1"/>
    <xf numFmtId="165" fontId="4" fillId="0" borderId="0" xfId="0" applyNumberFormat="1" applyFont="1"/>
    <xf numFmtId="165" fontId="5" fillId="0" borderId="0" xfId="0" applyNumberFormat="1" applyFont="1"/>
    <xf numFmtId="0" fontId="0" fillId="4" borderId="0" xfId="0" applyFill="1"/>
    <xf numFmtId="0" fontId="6" fillId="4" borderId="0" xfId="0" applyFont="1" applyFill="1"/>
    <xf numFmtId="0" fontId="0" fillId="5" borderId="0" xfId="0" applyFill="1"/>
    <xf numFmtId="0" fontId="7" fillId="0" borderId="0" xfId="0" applyFont="1"/>
    <xf numFmtId="0" fontId="9" fillId="0" borderId="0" xfId="0" applyFont="1"/>
    <xf numFmtId="0" fontId="10" fillId="0" borderId="0" xfId="0" applyFont="1"/>
    <xf numFmtId="14" fontId="0" fillId="0" borderId="0" xfId="0" applyNumberFormat="1"/>
    <xf numFmtId="165" fontId="11" fillId="0" borderId="0" xfId="0" applyNumberFormat="1" applyFont="1" applyFill="1"/>
    <xf numFmtId="0" fontId="11" fillId="0" borderId="0" xfId="0" applyFont="1" applyFill="1"/>
    <xf numFmtId="167" fontId="11" fillId="0" borderId="0" xfId="0" applyNumberFormat="1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0" fontId="11" fillId="0" borderId="0" xfId="0" applyFont="1" applyFill="1" applyBorder="1"/>
    <xf numFmtId="168" fontId="11" fillId="0" borderId="0" xfId="0" applyNumberFormat="1" applyFont="1" applyFill="1" applyBorder="1"/>
    <xf numFmtId="166" fontId="11" fillId="0" borderId="0" xfId="0" applyNumberFormat="1" applyFont="1" applyFill="1"/>
    <xf numFmtId="167" fontId="11" fillId="0" borderId="0" xfId="0" applyNumberFormat="1" applyFont="1" applyFill="1"/>
    <xf numFmtId="3" fontId="11" fillId="0" borderId="0" xfId="0" applyNumberFormat="1" applyFont="1" applyFill="1"/>
    <xf numFmtId="0" fontId="8" fillId="0" borderId="0" xfId="0" applyNumberFormat="1" applyFont="1" applyFill="1"/>
    <xf numFmtId="0" fontId="8" fillId="0" borderId="0" xfId="0" applyNumberFormat="1" applyFont="1" applyFill="1" applyBorder="1"/>
    <xf numFmtId="0" fontId="1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01"/>
  <sheetViews>
    <sheetView topLeftCell="A269" zoomScale="90" zoomScaleNormal="90" workbookViewId="0">
      <selection activeCell="E2" sqref="E2:E295"/>
    </sheetView>
  </sheetViews>
  <sheetFormatPr baseColWidth="10" defaultColWidth="11.5546875" defaultRowHeight="14.4" x14ac:dyDescent="0.3"/>
  <cols>
    <col min="1" max="2" width="7.6640625" customWidth="1"/>
    <col min="3" max="3" width="11.33203125" customWidth="1"/>
    <col min="4" max="4" width="12.21875" style="1" customWidth="1"/>
    <col min="5" max="5" width="10.88671875" customWidth="1"/>
    <col min="6" max="6" width="14.21875" customWidth="1"/>
    <col min="7" max="7" width="10.21875" customWidth="1"/>
    <col min="8" max="8" width="9.21875" bestFit="1" customWidth="1"/>
    <col min="9" max="9" width="4.88671875" customWidth="1"/>
    <col min="10" max="10" width="5.6640625" customWidth="1"/>
    <col min="11" max="11" width="25.21875" customWidth="1"/>
    <col min="12" max="12" width="18.77734375" customWidth="1"/>
    <col min="13" max="13" width="10.33203125" bestFit="1" customWidth="1"/>
    <col min="14" max="14" width="11.77734375" customWidth="1"/>
    <col min="15" max="15" width="14.21875" customWidth="1"/>
    <col min="16" max="16" width="10.88671875" customWidth="1"/>
    <col min="17" max="17" width="19.21875" customWidth="1"/>
    <col min="18" max="18" width="9.5546875" customWidth="1"/>
    <col min="19" max="19" width="13.33203125" style="2" customWidth="1"/>
    <col min="20" max="20" width="14.21875" customWidth="1"/>
    <col min="21" max="21" width="9" customWidth="1"/>
    <col min="22" max="22" width="18.77734375" customWidth="1"/>
    <col min="23" max="23" width="9.109375" customWidth="1"/>
    <col min="24" max="24" width="13.33203125" style="2" customWidth="1"/>
    <col min="25" max="25" width="14.21875" customWidth="1"/>
    <col min="26" max="26" width="11.6640625" customWidth="1"/>
    <col min="27" max="27" width="5.5546875" customWidth="1"/>
    <col min="28" max="28" width="6.6640625" customWidth="1"/>
    <col min="29" max="29" width="13.6640625" customWidth="1"/>
  </cols>
  <sheetData>
    <row r="1" spans="1:2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t="s">
        <v>12</v>
      </c>
      <c r="N1" s="4" t="s">
        <v>13</v>
      </c>
      <c r="O1" s="5" t="s">
        <v>14</v>
      </c>
      <c r="P1" t="s">
        <v>15</v>
      </c>
      <c r="Q1" t="s">
        <v>16</v>
      </c>
      <c r="R1" t="s">
        <v>17</v>
      </c>
      <c r="S1" s="6" t="s">
        <v>18</v>
      </c>
      <c r="T1" s="2" t="s">
        <v>19</v>
      </c>
      <c r="U1" t="s">
        <v>20</v>
      </c>
      <c r="V1" s="2" t="s">
        <v>21</v>
      </c>
      <c r="W1" t="s">
        <v>22</v>
      </c>
      <c r="X1" s="6" t="s">
        <v>23</v>
      </c>
      <c r="Y1" s="2" t="s">
        <v>24</v>
      </c>
      <c r="Z1" t="s">
        <v>25</v>
      </c>
      <c r="AA1" s="2" t="s">
        <v>26</v>
      </c>
      <c r="AB1" t="s">
        <v>27</v>
      </c>
      <c r="AC1" s="2" t="s">
        <v>28</v>
      </c>
    </row>
    <row r="2" spans="1:29" x14ac:dyDescent="0.3">
      <c r="A2" t="s">
        <v>29</v>
      </c>
      <c r="B2" t="s">
        <v>436</v>
      </c>
      <c r="C2" s="7" t="s">
        <v>30</v>
      </c>
      <c r="D2" s="8">
        <v>22.8</v>
      </c>
      <c r="E2" s="9" t="s">
        <v>31</v>
      </c>
      <c r="F2" s="10" t="s">
        <v>32</v>
      </c>
      <c r="G2" s="11" t="e">
        <f>#N/A</f>
        <v>#N/A</v>
      </c>
      <c r="H2" s="11" t="e">
        <f>#N/A</f>
        <v>#N/A</v>
      </c>
      <c r="I2">
        <v>12</v>
      </c>
      <c r="J2" t="s">
        <v>33</v>
      </c>
      <c r="K2" t="s">
        <v>34</v>
      </c>
      <c r="L2" s="2">
        <v>0.16789999999999999</v>
      </c>
      <c r="M2" t="s">
        <v>34</v>
      </c>
      <c r="N2" s="2">
        <v>3.1E-2</v>
      </c>
      <c r="O2" s="5">
        <v>0.70989999999999998</v>
      </c>
      <c r="P2" t="s">
        <v>34</v>
      </c>
      <c r="Q2" t="s">
        <v>35</v>
      </c>
      <c r="R2" t="s">
        <v>36</v>
      </c>
      <c r="S2" s="2">
        <v>0.95799999999999996</v>
      </c>
      <c r="T2" s="2">
        <v>6.4745999999999997</v>
      </c>
      <c r="U2" t="s">
        <v>36</v>
      </c>
      <c r="V2" s="2" t="s">
        <v>35</v>
      </c>
      <c r="W2" t="s">
        <v>36</v>
      </c>
      <c r="X2" s="2">
        <v>0.58899999999999997</v>
      </c>
      <c r="Y2" s="2">
        <v>3.3544999999999998</v>
      </c>
      <c r="Z2" t="s">
        <v>36</v>
      </c>
      <c r="AA2">
        <v>210</v>
      </c>
      <c r="AB2">
        <v>0</v>
      </c>
    </row>
    <row r="3" spans="1:29" x14ac:dyDescent="0.3">
      <c r="A3" t="s">
        <v>37</v>
      </c>
      <c r="B3" t="s">
        <v>38</v>
      </c>
      <c r="C3" s="7" t="s">
        <v>34</v>
      </c>
      <c r="D3" s="8">
        <v>17</v>
      </c>
      <c r="E3" s="9" t="s">
        <v>39</v>
      </c>
      <c r="F3" s="10" t="s">
        <v>32</v>
      </c>
      <c r="G3" s="11" t="e">
        <f>#N/A</f>
        <v>#N/A</v>
      </c>
      <c r="H3" s="11" t="e">
        <f>#N/A</f>
        <v>#N/A</v>
      </c>
      <c r="I3">
        <v>12</v>
      </c>
      <c r="J3" t="s">
        <v>33</v>
      </c>
      <c r="K3" t="s">
        <v>34</v>
      </c>
      <c r="L3" s="2">
        <v>0.37469999999999998</v>
      </c>
      <c r="M3" t="s">
        <v>34</v>
      </c>
      <c r="N3" s="2">
        <v>3.5000000000000003E-2</v>
      </c>
      <c r="O3" s="5">
        <v>1.6594</v>
      </c>
      <c r="P3" t="s">
        <v>36</v>
      </c>
      <c r="Q3" t="s">
        <v>35</v>
      </c>
      <c r="R3" t="s">
        <v>36</v>
      </c>
      <c r="S3" s="2">
        <v>0.48199999999999998</v>
      </c>
      <c r="T3" s="2">
        <v>6.2601000000000004</v>
      </c>
      <c r="U3" t="s">
        <v>36</v>
      </c>
      <c r="V3" s="2" t="s">
        <v>35</v>
      </c>
      <c r="W3" t="s">
        <v>36</v>
      </c>
      <c r="X3" s="2">
        <v>2.847</v>
      </c>
      <c r="Y3" s="2">
        <v>2.3946000000000001</v>
      </c>
      <c r="Z3" t="s">
        <v>36</v>
      </c>
      <c r="AA3">
        <v>210</v>
      </c>
      <c r="AB3">
        <v>0</v>
      </c>
    </row>
    <row r="4" spans="1:29" x14ac:dyDescent="0.3">
      <c r="A4" t="s">
        <v>40</v>
      </c>
      <c r="B4" t="s">
        <v>436</v>
      </c>
      <c r="C4" s="7" t="s">
        <v>34</v>
      </c>
      <c r="D4" s="8">
        <v>14.4</v>
      </c>
      <c r="E4" s="9" t="s">
        <v>41</v>
      </c>
      <c r="F4" s="10" t="s">
        <v>32</v>
      </c>
      <c r="G4" s="11" t="e">
        <f>#N/A</f>
        <v>#N/A</v>
      </c>
      <c r="H4" s="11" t="e">
        <f>#N/A</f>
        <v>#N/A</v>
      </c>
      <c r="I4">
        <v>12</v>
      </c>
      <c r="J4" t="s">
        <v>33</v>
      </c>
      <c r="K4" t="s">
        <v>34</v>
      </c>
      <c r="L4" s="2">
        <v>0.1022</v>
      </c>
      <c r="M4" t="s">
        <v>34</v>
      </c>
      <c r="N4" s="2">
        <v>3.6999999999999998E-2</v>
      </c>
      <c r="O4" s="5">
        <v>0.52529999999999999</v>
      </c>
      <c r="P4" t="s">
        <v>34</v>
      </c>
      <c r="Q4" t="s">
        <v>35</v>
      </c>
      <c r="R4" t="s">
        <v>36</v>
      </c>
      <c r="S4" s="2">
        <v>0.85699999999999998</v>
      </c>
      <c r="T4" s="2">
        <v>0.2737</v>
      </c>
      <c r="U4" t="s">
        <v>34</v>
      </c>
      <c r="V4" s="2" t="s">
        <v>35</v>
      </c>
      <c r="W4" t="s">
        <v>36</v>
      </c>
      <c r="X4" s="2">
        <v>0.499</v>
      </c>
      <c r="Y4" s="2">
        <v>0.1885</v>
      </c>
      <c r="Z4" t="s">
        <v>34</v>
      </c>
      <c r="AA4">
        <v>210</v>
      </c>
      <c r="AB4">
        <v>0</v>
      </c>
    </row>
    <row r="5" spans="1:29" x14ac:dyDescent="0.3">
      <c r="A5" t="s">
        <v>42</v>
      </c>
      <c r="B5" t="s">
        <v>38</v>
      </c>
      <c r="C5" s="12" t="s">
        <v>30</v>
      </c>
      <c r="D5" s="8">
        <v>21.4</v>
      </c>
      <c r="E5" s="9" t="s">
        <v>39</v>
      </c>
      <c r="F5" s="10" t="s">
        <v>32</v>
      </c>
      <c r="G5" s="11" t="e">
        <f>#N/A</f>
        <v>#N/A</v>
      </c>
      <c r="H5" s="11" t="e">
        <f>#N/A</f>
        <v>#N/A</v>
      </c>
      <c r="I5">
        <v>15</v>
      </c>
      <c r="J5" t="s">
        <v>43</v>
      </c>
      <c r="K5" t="s">
        <v>34</v>
      </c>
      <c r="L5" s="2">
        <v>0.28610000000000002</v>
      </c>
      <c r="M5" t="s">
        <v>34</v>
      </c>
      <c r="N5" s="2">
        <v>3.7999999999999999E-2</v>
      </c>
      <c r="O5" s="5">
        <v>0.29799999999999999</v>
      </c>
      <c r="P5" t="s">
        <v>34</v>
      </c>
      <c r="Q5" t="s">
        <v>44</v>
      </c>
      <c r="R5" t="s">
        <v>45</v>
      </c>
      <c r="S5" s="2">
        <v>0.73699999999999999</v>
      </c>
      <c r="T5" s="2">
        <v>2.0179</v>
      </c>
      <c r="U5" t="s">
        <v>36</v>
      </c>
      <c r="V5" s="2" t="s">
        <v>35</v>
      </c>
      <c r="W5" t="s">
        <v>36</v>
      </c>
      <c r="X5" s="2">
        <v>0.43</v>
      </c>
      <c r="Y5" s="2">
        <v>0.64880000000000004</v>
      </c>
      <c r="Z5" t="s">
        <v>34</v>
      </c>
      <c r="AA5">
        <v>210</v>
      </c>
      <c r="AB5">
        <v>0</v>
      </c>
    </row>
    <row r="6" spans="1:29" x14ac:dyDescent="0.3">
      <c r="A6" t="s">
        <v>46</v>
      </c>
      <c r="B6" t="s">
        <v>38</v>
      </c>
      <c r="C6" s="7" t="s">
        <v>30</v>
      </c>
      <c r="D6" s="8">
        <v>33.200000000000003</v>
      </c>
      <c r="E6" s="9" t="s">
        <v>47</v>
      </c>
      <c r="F6" s="10" t="s">
        <v>32</v>
      </c>
      <c r="G6" s="11" t="e">
        <f>#N/A</f>
        <v>#N/A</v>
      </c>
      <c r="H6" s="11" t="e">
        <f>#N/A</f>
        <v>#N/A</v>
      </c>
      <c r="I6">
        <v>15</v>
      </c>
      <c r="J6" t="s">
        <v>43</v>
      </c>
      <c r="K6" t="s">
        <v>34</v>
      </c>
      <c r="L6" s="2">
        <v>0.33169999999999999</v>
      </c>
      <c r="M6" t="s">
        <v>34</v>
      </c>
      <c r="N6" s="2">
        <v>3.7999999999999999E-2</v>
      </c>
      <c r="O6" s="5">
        <v>0.52800000000000002</v>
      </c>
      <c r="P6" t="s">
        <v>34</v>
      </c>
      <c r="Q6" t="s">
        <v>35</v>
      </c>
      <c r="R6" t="s">
        <v>36</v>
      </c>
      <c r="S6" s="2">
        <v>3.3919999999999999</v>
      </c>
      <c r="T6" s="2">
        <v>0.31790000000000002</v>
      </c>
      <c r="U6" t="s">
        <v>34</v>
      </c>
      <c r="V6" s="2" t="s">
        <v>35</v>
      </c>
      <c r="W6" t="s">
        <v>36</v>
      </c>
      <c r="X6" s="2">
        <v>3.2</v>
      </c>
      <c r="Y6" s="2">
        <v>0.1482</v>
      </c>
      <c r="Z6" t="s">
        <v>34</v>
      </c>
      <c r="AA6">
        <v>210</v>
      </c>
      <c r="AB6">
        <v>0</v>
      </c>
    </row>
    <row r="7" spans="1:29" ht="15.6" x14ac:dyDescent="0.3">
      <c r="A7" t="s">
        <v>48</v>
      </c>
      <c r="B7" t="s">
        <v>436</v>
      </c>
      <c r="C7" s="12" t="s">
        <v>49</v>
      </c>
      <c r="D7" s="8">
        <v>25.5</v>
      </c>
      <c r="E7" s="9" t="s">
        <v>31</v>
      </c>
      <c r="F7" s="10" t="s">
        <v>32</v>
      </c>
      <c r="G7" s="11" t="e">
        <f>#N/A</f>
        <v>#N/A</v>
      </c>
      <c r="H7" s="11" t="e">
        <f>#N/A</f>
        <v>#N/A</v>
      </c>
      <c r="I7">
        <v>14</v>
      </c>
      <c r="J7" t="s">
        <v>43</v>
      </c>
      <c r="K7" t="s">
        <v>34</v>
      </c>
      <c r="L7" s="2">
        <v>0.2117</v>
      </c>
      <c r="M7" t="s">
        <v>34</v>
      </c>
      <c r="N7" s="2">
        <v>0.04</v>
      </c>
      <c r="O7" s="5">
        <v>0.18679999999999999</v>
      </c>
      <c r="P7" t="s">
        <v>34</v>
      </c>
      <c r="Q7" s="13">
        <v>0.26490000000000002</v>
      </c>
      <c r="R7" s="13" t="s">
        <v>34</v>
      </c>
      <c r="S7" s="2">
        <v>0.05</v>
      </c>
      <c r="T7" s="14">
        <v>8.3000000000000004E-2</v>
      </c>
      <c r="U7" s="13" t="s">
        <v>34</v>
      </c>
      <c r="V7" s="2">
        <v>4.2599999999999999E-2</v>
      </c>
      <c r="W7" t="s">
        <v>34</v>
      </c>
      <c r="X7" s="15">
        <v>3.1E-2</v>
      </c>
      <c r="Y7" s="2">
        <v>0.14960000000000001</v>
      </c>
      <c r="Z7" t="s">
        <v>34</v>
      </c>
    </row>
    <row r="8" spans="1:29" x14ac:dyDescent="0.3">
      <c r="A8" t="s">
        <v>50</v>
      </c>
      <c r="B8" t="s">
        <v>436</v>
      </c>
      <c r="C8" s="7" t="s">
        <v>34</v>
      </c>
      <c r="D8" s="8">
        <v>17.600000000000001</v>
      </c>
      <c r="E8" s="9" t="s">
        <v>39</v>
      </c>
      <c r="F8" s="10" t="s">
        <v>32</v>
      </c>
      <c r="G8" s="11" t="e">
        <f>#N/A</f>
        <v>#N/A</v>
      </c>
      <c r="H8" s="11" t="e">
        <f>#N/A</f>
        <v>#N/A</v>
      </c>
      <c r="I8">
        <v>12</v>
      </c>
      <c r="J8" t="s">
        <v>33</v>
      </c>
      <c r="K8" t="s">
        <v>34</v>
      </c>
      <c r="L8" s="2">
        <v>0.1797</v>
      </c>
      <c r="M8" t="s">
        <v>34</v>
      </c>
      <c r="N8" s="2">
        <v>4.1000000000000002E-2</v>
      </c>
      <c r="O8" s="5">
        <v>1.2326999999999999</v>
      </c>
      <c r="P8" t="s">
        <v>36</v>
      </c>
      <c r="Q8" t="s">
        <v>35</v>
      </c>
      <c r="R8" t="s">
        <v>36</v>
      </c>
      <c r="S8" s="2">
        <v>1.84</v>
      </c>
      <c r="T8" s="2">
        <v>0.59409999999999996</v>
      </c>
      <c r="U8" t="s">
        <v>34</v>
      </c>
      <c r="V8" s="2" t="s">
        <v>35</v>
      </c>
      <c r="W8" t="s">
        <v>36</v>
      </c>
      <c r="X8" s="2">
        <v>1.6910000000000001</v>
      </c>
      <c r="Y8" s="2">
        <v>6.0625</v>
      </c>
      <c r="Z8" t="s">
        <v>36</v>
      </c>
      <c r="AA8">
        <v>210</v>
      </c>
      <c r="AB8">
        <v>0</v>
      </c>
    </row>
    <row r="9" spans="1:29" x14ac:dyDescent="0.3">
      <c r="A9" t="s">
        <v>51</v>
      </c>
      <c r="B9" t="s">
        <v>38</v>
      </c>
      <c r="C9" s="7" t="s">
        <v>30</v>
      </c>
      <c r="D9" s="8">
        <v>22.1</v>
      </c>
      <c r="E9" s="9" t="s">
        <v>31</v>
      </c>
      <c r="F9" s="10" t="s">
        <v>32</v>
      </c>
      <c r="G9" s="11" t="e">
        <f>#N/A</f>
        <v>#N/A</v>
      </c>
      <c r="H9" s="11" t="e">
        <f>#N/A</f>
        <v>#N/A</v>
      </c>
      <c r="I9">
        <v>12</v>
      </c>
      <c r="J9" t="s">
        <v>33</v>
      </c>
      <c r="K9" t="s">
        <v>34</v>
      </c>
      <c r="L9" s="2">
        <v>0.27089999999999997</v>
      </c>
      <c r="M9" t="s">
        <v>34</v>
      </c>
      <c r="N9" s="2">
        <v>4.4999999999999998E-2</v>
      </c>
      <c r="O9" s="5">
        <v>1.1834</v>
      </c>
      <c r="P9" t="s">
        <v>36</v>
      </c>
      <c r="Q9" t="s">
        <v>35</v>
      </c>
      <c r="R9" t="s">
        <v>36</v>
      </c>
      <c r="S9" s="2">
        <v>0.32100000000000001</v>
      </c>
      <c r="T9" s="2">
        <v>6.1807999999999996</v>
      </c>
      <c r="U9" t="s">
        <v>36</v>
      </c>
      <c r="V9" s="2" t="s">
        <v>44</v>
      </c>
      <c r="W9" t="s">
        <v>45</v>
      </c>
      <c r="X9" s="2">
        <v>2.0680000000000001</v>
      </c>
      <c r="Y9" s="2" t="s">
        <v>52</v>
      </c>
      <c r="Z9" t="s">
        <v>36</v>
      </c>
      <c r="AA9">
        <v>210</v>
      </c>
      <c r="AB9">
        <v>0</v>
      </c>
    </row>
    <row r="10" spans="1:29" x14ac:dyDescent="0.3">
      <c r="A10" t="s">
        <v>53</v>
      </c>
      <c r="B10" t="s">
        <v>38</v>
      </c>
      <c r="C10" s="12" t="s">
        <v>49</v>
      </c>
      <c r="D10" s="8">
        <v>26.3</v>
      </c>
      <c r="E10" s="9" t="s">
        <v>31</v>
      </c>
      <c r="F10" s="10" t="s">
        <v>54</v>
      </c>
      <c r="G10" s="11">
        <v>44453</v>
      </c>
      <c r="H10" s="11">
        <v>44476</v>
      </c>
      <c r="I10">
        <v>15</v>
      </c>
      <c r="J10" t="s">
        <v>43</v>
      </c>
      <c r="K10" t="s">
        <v>36</v>
      </c>
      <c r="L10" s="2">
        <v>4.4375</v>
      </c>
      <c r="M10" t="s">
        <v>34</v>
      </c>
      <c r="N10" s="2">
        <v>4.4999999999999998E-2</v>
      </c>
      <c r="O10" s="2">
        <v>1.1458999999999999</v>
      </c>
      <c r="P10" s="2" t="s">
        <v>34</v>
      </c>
      <c r="Q10" t="s">
        <v>35</v>
      </c>
      <c r="R10" t="s">
        <v>36</v>
      </c>
      <c r="S10" s="2">
        <v>3.3290000000000002</v>
      </c>
      <c r="T10" s="2">
        <v>4.2488999999999999</v>
      </c>
      <c r="U10" t="s">
        <v>36</v>
      </c>
      <c r="V10" s="2" t="s">
        <v>44</v>
      </c>
      <c r="W10" t="s">
        <v>45</v>
      </c>
      <c r="X10" s="2">
        <v>2.835</v>
      </c>
      <c r="Y10" s="2" t="s">
        <v>55</v>
      </c>
      <c r="Z10" t="s">
        <v>36</v>
      </c>
      <c r="AA10">
        <v>210</v>
      </c>
      <c r="AB10">
        <v>0</v>
      </c>
    </row>
    <row r="11" spans="1:29" x14ac:dyDescent="0.3">
      <c r="A11" t="s">
        <v>56</v>
      </c>
      <c r="B11" t="s">
        <v>38</v>
      </c>
      <c r="C11" s="7" t="s">
        <v>30</v>
      </c>
      <c r="D11" s="8">
        <v>21.4</v>
      </c>
      <c r="E11" s="9" t="s">
        <v>31</v>
      </c>
      <c r="F11" s="10" t="s">
        <v>32</v>
      </c>
      <c r="G11" s="11" t="e">
        <f>#N/A</f>
        <v>#N/A</v>
      </c>
      <c r="H11" s="11" t="e">
        <f>#N/A</f>
        <v>#N/A</v>
      </c>
      <c r="I11">
        <v>12</v>
      </c>
      <c r="J11" t="s">
        <v>33</v>
      </c>
      <c r="K11" t="s">
        <v>34</v>
      </c>
      <c r="L11" s="2">
        <v>0.29370000000000002</v>
      </c>
      <c r="M11" t="s">
        <v>34</v>
      </c>
      <c r="N11" s="2">
        <v>4.5999999999999999E-2</v>
      </c>
      <c r="O11" s="5">
        <v>1.9887999999999999</v>
      </c>
      <c r="P11" t="s">
        <v>36</v>
      </c>
      <c r="Q11" t="s">
        <v>44</v>
      </c>
      <c r="R11" t="s">
        <v>45</v>
      </c>
      <c r="S11" s="2">
        <v>2.5590000000000002</v>
      </c>
      <c r="T11" s="2">
        <v>7.1226000000000003</v>
      </c>
      <c r="U11" t="s">
        <v>36</v>
      </c>
      <c r="V11" s="2" t="s">
        <v>35</v>
      </c>
      <c r="W11" t="s">
        <v>36</v>
      </c>
      <c r="X11" s="2">
        <v>1.1319999999999999</v>
      </c>
      <c r="Y11" s="2">
        <v>4.0133999999999999</v>
      </c>
      <c r="Z11" t="s">
        <v>36</v>
      </c>
      <c r="AA11">
        <v>210</v>
      </c>
      <c r="AB11">
        <v>0</v>
      </c>
    </row>
    <row r="12" spans="1:29" x14ac:dyDescent="0.3">
      <c r="A12" t="s">
        <v>57</v>
      </c>
      <c r="B12" t="s">
        <v>38</v>
      </c>
      <c r="C12" s="7" t="s">
        <v>34</v>
      </c>
      <c r="D12" s="8">
        <v>20.100000000000001</v>
      </c>
      <c r="E12" s="9" t="s">
        <v>39</v>
      </c>
      <c r="F12" s="10" t="s">
        <v>32</v>
      </c>
      <c r="G12" s="11" t="e">
        <f>#N/A</f>
        <v>#N/A</v>
      </c>
      <c r="H12" s="11" t="e">
        <f>#N/A</f>
        <v>#N/A</v>
      </c>
      <c r="I12">
        <v>15</v>
      </c>
      <c r="J12" t="s">
        <v>43</v>
      </c>
      <c r="K12" t="s">
        <v>34</v>
      </c>
      <c r="L12" s="2">
        <v>0.66500000000000004</v>
      </c>
      <c r="M12" t="s">
        <v>34</v>
      </c>
      <c r="N12" s="2">
        <v>4.8000000000000001E-2</v>
      </c>
      <c r="O12" s="5">
        <v>1.1387</v>
      </c>
      <c r="P12" t="s">
        <v>36</v>
      </c>
      <c r="Q12" t="s">
        <v>44</v>
      </c>
      <c r="R12" t="s">
        <v>45</v>
      </c>
      <c r="S12" s="2">
        <v>3.3000000000000002E-2</v>
      </c>
      <c r="T12" s="2">
        <v>0.90110000000000001</v>
      </c>
      <c r="U12" t="s">
        <v>34</v>
      </c>
      <c r="V12" s="2" t="s">
        <v>35</v>
      </c>
      <c r="W12" t="s">
        <v>36</v>
      </c>
      <c r="X12" s="2">
        <v>1.9450000000000001</v>
      </c>
      <c r="Y12" s="2">
        <v>0.60329999999999995</v>
      </c>
      <c r="Z12" t="s">
        <v>34</v>
      </c>
      <c r="AA12">
        <v>210</v>
      </c>
      <c r="AB12">
        <v>0</v>
      </c>
    </row>
    <row r="13" spans="1:29" x14ac:dyDescent="0.3">
      <c r="A13" t="s">
        <v>58</v>
      </c>
      <c r="B13" t="s">
        <v>38</v>
      </c>
      <c r="C13" s="12" t="s">
        <v>34</v>
      </c>
      <c r="D13" s="8">
        <v>18.600000000000001</v>
      </c>
      <c r="E13" s="9" t="s">
        <v>39</v>
      </c>
      <c r="F13" s="10" t="s">
        <v>32</v>
      </c>
      <c r="G13" s="11" t="e">
        <f>#N/A</f>
        <v>#N/A</v>
      </c>
      <c r="H13" s="11" t="e">
        <f>#N/A</f>
        <v>#N/A</v>
      </c>
      <c r="I13">
        <v>12</v>
      </c>
      <c r="J13" t="s">
        <v>33</v>
      </c>
      <c r="K13" t="s">
        <v>34</v>
      </c>
      <c r="L13" s="2">
        <v>0.36499999999999999</v>
      </c>
      <c r="M13" t="s">
        <v>34</v>
      </c>
      <c r="N13" s="2">
        <v>5.1999999999999998E-2</v>
      </c>
      <c r="O13" s="5" t="s">
        <v>59</v>
      </c>
      <c r="P13" t="s">
        <v>34</v>
      </c>
      <c r="Q13" t="s">
        <v>35</v>
      </c>
      <c r="R13" t="s">
        <v>36</v>
      </c>
      <c r="S13" s="2">
        <v>3.3759999999999999</v>
      </c>
      <c r="T13" s="2">
        <v>0.1192</v>
      </c>
      <c r="U13" t="s">
        <v>34</v>
      </c>
      <c r="V13" s="2" t="s">
        <v>35</v>
      </c>
      <c r="W13" t="s">
        <v>36</v>
      </c>
      <c r="X13" s="2">
        <v>2.3460000000000001</v>
      </c>
      <c r="Y13" s="2">
        <v>2.2869000000000002</v>
      </c>
      <c r="Z13" t="s">
        <v>36</v>
      </c>
      <c r="AA13">
        <v>210</v>
      </c>
      <c r="AB13">
        <v>0</v>
      </c>
    </row>
    <row r="14" spans="1:29" x14ac:dyDescent="0.3">
      <c r="A14" t="s">
        <v>60</v>
      </c>
      <c r="B14" t="s">
        <v>436</v>
      </c>
      <c r="C14" s="7" t="s">
        <v>49</v>
      </c>
      <c r="D14" s="8">
        <v>30.8</v>
      </c>
      <c r="E14" s="9" t="s">
        <v>47</v>
      </c>
      <c r="F14" s="10" t="s">
        <v>32</v>
      </c>
      <c r="G14" s="11" t="e">
        <f>#N/A</f>
        <v>#N/A</v>
      </c>
      <c r="H14" s="11" t="e">
        <f>#N/A</f>
        <v>#N/A</v>
      </c>
      <c r="I14">
        <v>15</v>
      </c>
      <c r="J14" t="s">
        <v>43</v>
      </c>
      <c r="K14" t="s">
        <v>34</v>
      </c>
      <c r="L14" s="2">
        <v>0.77669999999999995</v>
      </c>
      <c r="M14" t="s">
        <v>34</v>
      </c>
      <c r="N14" s="2">
        <v>5.2999999999999999E-2</v>
      </c>
      <c r="O14" s="5">
        <v>0.53700000000000003</v>
      </c>
      <c r="P14" t="s">
        <v>34</v>
      </c>
      <c r="Q14" t="s">
        <v>35</v>
      </c>
      <c r="R14" t="s">
        <v>36</v>
      </c>
      <c r="S14" s="2">
        <v>1.131</v>
      </c>
      <c r="T14" s="2">
        <v>7.0446</v>
      </c>
      <c r="U14" t="s">
        <v>34</v>
      </c>
      <c r="V14" s="2" t="s">
        <v>35</v>
      </c>
      <c r="W14" t="s">
        <v>36</v>
      </c>
      <c r="X14" s="2">
        <v>0.73199999999999998</v>
      </c>
      <c r="Y14" s="2">
        <v>1.6982999999999999</v>
      </c>
      <c r="Z14" t="s">
        <v>36</v>
      </c>
      <c r="AA14">
        <v>210</v>
      </c>
      <c r="AB14">
        <v>0</v>
      </c>
    </row>
    <row r="15" spans="1:29" x14ac:dyDescent="0.3">
      <c r="A15" t="s">
        <v>61</v>
      </c>
      <c r="B15" t="s">
        <v>38</v>
      </c>
      <c r="C15" s="7" t="s">
        <v>34</v>
      </c>
      <c r="D15" s="8">
        <v>17.8</v>
      </c>
      <c r="E15" s="9" t="s">
        <v>39</v>
      </c>
      <c r="F15" s="10" t="s">
        <v>32</v>
      </c>
      <c r="G15" s="11" t="e">
        <f>#N/A</f>
        <v>#N/A</v>
      </c>
      <c r="H15" s="11" t="e">
        <f>#N/A</f>
        <v>#N/A</v>
      </c>
      <c r="I15">
        <v>12</v>
      </c>
      <c r="J15" t="s">
        <v>33</v>
      </c>
      <c r="K15" t="s">
        <v>34</v>
      </c>
      <c r="L15" s="2">
        <v>0.67549999999999999</v>
      </c>
      <c r="M15" t="s">
        <v>34</v>
      </c>
      <c r="N15" s="2">
        <v>5.6000000000000001E-2</v>
      </c>
      <c r="O15" s="5">
        <v>0.13320000000000001</v>
      </c>
      <c r="P15" t="s">
        <v>34</v>
      </c>
      <c r="Q15" t="s">
        <v>44</v>
      </c>
      <c r="R15" t="s">
        <v>45</v>
      </c>
      <c r="S15" s="2">
        <v>0.90500000000000003</v>
      </c>
      <c r="T15" s="2">
        <v>2.6568000000000001</v>
      </c>
      <c r="U15" t="s">
        <v>36</v>
      </c>
      <c r="V15" s="2" t="s">
        <v>44</v>
      </c>
      <c r="W15" t="s">
        <v>45</v>
      </c>
      <c r="X15" s="2">
        <v>3.5</v>
      </c>
      <c r="Y15" s="2">
        <v>2.3841000000000001</v>
      </c>
      <c r="Z15" t="s">
        <v>36</v>
      </c>
      <c r="AA15">
        <v>210</v>
      </c>
      <c r="AB15">
        <v>0</v>
      </c>
    </row>
    <row r="16" spans="1:29" x14ac:dyDescent="0.3">
      <c r="A16" t="s">
        <v>62</v>
      </c>
      <c r="B16" t="s">
        <v>436</v>
      </c>
      <c r="C16" s="12" t="s">
        <v>34</v>
      </c>
      <c r="D16" s="8">
        <v>16.8</v>
      </c>
      <c r="E16" s="9" t="s">
        <v>39</v>
      </c>
      <c r="F16" s="10" t="s">
        <v>32</v>
      </c>
      <c r="G16" s="11" t="e">
        <f>#N/A</f>
        <v>#N/A</v>
      </c>
      <c r="H16" s="11" t="e">
        <f>#N/A</f>
        <v>#N/A</v>
      </c>
      <c r="I16">
        <v>15</v>
      </c>
      <c r="J16" t="s">
        <v>43</v>
      </c>
      <c r="K16" t="s">
        <v>34</v>
      </c>
      <c r="L16" s="2">
        <v>0.34310000000000002</v>
      </c>
      <c r="M16" t="s">
        <v>34</v>
      </c>
      <c r="N16" s="2">
        <v>5.7000000000000002E-2</v>
      </c>
      <c r="O16" s="5">
        <v>0.3231</v>
      </c>
      <c r="P16" t="s">
        <v>34</v>
      </c>
      <c r="Q16" t="s">
        <v>35</v>
      </c>
      <c r="R16" t="s">
        <v>36</v>
      </c>
      <c r="S16" s="2">
        <v>4.1000000000000002E-2</v>
      </c>
      <c r="T16" s="2">
        <v>5.6357999999999997</v>
      </c>
      <c r="U16" t="s">
        <v>36</v>
      </c>
      <c r="V16" s="2" t="s">
        <v>35</v>
      </c>
      <c r="W16" s="16" t="s">
        <v>36</v>
      </c>
      <c r="X16" s="2">
        <v>3.5999999999999997E-2</v>
      </c>
      <c r="Y16" s="2">
        <v>3.0552999999999999</v>
      </c>
      <c r="Z16" s="17" t="s">
        <v>36</v>
      </c>
      <c r="AA16">
        <v>210</v>
      </c>
      <c r="AB16">
        <v>0</v>
      </c>
    </row>
    <row r="17" spans="1:1024" x14ac:dyDescent="0.3">
      <c r="A17" t="s">
        <v>63</v>
      </c>
      <c r="B17" t="s">
        <v>436</v>
      </c>
      <c r="C17" s="7" t="s">
        <v>30</v>
      </c>
      <c r="D17" s="8">
        <v>16.600000000000001</v>
      </c>
      <c r="E17" s="9" t="s">
        <v>39</v>
      </c>
      <c r="F17" s="10" t="s">
        <v>32</v>
      </c>
      <c r="G17" s="11" t="e">
        <f>#N/A</f>
        <v>#N/A</v>
      </c>
      <c r="H17" s="11" t="e">
        <f>#N/A</f>
        <v>#N/A</v>
      </c>
      <c r="I17">
        <v>15</v>
      </c>
      <c r="J17" t="s">
        <v>43</v>
      </c>
      <c r="K17" t="s">
        <v>34</v>
      </c>
      <c r="L17" s="2">
        <v>1</v>
      </c>
      <c r="M17" t="s">
        <v>34</v>
      </c>
      <c r="N17" s="2">
        <v>6.3E-2</v>
      </c>
      <c r="O17" s="5">
        <v>0.73599999999999999</v>
      </c>
      <c r="P17" t="s">
        <v>34</v>
      </c>
      <c r="Q17" t="s">
        <v>35</v>
      </c>
      <c r="R17" t="s">
        <v>36</v>
      </c>
      <c r="S17" s="2">
        <v>0.86799999999999999</v>
      </c>
      <c r="T17" s="2">
        <v>0.36609999999999998</v>
      </c>
      <c r="U17" t="s">
        <v>34</v>
      </c>
      <c r="V17" s="2" t="s">
        <v>35</v>
      </c>
      <c r="W17" t="s">
        <v>36</v>
      </c>
      <c r="X17" s="2">
        <v>0.38900000000000001</v>
      </c>
      <c r="Y17" s="2">
        <v>3.9965999999999999</v>
      </c>
      <c r="Z17" t="s">
        <v>36</v>
      </c>
      <c r="AA17">
        <v>210</v>
      </c>
      <c r="AB17">
        <v>0</v>
      </c>
    </row>
    <row r="18" spans="1:1024" x14ac:dyDescent="0.3">
      <c r="A18" t="s">
        <v>64</v>
      </c>
      <c r="B18" t="s">
        <v>436</v>
      </c>
      <c r="C18" s="12" t="s">
        <v>34</v>
      </c>
      <c r="D18" s="8">
        <v>19.3</v>
      </c>
      <c r="E18" s="9" t="s">
        <v>39</v>
      </c>
      <c r="F18" s="10" t="s">
        <v>32</v>
      </c>
      <c r="G18" s="11" t="e">
        <f>#N/A</f>
        <v>#N/A</v>
      </c>
      <c r="H18" s="11" t="e">
        <f>#N/A</f>
        <v>#N/A</v>
      </c>
      <c r="I18">
        <v>12</v>
      </c>
      <c r="J18" t="s">
        <v>33</v>
      </c>
      <c r="K18" t="s">
        <v>34</v>
      </c>
      <c r="L18" s="2">
        <v>0.43070000000000003</v>
      </c>
      <c r="M18" t="s">
        <v>34</v>
      </c>
      <c r="N18" s="2">
        <v>6.4000000000000001E-2</v>
      </c>
      <c r="O18" s="5" t="s">
        <v>65</v>
      </c>
      <c r="P18" t="s">
        <v>34</v>
      </c>
      <c r="Q18" t="s">
        <v>35</v>
      </c>
      <c r="R18" t="s">
        <v>36</v>
      </c>
      <c r="S18" s="2">
        <v>0.128</v>
      </c>
      <c r="T18" s="2">
        <v>0.34660000000000002</v>
      </c>
      <c r="U18" t="s">
        <v>34</v>
      </c>
      <c r="V18" s="2" t="s">
        <v>35</v>
      </c>
      <c r="W18" t="s">
        <v>36</v>
      </c>
      <c r="X18" s="2">
        <v>0.14599999999999999</v>
      </c>
      <c r="Y18" s="2">
        <v>4.1619000000000002</v>
      </c>
      <c r="Z18" t="s">
        <v>36</v>
      </c>
      <c r="AA18">
        <v>210</v>
      </c>
      <c r="AB18">
        <v>0</v>
      </c>
    </row>
    <row r="19" spans="1:1024" x14ac:dyDescent="0.3">
      <c r="A19" t="s">
        <v>66</v>
      </c>
      <c r="B19" t="s">
        <v>436</v>
      </c>
      <c r="C19" s="7" t="s">
        <v>30</v>
      </c>
      <c r="D19" s="8">
        <v>21.2</v>
      </c>
      <c r="E19" s="9" t="s">
        <v>39</v>
      </c>
      <c r="F19" s="10" t="s">
        <v>32</v>
      </c>
      <c r="G19" s="11" t="e">
        <f>#N/A</f>
        <v>#N/A</v>
      </c>
      <c r="H19" s="11" t="e">
        <f>#N/A</f>
        <v>#N/A</v>
      </c>
      <c r="I19">
        <v>12</v>
      </c>
      <c r="J19" t="s">
        <v>33</v>
      </c>
      <c r="K19" t="s">
        <v>34</v>
      </c>
      <c r="L19" s="2">
        <v>1.0447</v>
      </c>
      <c r="M19" t="s">
        <v>34</v>
      </c>
      <c r="N19" s="2">
        <v>6.5000000000000002E-2</v>
      </c>
      <c r="O19" s="5">
        <v>2.6629</v>
      </c>
      <c r="P19" t="s">
        <v>36</v>
      </c>
      <c r="Q19" t="s">
        <v>35</v>
      </c>
      <c r="R19" t="s">
        <v>36</v>
      </c>
      <c r="S19" s="2">
        <v>0.26</v>
      </c>
      <c r="T19" s="2">
        <v>5.6681999999999997</v>
      </c>
      <c r="U19" t="s">
        <v>36</v>
      </c>
      <c r="V19" t="s">
        <v>35</v>
      </c>
      <c r="W19" t="s">
        <v>36</v>
      </c>
      <c r="X19" s="2">
        <v>0.19600000000000001</v>
      </c>
      <c r="Y19" s="2">
        <v>3.5558000000000001</v>
      </c>
      <c r="Z19" t="s">
        <v>36</v>
      </c>
      <c r="AA19">
        <v>210</v>
      </c>
      <c r="AB19">
        <v>0</v>
      </c>
    </row>
    <row r="20" spans="1:1024" x14ac:dyDescent="0.3">
      <c r="A20" t="s">
        <v>67</v>
      </c>
      <c r="B20" t="s">
        <v>38</v>
      </c>
      <c r="C20" s="7" t="s">
        <v>30</v>
      </c>
      <c r="D20" s="8">
        <v>21.9</v>
      </c>
      <c r="E20" s="9" t="s">
        <v>31</v>
      </c>
      <c r="F20" s="10" t="s">
        <v>32</v>
      </c>
      <c r="G20" s="11" t="e">
        <f>#N/A</f>
        <v>#N/A</v>
      </c>
      <c r="H20" s="11" t="e">
        <f>#N/A</f>
        <v>#N/A</v>
      </c>
      <c r="I20">
        <v>12</v>
      </c>
      <c r="J20" t="s">
        <v>33</v>
      </c>
      <c r="K20" t="s">
        <v>34</v>
      </c>
      <c r="L20" s="2">
        <v>0.87019999999999997</v>
      </c>
      <c r="M20" t="s">
        <v>34</v>
      </c>
      <c r="N20" s="2">
        <v>6.5000000000000002E-2</v>
      </c>
      <c r="O20" s="5">
        <v>6.9900000000000004E-2</v>
      </c>
      <c r="P20" t="s">
        <v>34</v>
      </c>
      <c r="Q20">
        <v>17.030799999999999</v>
      </c>
      <c r="R20" t="s">
        <v>36</v>
      </c>
      <c r="S20" s="2">
        <v>0.60599999999999998</v>
      </c>
      <c r="T20" s="2">
        <v>0.99580000000000002</v>
      </c>
      <c r="U20" t="s">
        <v>34</v>
      </c>
      <c r="V20" s="2" t="s">
        <v>44</v>
      </c>
      <c r="W20" t="s">
        <v>45</v>
      </c>
      <c r="X20" s="2">
        <v>0.50600000000000001</v>
      </c>
      <c r="Y20" s="2">
        <v>0.52400000000000002</v>
      </c>
      <c r="Z20" t="s">
        <v>34</v>
      </c>
      <c r="AA20">
        <v>92</v>
      </c>
      <c r="AB20">
        <v>1</v>
      </c>
    </row>
    <row r="21" spans="1:1024" x14ac:dyDescent="0.3">
      <c r="A21" t="s">
        <v>68</v>
      </c>
      <c r="B21" t="s">
        <v>436</v>
      </c>
      <c r="C21" s="12" t="s">
        <v>34</v>
      </c>
      <c r="D21" s="8">
        <v>25.9</v>
      </c>
      <c r="E21" s="9" t="s">
        <v>31</v>
      </c>
      <c r="F21" s="10" t="s">
        <v>32</v>
      </c>
      <c r="G21" s="11" t="e">
        <f>#N/A</f>
        <v>#N/A</v>
      </c>
      <c r="H21" s="11" t="e">
        <f>#N/A</f>
        <v>#N/A</v>
      </c>
      <c r="I21">
        <v>15</v>
      </c>
      <c r="J21" t="s">
        <v>43</v>
      </c>
      <c r="K21" t="s">
        <v>36</v>
      </c>
      <c r="L21" s="2">
        <v>0.51819999999999999</v>
      </c>
      <c r="M21" t="s">
        <v>34</v>
      </c>
      <c r="N21" s="2">
        <v>6.5000000000000002E-2</v>
      </c>
      <c r="O21" s="5">
        <v>0.25929999999999997</v>
      </c>
      <c r="P21" t="s">
        <v>34</v>
      </c>
      <c r="Q21" t="s">
        <v>35</v>
      </c>
      <c r="R21" t="s">
        <v>36</v>
      </c>
      <c r="S21" s="2">
        <v>0.38400000000000001</v>
      </c>
      <c r="T21" s="2">
        <v>0.1082</v>
      </c>
      <c r="U21" t="s">
        <v>34</v>
      </c>
      <c r="V21" s="2" t="s">
        <v>44</v>
      </c>
      <c r="W21" t="s">
        <v>45</v>
      </c>
      <c r="X21" s="2">
        <v>1.256</v>
      </c>
      <c r="Y21" s="2">
        <v>3.0861000000000001</v>
      </c>
      <c r="Z21" t="s">
        <v>36</v>
      </c>
      <c r="AA21">
        <v>210</v>
      </c>
      <c r="AB21">
        <v>0</v>
      </c>
    </row>
    <row r="22" spans="1:1024" x14ac:dyDescent="0.3">
      <c r="A22" t="s">
        <v>69</v>
      </c>
      <c r="B22" t="s">
        <v>436</v>
      </c>
      <c r="C22" s="12" t="s">
        <v>30</v>
      </c>
      <c r="D22" s="8">
        <v>17.100000000000001</v>
      </c>
      <c r="E22" s="9" t="s">
        <v>39</v>
      </c>
      <c r="F22" s="10" t="s">
        <v>32</v>
      </c>
      <c r="G22" s="11" t="e">
        <f>#N/A</f>
        <v>#N/A</v>
      </c>
      <c r="H22" s="11" t="e">
        <f>#N/A</f>
        <v>#N/A</v>
      </c>
      <c r="I22">
        <v>14</v>
      </c>
      <c r="J22" t="s">
        <v>43</v>
      </c>
      <c r="K22" t="s">
        <v>34</v>
      </c>
      <c r="L22" s="2">
        <v>0.60580000000000001</v>
      </c>
      <c r="M22" t="s">
        <v>34</v>
      </c>
      <c r="N22" s="2">
        <v>6.7000000000000004E-2</v>
      </c>
      <c r="O22" s="5">
        <v>0.39779999999999999</v>
      </c>
      <c r="P22" t="s">
        <v>34</v>
      </c>
      <c r="Q22" t="s">
        <v>35</v>
      </c>
      <c r="R22" t="s">
        <v>36</v>
      </c>
      <c r="S22" s="2">
        <v>0.40300000000000002</v>
      </c>
      <c r="T22" s="2">
        <v>8.6099999999999996E-2</v>
      </c>
      <c r="U22" t="s">
        <v>34</v>
      </c>
      <c r="V22" s="2" t="s">
        <v>44</v>
      </c>
      <c r="W22" t="s">
        <v>45</v>
      </c>
      <c r="X22" s="2">
        <v>0.47899999999999998</v>
      </c>
      <c r="Y22" s="2">
        <v>1.9323999999999999</v>
      </c>
      <c r="Z22" t="s">
        <v>36</v>
      </c>
      <c r="AA22">
        <v>210</v>
      </c>
      <c r="AB22">
        <v>0</v>
      </c>
    </row>
    <row r="23" spans="1:1024" x14ac:dyDescent="0.3">
      <c r="A23" t="s">
        <v>70</v>
      </c>
      <c r="B23" t="s">
        <v>436</v>
      </c>
      <c r="C23" s="12" t="s">
        <v>34</v>
      </c>
      <c r="D23" s="8">
        <v>34.200000000000003</v>
      </c>
      <c r="E23" s="9" t="s">
        <v>47</v>
      </c>
      <c r="F23" s="10" t="s">
        <v>32</v>
      </c>
      <c r="G23" s="11" t="e">
        <f>#N/A</f>
        <v>#N/A</v>
      </c>
      <c r="H23" s="11" t="e">
        <f>#N/A</f>
        <v>#N/A</v>
      </c>
      <c r="I23">
        <v>11</v>
      </c>
      <c r="J23" t="s">
        <v>33</v>
      </c>
      <c r="K23" t="s">
        <v>34</v>
      </c>
      <c r="L23" s="2">
        <v>1.0216000000000001</v>
      </c>
      <c r="M23" t="s">
        <v>34</v>
      </c>
      <c r="N23" s="2">
        <v>7.1999999999999995E-2</v>
      </c>
      <c r="O23" s="2">
        <v>0.1416</v>
      </c>
      <c r="P23" s="2" t="s">
        <v>34</v>
      </c>
      <c r="Q23" t="s">
        <v>44</v>
      </c>
      <c r="R23" t="s">
        <v>45</v>
      </c>
      <c r="S23" s="2">
        <v>0.745</v>
      </c>
      <c r="T23" s="2">
        <v>1.7825</v>
      </c>
      <c r="U23" t="s">
        <v>36</v>
      </c>
      <c r="V23" t="s">
        <v>44</v>
      </c>
      <c r="W23" t="s">
        <v>45</v>
      </c>
      <c r="X23" s="2">
        <v>2.6779999999999999</v>
      </c>
      <c r="Y23" s="2">
        <v>6.2190000000000003</v>
      </c>
      <c r="Z23" t="s">
        <v>36</v>
      </c>
      <c r="AA23">
        <v>210</v>
      </c>
      <c r="AB23">
        <v>0</v>
      </c>
    </row>
    <row r="24" spans="1:1024" x14ac:dyDescent="0.3">
      <c r="A24" t="s">
        <v>71</v>
      </c>
      <c r="B24" t="s">
        <v>436</v>
      </c>
      <c r="C24" s="7" t="s">
        <v>34</v>
      </c>
      <c r="D24" s="8">
        <v>22.3</v>
      </c>
      <c r="E24" s="9" t="s">
        <v>31</v>
      </c>
      <c r="F24" s="10" t="s">
        <v>32</v>
      </c>
      <c r="G24" s="11" t="e">
        <f>#N/A</f>
        <v>#N/A</v>
      </c>
      <c r="H24" s="11" t="e">
        <f>#N/A</f>
        <v>#N/A</v>
      </c>
      <c r="I24">
        <v>12</v>
      </c>
      <c r="J24" t="s">
        <v>33</v>
      </c>
      <c r="K24" t="s">
        <v>34</v>
      </c>
      <c r="L24" s="2">
        <v>0.90890000000000004</v>
      </c>
      <c r="M24" t="s">
        <v>34</v>
      </c>
      <c r="N24" s="2">
        <v>7.2999999999999995E-2</v>
      </c>
      <c r="O24" s="5">
        <v>1.6025</v>
      </c>
      <c r="P24" t="s">
        <v>36</v>
      </c>
      <c r="Q24" t="s">
        <v>35</v>
      </c>
      <c r="R24" t="s">
        <v>36</v>
      </c>
      <c r="S24" s="2">
        <v>5.0999999999999997E-2</v>
      </c>
      <c r="T24" s="2">
        <v>0.61380000000000001</v>
      </c>
      <c r="U24" t="s">
        <v>34</v>
      </c>
      <c r="V24" s="2" t="s">
        <v>35</v>
      </c>
      <c r="W24" t="s">
        <v>36</v>
      </c>
      <c r="X24" s="2">
        <v>7.2999999999999995E-2</v>
      </c>
      <c r="Y24" s="2">
        <v>0.25</v>
      </c>
      <c r="Z24" t="s">
        <v>34</v>
      </c>
      <c r="AA24">
        <v>210</v>
      </c>
      <c r="AB24">
        <v>0</v>
      </c>
    </row>
    <row r="25" spans="1:1024" x14ac:dyDescent="0.3">
      <c r="A25" t="s">
        <v>72</v>
      </c>
      <c r="B25" t="s">
        <v>38</v>
      </c>
      <c r="C25" s="7" t="s">
        <v>34</v>
      </c>
      <c r="D25" s="8">
        <v>28.6</v>
      </c>
      <c r="E25" s="9" t="s">
        <v>47</v>
      </c>
      <c r="F25" s="10" t="s">
        <v>32</v>
      </c>
      <c r="G25" s="11" t="e">
        <f>#N/A</f>
        <v>#N/A</v>
      </c>
      <c r="H25" s="11" t="e">
        <f>#N/A</f>
        <v>#N/A</v>
      </c>
      <c r="I25">
        <v>15</v>
      </c>
      <c r="J25" t="s">
        <v>43</v>
      </c>
      <c r="K25" t="s">
        <v>34</v>
      </c>
      <c r="L25" s="2">
        <v>1.1533</v>
      </c>
      <c r="M25" t="s">
        <v>34</v>
      </c>
      <c r="N25" s="2">
        <v>7.3999999999999996E-2</v>
      </c>
      <c r="O25" s="5">
        <v>0.45710000000000001</v>
      </c>
      <c r="P25" t="s">
        <v>34</v>
      </c>
      <c r="Q25" t="s">
        <v>44</v>
      </c>
      <c r="R25" t="s">
        <v>45</v>
      </c>
      <c r="S25" s="2">
        <v>7.6999999999999999E-2</v>
      </c>
      <c r="T25" s="2">
        <v>1.4790000000000001</v>
      </c>
      <c r="U25" t="s">
        <v>36</v>
      </c>
      <c r="V25" s="2" t="s">
        <v>44</v>
      </c>
      <c r="W25" t="s">
        <v>45</v>
      </c>
      <c r="X25" s="2">
        <v>1.246</v>
      </c>
      <c r="Y25" s="2">
        <v>1.2029000000000001</v>
      </c>
      <c r="Z25" t="s">
        <v>36</v>
      </c>
      <c r="AA25">
        <v>210</v>
      </c>
      <c r="AB25">
        <v>0</v>
      </c>
    </row>
    <row r="26" spans="1:1024" x14ac:dyDescent="0.3">
      <c r="A26" t="s">
        <v>73</v>
      </c>
      <c r="B26" t="s">
        <v>436</v>
      </c>
      <c r="C26" s="7" t="s">
        <v>34</v>
      </c>
      <c r="D26" s="8">
        <v>17.2</v>
      </c>
      <c r="E26" s="9" t="s">
        <v>39</v>
      </c>
      <c r="F26" s="10" t="s">
        <v>32</v>
      </c>
      <c r="G26" s="11" t="e">
        <f>#N/A</f>
        <v>#N/A</v>
      </c>
      <c r="H26" s="11" t="e">
        <f>#N/A</f>
        <v>#N/A</v>
      </c>
      <c r="I26">
        <v>12</v>
      </c>
      <c r="J26" t="s">
        <v>33</v>
      </c>
      <c r="K26" t="s">
        <v>34</v>
      </c>
      <c r="L26" s="2">
        <v>1.1533</v>
      </c>
      <c r="M26" t="s">
        <v>34</v>
      </c>
      <c r="N26" s="2">
        <v>8.8999999999999996E-2</v>
      </c>
      <c r="O26" s="5">
        <v>0.2923</v>
      </c>
      <c r="P26" t="s">
        <v>34</v>
      </c>
      <c r="Q26" t="s">
        <v>44</v>
      </c>
      <c r="R26" t="s">
        <v>45</v>
      </c>
      <c r="S26" s="2">
        <v>0.68400000000000005</v>
      </c>
      <c r="T26" s="2">
        <v>3.0044</v>
      </c>
      <c r="U26" t="s">
        <v>36</v>
      </c>
      <c r="V26" s="2" t="s">
        <v>44</v>
      </c>
      <c r="W26" t="s">
        <v>45</v>
      </c>
      <c r="X26" s="2">
        <v>0.36499999999999999</v>
      </c>
      <c r="Y26" s="2">
        <v>1.3504</v>
      </c>
      <c r="Z26" t="s">
        <v>36</v>
      </c>
      <c r="AA26">
        <v>210</v>
      </c>
      <c r="AB26">
        <v>0</v>
      </c>
    </row>
    <row r="27" spans="1:1024" x14ac:dyDescent="0.3">
      <c r="A27" t="s">
        <v>74</v>
      </c>
      <c r="B27" t="s">
        <v>436</v>
      </c>
      <c r="C27" s="12" t="s">
        <v>34</v>
      </c>
      <c r="D27" s="8">
        <v>27.2</v>
      </c>
      <c r="E27" s="9" t="s">
        <v>31</v>
      </c>
      <c r="F27" s="10" t="s">
        <v>32</v>
      </c>
      <c r="G27" s="11" t="e">
        <f>#N/A</f>
        <v>#N/A</v>
      </c>
      <c r="H27" s="11" t="e">
        <f>#N/A</f>
        <v>#N/A</v>
      </c>
      <c r="I27">
        <v>15</v>
      </c>
      <c r="J27" t="s">
        <v>43</v>
      </c>
      <c r="K27" t="s">
        <v>36</v>
      </c>
      <c r="L27" s="2">
        <v>1.3894</v>
      </c>
      <c r="M27" t="s">
        <v>34</v>
      </c>
      <c r="N27" s="2">
        <v>8.8999999999999996E-2</v>
      </c>
      <c r="O27" s="5">
        <v>5.8599999999999999E-2</v>
      </c>
      <c r="P27" t="s">
        <v>34</v>
      </c>
      <c r="Q27" t="s">
        <v>35</v>
      </c>
      <c r="R27" t="s">
        <v>36</v>
      </c>
      <c r="S27" s="2">
        <v>3.5</v>
      </c>
      <c r="T27" s="2">
        <v>5.0045000000000002</v>
      </c>
      <c r="U27" t="s">
        <v>36</v>
      </c>
      <c r="V27" s="2">
        <v>60.053100000000001</v>
      </c>
      <c r="W27" t="s">
        <v>36</v>
      </c>
      <c r="X27" s="2">
        <v>2.8130000000000002</v>
      </c>
      <c r="Y27" s="2">
        <v>1.8802000000000001</v>
      </c>
      <c r="Z27" t="s">
        <v>36</v>
      </c>
    </row>
    <row r="28" spans="1:1024" x14ac:dyDescent="0.3">
      <c r="A28" t="s">
        <v>75</v>
      </c>
      <c r="B28" t="s">
        <v>38</v>
      </c>
      <c r="C28" s="7" t="s">
        <v>30</v>
      </c>
      <c r="D28" s="8">
        <v>16.399999999999999</v>
      </c>
      <c r="E28" s="9" t="s">
        <v>39</v>
      </c>
      <c r="F28" s="10" t="s">
        <v>32</v>
      </c>
      <c r="G28" s="11" t="e">
        <f>#N/A</f>
        <v>#N/A</v>
      </c>
      <c r="H28" s="11" t="e">
        <f>#N/A</f>
        <v>#N/A</v>
      </c>
      <c r="I28">
        <v>12</v>
      </c>
      <c r="J28" t="s">
        <v>33</v>
      </c>
      <c r="K28" t="s">
        <v>36</v>
      </c>
      <c r="L28" s="2">
        <v>1.8263</v>
      </c>
      <c r="M28" t="s">
        <v>34</v>
      </c>
      <c r="N28" s="2">
        <v>0.1</v>
      </c>
      <c r="O28" s="5">
        <v>3.0590000000000002</v>
      </c>
      <c r="P28" t="s">
        <v>36</v>
      </c>
      <c r="Q28">
        <v>45.420099999999998</v>
      </c>
      <c r="R28" t="s">
        <v>36</v>
      </c>
      <c r="S28" s="2">
        <v>0.20699999999999999</v>
      </c>
      <c r="T28" s="2">
        <v>1.6463000000000001</v>
      </c>
      <c r="U28" t="s">
        <v>36</v>
      </c>
      <c r="V28" s="2">
        <v>97.959199999999996</v>
      </c>
      <c r="W28" t="s">
        <v>36</v>
      </c>
      <c r="X28" s="2">
        <v>0.218</v>
      </c>
      <c r="Y28" s="2">
        <v>5.7515999999999998</v>
      </c>
      <c r="Z28" t="s">
        <v>36</v>
      </c>
    </row>
    <row r="29" spans="1:1024" s="18" customFormat="1" x14ac:dyDescent="0.3">
      <c r="A29" s="18" t="s">
        <v>76</v>
      </c>
      <c r="B29" t="s">
        <v>38</v>
      </c>
      <c r="C29" s="7" t="s">
        <v>34</v>
      </c>
      <c r="D29" s="8">
        <v>16.8</v>
      </c>
      <c r="E29" s="9" t="s">
        <v>39</v>
      </c>
      <c r="F29" s="10" t="s">
        <v>32</v>
      </c>
      <c r="G29" s="11" t="e">
        <f>#N/A</f>
        <v>#N/A</v>
      </c>
      <c r="H29" s="11" t="e">
        <f>#N/A</f>
        <v>#N/A</v>
      </c>
      <c r="I29" s="18">
        <v>12</v>
      </c>
      <c r="J29" s="18" t="s">
        <v>33</v>
      </c>
      <c r="K29" s="18" t="s">
        <v>34</v>
      </c>
      <c r="L29" s="2">
        <v>1.1752</v>
      </c>
      <c r="M29" s="18" t="s">
        <v>34</v>
      </c>
      <c r="N29" s="2">
        <v>0.10100000000000001</v>
      </c>
      <c r="O29" s="5">
        <v>0.9143</v>
      </c>
      <c r="P29" s="18" t="s">
        <v>34</v>
      </c>
      <c r="Q29" s="18" t="s">
        <v>44</v>
      </c>
      <c r="R29" s="18" t="s">
        <v>45</v>
      </c>
      <c r="S29" s="2">
        <v>1.45</v>
      </c>
      <c r="T29" s="2">
        <v>0.58279999999999998</v>
      </c>
      <c r="U29" s="18" t="s">
        <v>34</v>
      </c>
      <c r="V29" s="2" t="s">
        <v>35</v>
      </c>
      <c r="W29" s="18" t="s">
        <v>36</v>
      </c>
      <c r="X29" s="2">
        <v>0.97199999999999998</v>
      </c>
      <c r="Y29" s="2">
        <v>0.41599999999999998</v>
      </c>
      <c r="Z29" s="18" t="s">
        <v>34</v>
      </c>
      <c r="AA29" s="18">
        <v>210</v>
      </c>
      <c r="AB29" s="18">
        <v>0</v>
      </c>
      <c r="AMH29"/>
      <c r="AMI29"/>
      <c r="AMJ29"/>
    </row>
    <row r="30" spans="1:1024" x14ac:dyDescent="0.3">
      <c r="A30" t="s">
        <v>77</v>
      </c>
      <c r="B30" t="s">
        <v>436</v>
      </c>
      <c r="C30" s="7" t="s">
        <v>30</v>
      </c>
      <c r="D30" s="8">
        <v>19.5</v>
      </c>
      <c r="E30" s="9" t="s">
        <v>39</v>
      </c>
      <c r="F30" s="10" t="s">
        <v>32</v>
      </c>
      <c r="G30" s="11" t="e">
        <f>#N/A</f>
        <v>#N/A</v>
      </c>
      <c r="H30" s="11" t="e">
        <f>#N/A</f>
        <v>#N/A</v>
      </c>
      <c r="I30">
        <v>15</v>
      </c>
      <c r="J30" t="s">
        <v>43</v>
      </c>
      <c r="K30" t="s">
        <v>34</v>
      </c>
      <c r="L30" s="2">
        <v>1.5474000000000001</v>
      </c>
      <c r="M30" t="s">
        <v>34</v>
      </c>
      <c r="N30" s="2">
        <v>0.152</v>
      </c>
      <c r="O30" s="5">
        <v>0.34949999999999998</v>
      </c>
      <c r="P30" t="s">
        <v>34</v>
      </c>
      <c r="Q30" t="s">
        <v>44</v>
      </c>
      <c r="R30" t="s">
        <v>45</v>
      </c>
      <c r="S30" s="2">
        <v>0.114</v>
      </c>
      <c r="T30" s="2">
        <v>2.0442</v>
      </c>
      <c r="U30" t="s">
        <v>36</v>
      </c>
      <c r="V30" s="2" t="s">
        <v>44</v>
      </c>
      <c r="W30" t="s">
        <v>45</v>
      </c>
      <c r="X30" s="2">
        <v>0.14199999999999999</v>
      </c>
      <c r="Y30" s="2">
        <v>5.2397999999999998</v>
      </c>
      <c r="Z30" t="s">
        <v>36</v>
      </c>
      <c r="AA30">
        <v>210</v>
      </c>
      <c r="AB30">
        <v>0</v>
      </c>
    </row>
    <row r="31" spans="1:1024" x14ac:dyDescent="0.3">
      <c r="A31" t="s">
        <v>78</v>
      </c>
      <c r="B31" t="s">
        <v>436</v>
      </c>
      <c r="C31" s="7" t="s">
        <v>49</v>
      </c>
      <c r="D31" s="8">
        <v>37.700000000000003</v>
      </c>
      <c r="E31" s="9" t="s">
        <v>47</v>
      </c>
      <c r="F31" s="10" t="s">
        <v>32</v>
      </c>
      <c r="G31" s="11" t="e">
        <f>#N/A</f>
        <v>#N/A</v>
      </c>
      <c r="H31" s="11" t="e">
        <f>#N/A</f>
        <v>#N/A</v>
      </c>
      <c r="I31">
        <v>15</v>
      </c>
      <c r="J31" t="s">
        <v>43</v>
      </c>
      <c r="K31" t="s">
        <v>36</v>
      </c>
      <c r="L31" s="2">
        <v>3.6057999999999999</v>
      </c>
      <c r="M31" t="s">
        <v>34</v>
      </c>
      <c r="N31" s="2">
        <v>0.2</v>
      </c>
      <c r="O31" s="5">
        <v>0.47249999999999998</v>
      </c>
      <c r="P31" t="s">
        <v>34</v>
      </c>
      <c r="Q31" t="s">
        <v>35</v>
      </c>
      <c r="R31" t="s">
        <v>36</v>
      </c>
      <c r="S31" s="2">
        <v>2.5</v>
      </c>
      <c r="T31" s="2">
        <v>0.4194</v>
      </c>
      <c r="U31" t="s">
        <v>34</v>
      </c>
      <c r="V31" s="2" t="s">
        <v>44</v>
      </c>
      <c r="W31" t="s">
        <v>45</v>
      </c>
      <c r="X31" s="2">
        <v>1.843</v>
      </c>
      <c r="Y31" s="2">
        <v>1.2684</v>
      </c>
      <c r="Z31" t="s">
        <v>36</v>
      </c>
      <c r="AA31">
        <v>210</v>
      </c>
      <c r="AB31">
        <v>0</v>
      </c>
    </row>
    <row r="32" spans="1:1024" x14ac:dyDescent="0.3">
      <c r="A32" t="s">
        <v>79</v>
      </c>
      <c r="B32" t="s">
        <v>436</v>
      </c>
      <c r="C32" s="7" t="s">
        <v>49</v>
      </c>
      <c r="D32" s="8">
        <v>20.5</v>
      </c>
      <c r="E32" s="9" t="s">
        <v>39</v>
      </c>
      <c r="F32" s="10" t="s">
        <v>32</v>
      </c>
      <c r="G32" s="11" t="e">
        <f>#N/A</f>
        <v>#N/A</v>
      </c>
      <c r="H32" s="11" t="e">
        <f>#N/A</f>
        <v>#N/A</v>
      </c>
      <c r="I32">
        <v>12</v>
      </c>
      <c r="J32" t="s">
        <v>33</v>
      </c>
      <c r="K32" t="s">
        <v>34</v>
      </c>
      <c r="L32" s="2">
        <v>4.1935000000000002</v>
      </c>
      <c r="M32" t="s">
        <v>34</v>
      </c>
      <c r="N32" s="2">
        <v>0.20599999999999999</v>
      </c>
      <c r="O32" s="5">
        <v>1.3844000000000001</v>
      </c>
      <c r="P32" t="s">
        <v>36</v>
      </c>
      <c r="Q32" t="s">
        <v>35</v>
      </c>
      <c r="R32" t="s">
        <v>36</v>
      </c>
      <c r="S32" s="2">
        <v>6.8000000000000005E-2</v>
      </c>
      <c r="T32" s="2">
        <v>1.2465999999999999</v>
      </c>
      <c r="U32" t="s">
        <v>36</v>
      </c>
      <c r="V32" s="2" t="s">
        <v>35</v>
      </c>
      <c r="W32" t="s">
        <v>36</v>
      </c>
      <c r="X32" s="2">
        <v>6.7000000000000004E-2</v>
      </c>
      <c r="Y32" s="2">
        <v>5.7789000000000001</v>
      </c>
      <c r="Z32" t="s">
        <v>36</v>
      </c>
      <c r="AA32">
        <v>210</v>
      </c>
      <c r="AB32">
        <v>0</v>
      </c>
    </row>
    <row r="33" spans="1:1024" x14ac:dyDescent="0.3">
      <c r="A33" t="s">
        <v>80</v>
      </c>
      <c r="B33" t="s">
        <v>436</v>
      </c>
      <c r="C33" s="7" t="s">
        <v>34</v>
      </c>
      <c r="D33" s="8">
        <v>18.8</v>
      </c>
      <c r="E33" s="9" t="s">
        <v>39</v>
      </c>
      <c r="F33" s="10" t="s">
        <v>32</v>
      </c>
      <c r="G33" s="11" t="e">
        <f>#N/A</f>
        <v>#N/A</v>
      </c>
      <c r="H33" s="11" t="e">
        <f>#N/A</f>
        <v>#N/A</v>
      </c>
      <c r="I33">
        <v>14</v>
      </c>
      <c r="J33" t="s">
        <v>43</v>
      </c>
      <c r="K33" t="s">
        <v>34</v>
      </c>
      <c r="L33" s="2">
        <v>4.7742000000000004</v>
      </c>
      <c r="M33" t="s">
        <v>34</v>
      </c>
      <c r="N33" s="2">
        <v>0.23200000000000001</v>
      </c>
      <c r="O33" s="5">
        <v>1.8153999999999999</v>
      </c>
      <c r="P33" t="s">
        <v>36</v>
      </c>
      <c r="Q33">
        <v>48.759099999999997</v>
      </c>
      <c r="R33" t="s">
        <v>36</v>
      </c>
      <c r="S33" s="2">
        <v>3.4209999999999998</v>
      </c>
      <c r="T33" s="2">
        <v>1.5938000000000001</v>
      </c>
      <c r="U33" t="s">
        <v>36</v>
      </c>
      <c r="V33" s="2">
        <v>37.861600000000003</v>
      </c>
      <c r="W33" s="2" t="s">
        <v>36</v>
      </c>
      <c r="X33" s="2">
        <v>3.3969999999999998</v>
      </c>
      <c r="Y33" s="2">
        <v>0.82930000000000004</v>
      </c>
      <c r="Z33" t="s">
        <v>34</v>
      </c>
    </row>
    <row r="34" spans="1:1024" x14ac:dyDescent="0.3">
      <c r="A34" t="s">
        <v>81</v>
      </c>
      <c r="B34" t="s">
        <v>38</v>
      </c>
      <c r="C34" s="7" t="s">
        <v>34</v>
      </c>
      <c r="D34" s="8">
        <v>18.399999999999999</v>
      </c>
      <c r="E34" s="9" t="s">
        <v>39</v>
      </c>
      <c r="F34" s="10" t="s">
        <v>32</v>
      </c>
      <c r="G34" s="11" t="e">
        <f>#N/A</f>
        <v>#N/A</v>
      </c>
      <c r="H34" s="11" t="e">
        <f>#N/A</f>
        <v>#N/A</v>
      </c>
      <c r="I34">
        <v>15</v>
      </c>
      <c r="J34" t="s">
        <v>43</v>
      </c>
      <c r="K34" t="s">
        <v>34</v>
      </c>
      <c r="L34" s="2">
        <v>6.0145999999999997</v>
      </c>
      <c r="M34" t="s">
        <v>34</v>
      </c>
      <c r="N34" s="2">
        <v>0.29199999999999998</v>
      </c>
      <c r="O34" s="5">
        <v>0.2923</v>
      </c>
      <c r="P34" t="s">
        <v>34</v>
      </c>
      <c r="Q34">
        <v>22.6736</v>
      </c>
      <c r="R34" t="s">
        <v>36</v>
      </c>
      <c r="S34" s="2">
        <v>0.38200000000000001</v>
      </c>
      <c r="T34" s="2">
        <v>2.8168000000000002</v>
      </c>
      <c r="U34" t="s">
        <v>36</v>
      </c>
      <c r="V34" s="2">
        <v>14.0227</v>
      </c>
      <c r="W34" t="s">
        <v>36</v>
      </c>
      <c r="X34" s="2">
        <v>1.631</v>
      </c>
      <c r="Y34" s="2">
        <v>1.1209</v>
      </c>
      <c r="Z34" t="s">
        <v>36</v>
      </c>
    </row>
    <row r="35" spans="1:1024" x14ac:dyDescent="0.3">
      <c r="A35" t="s">
        <v>82</v>
      </c>
      <c r="B35" t="s">
        <v>436</v>
      </c>
      <c r="C35" s="7" t="s">
        <v>34</v>
      </c>
      <c r="D35" s="8">
        <v>17.2</v>
      </c>
      <c r="E35" s="9" t="s">
        <v>39</v>
      </c>
      <c r="F35" s="10" t="s">
        <v>32</v>
      </c>
      <c r="G35" s="11" t="e">
        <f>#N/A</f>
        <v>#N/A</v>
      </c>
      <c r="H35" s="11" t="e">
        <f>#N/A</f>
        <v>#N/A</v>
      </c>
      <c r="I35">
        <v>12</v>
      </c>
      <c r="J35" t="s">
        <v>33</v>
      </c>
      <c r="K35" t="s">
        <v>34</v>
      </c>
      <c r="L35" s="2">
        <v>7.0608000000000004</v>
      </c>
      <c r="M35" t="s">
        <v>34</v>
      </c>
      <c r="N35" s="2">
        <v>0.34300000000000003</v>
      </c>
      <c r="O35" s="5">
        <v>3.0045000000000002</v>
      </c>
      <c r="P35" t="s">
        <v>36</v>
      </c>
      <c r="Q35" t="s">
        <v>44</v>
      </c>
      <c r="R35" t="s">
        <v>45</v>
      </c>
      <c r="S35" s="2">
        <v>0.25600000000000001</v>
      </c>
      <c r="T35" s="2">
        <v>1.8033999999999999</v>
      </c>
      <c r="U35" t="s">
        <v>36</v>
      </c>
      <c r="V35" s="2" t="s">
        <v>44</v>
      </c>
      <c r="W35" t="s">
        <v>45</v>
      </c>
      <c r="X35" s="2">
        <v>2.6829999999999998</v>
      </c>
      <c r="Y35" s="2">
        <v>6.8460000000000001</v>
      </c>
      <c r="Z35" t="s">
        <v>36</v>
      </c>
      <c r="AA35">
        <v>210</v>
      </c>
      <c r="AB35">
        <v>0</v>
      </c>
    </row>
    <row r="36" spans="1:1024" x14ac:dyDescent="0.3">
      <c r="A36" t="s">
        <v>83</v>
      </c>
      <c r="B36" t="s">
        <v>436</v>
      </c>
      <c r="C36" s="12" t="s">
        <v>49</v>
      </c>
      <c r="D36" s="8">
        <v>18.100000000000001</v>
      </c>
      <c r="E36" s="9" t="s">
        <v>39</v>
      </c>
      <c r="F36" s="10" t="s">
        <v>32</v>
      </c>
      <c r="G36" s="11" t="e">
        <f>#N/A</f>
        <v>#N/A</v>
      </c>
      <c r="H36" s="11" t="e">
        <f>#N/A</f>
        <v>#N/A</v>
      </c>
      <c r="I36">
        <v>15</v>
      </c>
      <c r="J36" t="s">
        <v>43</v>
      </c>
      <c r="K36" t="s">
        <v>36</v>
      </c>
      <c r="L36" s="2">
        <v>7.7225999999999999</v>
      </c>
      <c r="M36" t="s">
        <v>34</v>
      </c>
      <c r="N36" s="2">
        <v>0.36</v>
      </c>
      <c r="O36" s="5">
        <v>0.67689999999999995</v>
      </c>
      <c r="P36" t="s">
        <v>34</v>
      </c>
      <c r="Q36">
        <v>7.5744999999999996</v>
      </c>
      <c r="R36" t="s">
        <v>34</v>
      </c>
      <c r="S36" s="2">
        <v>0.38</v>
      </c>
      <c r="T36" s="2">
        <v>0.4415</v>
      </c>
      <c r="U36" t="s">
        <v>34</v>
      </c>
      <c r="V36" s="2" t="s">
        <v>35</v>
      </c>
      <c r="W36" t="s">
        <v>36</v>
      </c>
      <c r="X36" s="2">
        <v>3.0230000000000001</v>
      </c>
      <c r="Y36" s="2">
        <v>6.5983999999999998</v>
      </c>
      <c r="Z36" t="s">
        <v>36</v>
      </c>
    </row>
    <row r="37" spans="1:1024" x14ac:dyDescent="0.3">
      <c r="A37" t="s">
        <v>84</v>
      </c>
      <c r="B37" t="s">
        <v>38</v>
      </c>
      <c r="C37" s="7" t="s">
        <v>30</v>
      </c>
      <c r="D37" s="8">
        <v>21.7</v>
      </c>
      <c r="E37" s="9" t="s">
        <v>39</v>
      </c>
      <c r="F37" s="10" t="s">
        <v>32</v>
      </c>
      <c r="G37" s="11" t="e">
        <f>#N/A</f>
        <v>#N/A</v>
      </c>
      <c r="H37" s="11" t="e">
        <f>#N/A</f>
        <v>#N/A</v>
      </c>
      <c r="I37">
        <v>15</v>
      </c>
      <c r="J37" t="s">
        <v>43</v>
      </c>
      <c r="K37" t="s">
        <v>36</v>
      </c>
      <c r="L37" s="2">
        <v>8.9726999999999997</v>
      </c>
      <c r="M37" t="s">
        <v>85</v>
      </c>
      <c r="N37" s="2">
        <v>0.42</v>
      </c>
      <c r="O37" s="5">
        <v>1.2052</v>
      </c>
      <c r="P37" t="s">
        <v>36</v>
      </c>
      <c r="Q37" t="s">
        <v>35</v>
      </c>
      <c r="R37" t="s">
        <v>36</v>
      </c>
      <c r="S37" s="2">
        <v>2.78</v>
      </c>
      <c r="T37" s="2">
        <v>5.0761000000000003</v>
      </c>
      <c r="U37" t="s">
        <v>36</v>
      </c>
      <c r="V37" s="2" t="s">
        <v>35</v>
      </c>
      <c r="W37" t="s">
        <v>36</v>
      </c>
      <c r="X37" s="2">
        <v>1.2210000000000001</v>
      </c>
      <c r="Y37" s="2">
        <v>2.4363000000000001</v>
      </c>
      <c r="Z37" t="s">
        <v>36</v>
      </c>
      <c r="AA37">
        <v>210</v>
      </c>
      <c r="AB37">
        <v>0</v>
      </c>
    </row>
    <row r="38" spans="1:1024" x14ac:dyDescent="0.3">
      <c r="A38" t="s">
        <v>86</v>
      </c>
      <c r="B38" t="s">
        <v>436</v>
      </c>
      <c r="C38" s="12" t="s">
        <v>34</v>
      </c>
      <c r="D38" s="8">
        <v>18</v>
      </c>
      <c r="E38" s="9" t="s">
        <v>39</v>
      </c>
      <c r="F38" s="10" t="s">
        <v>32</v>
      </c>
      <c r="G38" s="11" t="e">
        <f>#N/A</f>
        <v>#N/A</v>
      </c>
      <c r="H38" s="11" t="e">
        <f>#N/A</f>
        <v>#N/A</v>
      </c>
      <c r="I38">
        <v>15</v>
      </c>
      <c r="J38" t="s">
        <v>43</v>
      </c>
      <c r="K38" t="s">
        <v>36</v>
      </c>
      <c r="L38" s="2">
        <v>9.5533000000000001</v>
      </c>
      <c r="M38" t="s">
        <v>85</v>
      </c>
      <c r="N38" s="2">
        <v>0.44600000000000001</v>
      </c>
      <c r="O38" s="5">
        <v>9.0899999999999995E-2</v>
      </c>
      <c r="P38" t="s">
        <v>34</v>
      </c>
      <c r="Q38" t="s">
        <v>35</v>
      </c>
      <c r="R38" t="s">
        <v>36</v>
      </c>
      <c r="S38" s="2">
        <v>0.251</v>
      </c>
      <c r="T38" s="2">
        <v>1.3080000000000001</v>
      </c>
      <c r="U38" t="s">
        <v>34</v>
      </c>
      <c r="V38" s="2">
        <v>34.549300000000002</v>
      </c>
      <c r="W38" t="s">
        <v>36</v>
      </c>
      <c r="X38" s="2">
        <v>1.774</v>
      </c>
      <c r="Y38" s="2">
        <v>0.74139999999999995</v>
      </c>
      <c r="Z38" t="s">
        <v>34</v>
      </c>
    </row>
    <row r="39" spans="1:1024" x14ac:dyDescent="0.3">
      <c r="A39" t="s">
        <v>87</v>
      </c>
      <c r="B39" t="s">
        <v>38</v>
      </c>
      <c r="C39" s="7" t="s">
        <v>34</v>
      </c>
      <c r="D39" s="8">
        <v>19.8</v>
      </c>
      <c r="E39" s="9" t="s">
        <v>39</v>
      </c>
      <c r="F39" s="10" t="s">
        <v>32</v>
      </c>
      <c r="G39" s="11" t="e">
        <f>#N/A</f>
        <v>#N/A</v>
      </c>
      <c r="H39" s="11" t="e">
        <f>#N/A</f>
        <v>#N/A</v>
      </c>
      <c r="I39">
        <v>12</v>
      </c>
      <c r="J39" t="s">
        <v>33</v>
      </c>
      <c r="K39" t="s">
        <v>34</v>
      </c>
      <c r="L39" s="2">
        <v>9.9123999999999999</v>
      </c>
      <c r="M39" t="s">
        <v>85</v>
      </c>
      <c r="N39" s="2">
        <v>0.47</v>
      </c>
      <c r="O39" s="5" t="s">
        <v>88</v>
      </c>
      <c r="P39" t="s">
        <v>34</v>
      </c>
      <c r="Q39" t="s">
        <v>35</v>
      </c>
      <c r="R39" t="s">
        <v>36</v>
      </c>
      <c r="S39" s="2">
        <v>2.3220000000000001</v>
      </c>
      <c r="T39" s="2">
        <v>2.8294999999999999</v>
      </c>
      <c r="U39" t="s">
        <v>36</v>
      </c>
      <c r="V39" s="2" t="s">
        <v>35</v>
      </c>
      <c r="W39" t="s">
        <v>36</v>
      </c>
      <c r="X39" s="2">
        <v>1.4530000000000001</v>
      </c>
      <c r="Y39" s="2">
        <v>0.56779999999999997</v>
      </c>
      <c r="Z39" t="s">
        <v>34</v>
      </c>
      <c r="AA39">
        <v>210</v>
      </c>
      <c r="AB39">
        <v>0</v>
      </c>
    </row>
    <row r="40" spans="1:1024" x14ac:dyDescent="0.3">
      <c r="A40" t="s">
        <v>89</v>
      </c>
      <c r="B40" t="s">
        <v>38</v>
      </c>
      <c r="C40" s="7" t="s">
        <v>34</v>
      </c>
      <c r="D40" s="8">
        <v>21.5</v>
      </c>
      <c r="E40" s="9" t="s">
        <v>39</v>
      </c>
      <c r="F40" s="10" t="s">
        <v>32</v>
      </c>
      <c r="G40" s="11" t="e">
        <f>#N/A</f>
        <v>#N/A</v>
      </c>
      <c r="H40" s="11" t="e">
        <f>#N/A</f>
        <v>#N/A</v>
      </c>
      <c r="I40">
        <v>14</v>
      </c>
      <c r="J40" t="s">
        <v>43</v>
      </c>
      <c r="K40" t="s">
        <v>36</v>
      </c>
      <c r="L40" s="2">
        <v>9.6495999999999995</v>
      </c>
      <c r="M40" t="s">
        <v>85</v>
      </c>
      <c r="N40" s="2">
        <v>0.48599999999999999</v>
      </c>
      <c r="O40" s="5">
        <v>0.32750000000000001</v>
      </c>
      <c r="P40" t="s">
        <v>34</v>
      </c>
      <c r="Q40" t="s">
        <v>35</v>
      </c>
      <c r="R40" t="s">
        <v>36</v>
      </c>
      <c r="S40" s="2">
        <v>3.3740000000000001</v>
      </c>
      <c r="T40" s="2">
        <v>0.16489999999999999</v>
      </c>
      <c r="U40" t="s">
        <v>34</v>
      </c>
      <c r="V40" s="2" t="s">
        <v>44</v>
      </c>
      <c r="W40" t="s">
        <v>45</v>
      </c>
      <c r="X40" s="2">
        <v>1.8979999999999999</v>
      </c>
      <c r="Y40" s="2">
        <v>1.3340000000000001</v>
      </c>
      <c r="Z40" t="s">
        <v>36</v>
      </c>
      <c r="AA40">
        <v>210</v>
      </c>
      <c r="AB40">
        <v>0</v>
      </c>
    </row>
    <row r="41" spans="1:1024" x14ac:dyDescent="0.3">
      <c r="A41" t="s">
        <v>90</v>
      </c>
      <c r="B41" t="s">
        <v>436</v>
      </c>
      <c r="C41" s="12" t="s">
        <v>34</v>
      </c>
      <c r="D41" s="8">
        <v>20.7</v>
      </c>
      <c r="E41" s="9" t="s">
        <v>39</v>
      </c>
      <c r="F41" s="10" t="s">
        <v>32</v>
      </c>
      <c r="G41" s="11" t="e">
        <f>#N/A</f>
        <v>#N/A</v>
      </c>
      <c r="H41" s="11" t="e">
        <f>#N/A</f>
        <v>#N/A</v>
      </c>
      <c r="I41">
        <v>12</v>
      </c>
      <c r="J41" t="s">
        <v>33</v>
      </c>
      <c r="K41" t="s">
        <v>34</v>
      </c>
      <c r="L41" s="2">
        <v>10.7494</v>
      </c>
      <c r="M41" t="s">
        <v>85</v>
      </c>
      <c r="N41" s="2">
        <v>0.51600000000000001</v>
      </c>
      <c r="O41" s="2" t="s">
        <v>91</v>
      </c>
      <c r="P41" s="2" t="s">
        <v>34</v>
      </c>
      <c r="Q41" t="s">
        <v>35</v>
      </c>
      <c r="R41" t="s">
        <v>36</v>
      </c>
      <c r="S41" s="2">
        <v>2.8279999999999998</v>
      </c>
      <c r="T41" s="2">
        <v>0.12559999999999999</v>
      </c>
      <c r="U41" t="s">
        <v>34</v>
      </c>
      <c r="V41">
        <v>107.17619999999999</v>
      </c>
      <c r="W41" t="s">
        <v>36</v>
      </c>
      <c r="X41" s="2">
        <v>1.7050000000000001</v>
      </c>
      <c r="Y41" s="2">
        <v>9.2999999999999999E-2</v>
      </c>
      <c r="Z41" t="s">
        <v>34</v>
      </c>
      <c r="AA41">
        <v>182</v>
      </c>
      <c r="AB41">
        <v>1</v>
      </c>
    </row>
    <row r="42" spans="1:1024" x14ac:dyDescent="0.3">
      <c r="A42" t="s">
        <v>92</v>
      </c>
      <c r="B42" t="s">
        <v>436</v>
      </c>
      <c r="C42" s="7" t="s">
        <v>30</v>
      </c>
      <c r="D42" s="8">
        <v>22.2</v>
      </c>
      <c r="E42" s="9" t="s">
        <v>31</v>
      </c>
      <c r="F42" s="10" t="s">
        <v>32</v>
      </c>
      <c r="G42" s="11" t="e">
        <f>#N/A</f>
        <v>#N/A</v>
      </c>
      <c r="H42" s="11" t="e">
        <f>#N/A</f>
        <v>#N/A</v>
      </c>
      <c r="I42">
        <v>12</v>
      </c>
      <c r="J42" t="s">
        <v>33</v>
      </c>
      <c r="K42" t="s">
        <v>34</v>
      </c>
      <c r="L42" s="2">
        <v>0.71040000000000003</v>
      </c>
      <c r="M42" t="s">
        <v>34</v>
      </c>
      <c r="N42" s="2">
        <v>0.55000000000000004</v>
      </c>
      <c r="O42" s="5">
        <v>0.72929999999999995</v>
      </c>
      <c r="P42" t="s">
        <v>34</v>
      </c>
      <c r="Q42" t="s">
        <v>35</v>
      </c>
      <c r="R42" t="s">
        <v>36</v>
      </c>
      <c r="S42" s="2">
        <v>5.2999999999999999E-2</v>
      </c>
      <c r="T42" s="2">
        <v>0.44419999999999998</v>
      </c>
      <c r="U42" t="s">
        <v>34</v>
      </c>
      <c r="V42" s="2" t="s">
        <v>35</v>
      </c>
      <c r="W42" t="s">
        <v>36</v>
      </c>
      <c r="X42" s="2">
        <v>4.3999999999999997E-2</v>
      </c>
      <c r="Y42" s="2">
        <v>0.2276</v>
      </c>
      <c r="Z42" t="s">
        <v>34</v>
      </c>
      <c r="AA42">
        <v>210</v>
      </c>
      <c r="AB42">
        <v>0</v>
      </c>
    </row>
    <row r="43" spans="1:1024" s="18" customFormat="1" x14ac:dyDescent="0.3">
      <c r="A43" s="18" t="s">
        <v>93</v>
      </c>
      <c r="B43" t="s">
        <v>436</v>
      </c>
      <c r="C43" s="7" t="s">
        <v>49</v>
      </c>
      <c r="D43" s="8">
        <v>18.8</v>
      </c>
      <c r="E43" s="9" t="s">
        <v>39</v>
      </c>
      <c r="F43" s="10" t="s">
        <v>32</v>
      </c>
      <c r="G43" s="11" t="e">
        <f>#N/A</f>
        <v>#N/A</v>
      </c>
      <c r="H43" s="11" t="e">
        <f>#N/A</f>
        <v>#N/A</v>
      </c>
      <c r="I43" s="18">
        <v>12</v>
      </c>
      <c r="J43" s="18" t="s">
        <v>33</v>
      </c>
      <c r="K43" s="18" t="s">
        <v>34</v>
      </c>
      <c r="L43" s="2">
        <v>13.458399999999999</v>
      </c>
      <c r="M43" s="18" t="s">
        <v>36</v>
      </c>
      <c r="N43" s="2">
        <v>0.57599999999999996</v>
      </c>
      <c r="O43" s="5">
        <v>1.0515000000000001</v>
      </c>
      <c r="P43" s="18" t="s">
        <v>34</v>
      </c>
      <c r="Q43" s="18" t="s">
        <v>35</v>
      </c>
      <c r="R43" s="18" t="s">
        <v>36</v>
      </c>
      <c r="S43" s="2">
        <v>0.56999999999999995</v>
      </c>
      <c r="T43" s="2">
        <v>6.0571000000000002</v>
      </c>
      <c r="U43" s="18" t="s">
        <v>36</v>
      </c>
      <c r="V43" s="2" t="s">
        <v>35</v>
      </c>
      <c r="W43" s="18" t="s">
        <v>36</v>
      </c>
      <c r="X43" s="2">
        <v>2.605</v>
      </c>
      <c r="Y43" s="2">
        <v>3.0670000000000002</v>
      </c>
      <c r="Z43" s="18" t="s">
        <v>36</v>
      </c>
      <c r="AA43" s="18">
        <v>210</v>
      </c>
      <c r="AB43" s="18">
        <v>0</v>
      </c>
      <c r="AMH43"/>
      <c r="AMI43"/>
      <c r="AMJ43"/>
    </row>
    <row r="44" spans="1:1024" x14ac:dyDescent="0.3">
      <c r="A44" t="s">
        <v>94</v>
      </c>
      <c r="B44" t="s">
        <v>38</v>
      </c>
      <c r="C44" s="12" t="s">
        <v>34</v>
      </c>
      <c r="D44" s="8">
        <v>18.2</v>
      </c>
      <c r="E44" s="9" t="s">
        <v>39</v>
      </c>
      <c r="F44" s="10" t="s">
        <v>32</v>
      </c>
      <c r="G44" s="11" t="e">
        <f>#N/A</f>
        <v>#N/A</v>
      </c>
      <c r="H44" s="11" t="e">
        <f>#N/A</f>
        <v>#N/A</v>
      </c>
      <c r="I44">
        <v>15</v>
      </c>
      <c r="J44" t="s">
        <v>43</v>
      </c>
      <c r="K44" t="s">
        <v>36</v>
      </c>
      <c r="L44" s="2">
        <v>15.814</v>
      </c>
      <c r="M44" t="s">
        <v>36</v>
      </c>
      <c r="N44" s="2">
        <v>0.71199999999999997</v>
      </c>
      <c r="O44" s="5">
        <v>0.4642</v>
      </c>
      <c r="P44" t="s">
        <v>34</v>
      </c>
      <c r="Q44" t="s">
        <v>44</v>
      </c>
      <c r="R44" t="s">
        <v>45</v>
      </c>
      <c r="S44" s="2">
        <v>3.4620000000000002</v>
      </c>
      <c r="T44" s="2">
        <v>0.54930000000000001</v>
      </c>
      <c r="U44" t="s">
        <v>34</v>
      </c>
      <c r="V44" s="2" t="s">
        <v>35</v>
      </c>
      <c r="W44" t="s">
        <v>36</v>
      </c>
      <c r="X44" s="2">
        <v>2.835</v>
      </c>
      <c r="Y44" s="2">
        <v>6.2375999999999996</v>
      </c>
      <c r="Z44" t="s">
        <v>36</v>
      </c>
      <c r="AA44">
        <v>210</v>
      </c>
      <c r="AB44">
        <v>0</v>
      </c>
    </row>
    <row r="45" spans="1:1024" x14ac:dyDescent="0.3">
      <c r="A45" t="s">
        <v>95</v>
      </c>
      <c r="B45" t="s">
        <v>38</v>
      </c>
      <c r="C45" s="7" t="s">
        <v>34</v>
      </c>
      <c r="D45" s="8">
        <v>15.9</v>
      </c>
      <c r="E45" s="9" t="s">
        <v>39</v>
      </c>
      <c r="F45" s="10" t="s">
        <v>32</v>
      </c>
      <c r="G45" s="11" t="e">
        <f>#N/A</f>
        <v>#N/A</v>
      </c>
      <c r="H45" s="11" t="e">
        <f>#N/A</f>
        <v>#N/A</v>
      </c>
      <c r="I45">
        <v>12</v>
      </c>
      <c r="J45" t="s">
        <v>33</v>
      </c>
      <c r="K45" t="s">
        <v>36</v>
      </c>
      <c r="L45" s="2">
        <v>16.281400000000001</v>
      </c>
      <c r="M45" t="s">
        <v>36</v>
      </c>
      <c r="N45" s="2">
        <v>0.71599999999999997</v>
      </c>
      <c r="O45" s="5">
        <v>4.4161000000000001</v>
      </c>
      <c r="P45" t="s">
        <v>36</v>
      </c>
      <c r="Q45" t="s">
        <v>35</v>
      </c>
      <c r="R45" t="s">
        <v>36</v>
      </c>
      <c r="S45" s="2">
        <v>2.6890000000000001</v>
      </c>
      <c r="T45" s="2">
        <v>5.9366000000000003</v>
      </c>
      <c r="U45" t="s">
        <v>36</v>
      </c>
      <c r="V45" s="2" t="s">
        <v>35</v>
      </c>
      <c r="W45" t="s">
        <v>36</v>
      </c>
      <c r="X45" s="2">
        <v>3.1549999999999998</v>
      </c>
      <c r="Y45" s="2">
        <v>3.7700999999999998</v>
      </c>
      <c r="Z45" t="s">
        <v>36</v>
      </c>
    </row>
    <row r="46" spans="1:1024" x14ac:dyDescent="0.3">
      <c r="A46" t="s">
        <v>96</v>
      </c>
      <c r="B46" t="s">
        <v>38</v>
      </c>
      <c r="C46" s="12" t="s">
        <v>30</v>
      </c>
      <c r="D46" s="8">
        <v>16.5</v>
      </c>
      <c r="E46" s="9" t="s">
        <v>39</v>
      </c>
      <c r="F46" s="10" t="s">
        <v>32</v>
      </c>
      <c r="G46" s="11" t="e">
        <f>#N/A</f>
        <v>#N/A</v>
      </c>
      <c r="H46" s="11" t="e">
        <f>#N/A</f>
        <v>#N/A</v>
      </c>
      <c r="I46">
        <v>12</v>
      </c>
      <c r="J46" t="s">
        <v>33</v>
      </c>
      <c r="K46" t="s">
        <v>36</v>
      </c>
      <c r="L46" s="2">
        <v>17.751899999999999</v>
      </c>
      <c r="M46" t="s">
        <v>36</v>
      </c>
      <c r="N46" s="2">
        <v>0.78700000000000003</v>
      </c>
      <c r="O46" s="5">
        <v>0.60909999999999997</v>
      </c>
      <c r="P46" t="s">
        <v>34</v>
      </c>
      <c r="Q46" t="s">
        <v>35</v>
      </c>
      <c r="R46" t="s">
        <v>36</v>
      </c>
      <c r="S46" s="2">
        <v>3.5</v>
      </c>
      <c r="T46" s="2">
        <v>0.37219999999999998</v>
      </c>
      <c r="U46" t="s">
        <v>34</v>
      </c>
      <c r="V46" s="2" t="s">
        <v>35</v>
      </c>
      <c r="W46" t="s">
        <v>36</v>
      </c>
      <c r="X46" s="2">
        <v>2.1179999999999999</v>
      </c>
      <c r="Y46" s="2">
        <v>5.7107000000000001</v>
      </c>
      <c r="Z46" t="s">
        <v>34</v>
      </c>
      <c r="AA46">
        <v>210</v>
      </c>
      <c r="AB46">
        <v>0</v>
      </c>
    </row>
    <row r="47" spans="1:1024" x14ac:dyDescent="0.3">
      <c r="A47" t="s">
        <v>97</v>
      </c>
      <c r="B47" t="s">
        <v>38</v>
      </c>
      <c r="C47" s="7" t="s">
        <v>30</v>
      </c>
      <c r="D47" s="8">
        <v>21</v>
      </c>
      <c r="E47" s="9" t="s">
        <v>39</v>
      </c>
      <c r="F47" s="10" t="s">
        <v>32</v>
      </c>
      <c r="G47" s="11" t="e">
        <f>#N/A</f>
        <v>#N/A</v>
      </c>
      <c r="H47" s="11" t="e">
        <f>#N/A</f>
        <v>#N/A</v>
      </c>
      <c r="I47">
        <v>15</v>
      </c>
      <c r="J47" t="s">
        <v>43</v>
      </c>
      <c r="K47" t="s">
        <v>34</v>
      </c>
      <c r="L47" s="2">
        <v>18.718599999999999</v>
      </c>
      <c r="M47" t="s">
        <v>36</v>
      </c>
      <c r="N47" s="2">
        <v>0.81299999999999994</v>
      </c>
      <c r="O47" s="5">
        <v>4.1943000000000001</v>
      </c>
      <c r="P47" t="s">
        <v>36</v>
      </c>
      <c r="Q47" t="s">
        <v>35</v>
      </c>
      <c r="R47" t="s">
        <v>36</v>
      </c>
      <c r="S47" s="2">
        <v>2.7930000000000001</v>
      </c>
      <c r="T47" s="2">
        <v>5.7367999999999997</v>
      </c>
      <c r="U47" t="s">
        <v>36</v>
      </c>
      <c r="V47" s="2" t="s">
        <v>44</v>
      </c>
      <c r="W47" t="s">
        <v>45</v>
      </c>
      <c r="X47" s="2">
        <v>1.61</v>
      </c>
      <c r="Y47" s="2">
        <v>2.7349000000000001</v>
      </c>
      <c r="Z47" t="s">
        <v>36</v>
      </c>
      <c r="AA47">
        <v>210</v>
      </c>
      <c r="AB47">
        <v>0</v>
      </c>
    </row>
    <row r="48" spans="1:1024" x14ac:dyDescent="0.3">
      <c r="A48" t="s">
        <v>98</v>
      </c>
      <c r="B48" t="s">
        <v>38</v>
      </c>
      <c r="C48" s="12" t="s">
        <v>34</v>
      </c>
      <c r="D48" s="8">
        <v>19.2</v>
      </c>
      <c r="E48" s="9" t="s">
        <v>39</v>
      </c>
      <c r="F48" s="10" t="s">
        <v>32</v>
      </c>
      <c r="G48" s="11" t="e">
        <f>#N/A</f>
        <v>#N/A</v>
      </c>
      <c r="H48" s="11" t="e">
        <f>#N/A</f>
        <v>#N/A</v>
      </c>
      <c r="I48">
        <v>12</v>
      </c>
      <c r="J48" t="s">
        <v>33</v>
      </c>
      <c r="K48" t="s">
        <v>36</v>
      </c>
      <c r="L48" s="2">
        <v>20.1524</v>
      </c>
      <c r="M48" t="s">
        <v>36</v>
      </c>
      <c r="N48" s="2">
        <v>0.878</v>
      </c>
      <c r="O48" s="5">
        <v>0.61070000000000002</v>
      </c>
      <c r="P48" t="s">
        <v>34</v>
      </c>
      <c r="Q48" t="s">
        <v>35</v>
      </c>
      <c r="R48" t="s">
        <v>36</v>
      </c>
      <c r="S48" s="2">
        <v>7.3800000000000004E-2</v>
      </c>
      <c r="T48" s="2">
        <v>6.2152000000000003</v>
      </c>
      <c r="U48" t="s">
        <v>36</v>
      </c>
      <c r="V48" t="s">
        <v>44</v>
      </c>
      <c r="W48" t="s">
        <v>45</v>
      </c>
      <c r="X48" s="2">
        <v>2.9790000000000001</v>
      </c>
      <c r="Y48" s="2">
        <v>4.9855</v>
      </c>
      <c r="Z48" t="s">
        <v>36</v>
      </c>
      <c r="AA48">
        <v>210</v>
      </c>
      <c r="AB48">
        <v>0</v>
      </c>
    </row>
    <row r="49" spans="1:28" x14ac:dyDescent="0.3">
      <c r="A49" t="s">
        <v>99</v>
      </c>
      <c r="B49" t="s">
        <v>436</v>
      </c>
      <c r="C49" s="7" t="s">
        <v>34</v>
      </c>
      <c r="D49" s="8">
        <v>20.8</v>
      </c>
      <c r="E49" s="9" t="s">
        <v>39</v>
      </c>
      <c r="F49" s="10" t="s">
        <v>32</v>
      </c>
      <c r="G49" s="11" t="e">
        <f>#N/A</f>
        <v>#N/A</v>
      </c>
      <c r="H49" s="11" t="e">
        <f>#N/A</f>
        <v>#N/A</v>
      </c>
      <c r="I49">
        <v>15</v>
      </c>
      <c r="J49" t="s">
        <v>43</v>
      </c>
      <c r="K49" t="s">
        <v>36</v>
      </c>
      <c r="L49" s="2">
        <v>24.3443</v>
      </c>
      <c r="M49" t="s">
        <v>36</v>
      </c>
      <c r="N49" s="2">
        <v>0.93400000000000005</v>
      </c>
      <c r="O49" s="5" t="s">
        <v>100</v>
      </c>
      <c r="P49" t="s">
        <v>34</v>
      </c>
      <c r="Q49" t="s">
        <v>44</v>
      </c>
      <c r="R49" t="s">
        <v>45</v>
      </c>
      <c r="S49" s="2">
        <v>2.4169999999999998</v>
      </c>
      <c r="T49" s="2">
        <v>4.2184999999999997</v>
      </c>
      <c r="U49" t="s">
        <v>36</v>
      </c>
      <c r="V49" s="2" t="s">
        <v>35</v>
      </c>
      <c r="W49" t="s">
        <v>36</v>
      </c>
      <c r="X49" s="2">
        <v>1.218</v>
      </c>
      <c r="Y49" s="2" t="s">
        <v>101</v>
      </c>
      <c r="Z49" t="s">
        <v>36</v>
      </c>
      <c r="AA49">
        <v>210</v>
      </c>
      <c r="AB49">
        <v>0</v>
      </c>
    </row>
    <row r="50" spans="1:28" x14ac:dyDescent="0.3">
      <c r="A50" t="s">
        <v>102</v>
      </c>
      <c r="B50" t="s">
        <v>38</v>
      </c>
      <c r="C50" s="7" t="s">
        <v>34</v>
      </c>
      <c r="D50" s="8">
        <v>21.6</v>
      </c>
      <c r="E50" s="9" t="s">
        <v>39</v>
      </c>
      <c r="F50" s="10" t="s">
        <v>32</v>
      </c>
      <c r="G50" s="11" t="e">
        <f>#N/A</f>
        <v>#N/A</v>
      </c>
      <c r="H50" s="11" t="e">
        <f>#N/A</f>
        <v>#N/A</v>
      </c>
      <c r="I50">
        <v>14</v>
      </c>
      <c r="J50" t="s">
        <v>43</v>
      </c>
      <c r="K50" t="s">
        <v>36</v>
      </c>
      <c r="L50" s="2">
        <v>26.8306</v>
      </c>
      <c r="M50" t="s">
        <v>36</v>
      </c>
      <c r="N50" s="2">
        <v>1.04</v>
      </c>
      <c r="O50" s="5">
        <v>0.3538</v>
      </c>
      <c r="P50" t="s">
        <v>34</v>
      </c>
      <c r="Q50">
        <v>19.379799999999999</v>
      </c>
      <c r="R50" t="s">
        <v>36</v>
      </c>
      <c r="S50" s="2">
        <v>2.9079999999999999</v>
      </c>
      <c r="T50" s="2">
        <v>3.7195999999999998</v>
      </c>
      <c r="U50" t="s">
        <v>36</v>
      </c>
      <c r="V50" s="2">
        <v>11.473100000000001</v>
      </c>
      <c r="W50" t="s">
        <v>36</v>
      </c>
      <c r="X50" s="2">
        <v>2.2480000000000002</v>
      </c>
      <c r="Y50" s="2">
        <v>1.3607</v>
      </c>
      <c r="Z50" t="s">
        <v>36</v>
      </c>
    </row>
    <row r="51" spans="1:28" x14ac:dyDescent="0.3">
      <c r="A51" t="s">
        <v>103</v>
      </c>
      <c r="B51" t="s">
        <v>38</v>
      </c>
      <c r="C51" s="7" t="s">
        <v>30</v>
      </c>
      <c r="D51" s="8">
        <v>24.2</v>
      </c>
      <c r="E51" s="9" t="s">
        <v>31</v>
      </c>
      <c r="F51" s="10" t="s">
        <v>32</v>
      </c>
      <c r="G51" s="11" t="e">
        <f>#N/A</f>
        <v>#N/A</v>
      </c>
      <c r="H51" s="11" t="e">
        <f>#N/A</f>
        <v>#N/A</v>
      </c>
      <c r="I51">
        <v>12</v>
      </c>
      <c r="J51" t="s">
        <v>33</v>
      </c>
      <c r="K51" t="s">
        <v>36</v>
      </c>
      <c r="L51" s="2">
        <v>31.6952</v>
      </c>
      <c r="M51" t="s">
        <v>36</v>
      </c>
      <c r="N51" s="2">
        <v>1.181</v>
      </c>
      <c r="O51" s="5">
        <v>9.7299999999999998E-2</v>
      </c>
      <c r="P51" t="s">
        <v>34</v>
      </c>
      <c r="Q51" t="s">
        <v>44</v>
      </c>
      <c r="R51" t="s">
        <v>45</v>
      </c>
      <c r="S51" s="2">
        <v>3.3610000000000002</v>
      </c>
      <c r="T51" s="2">
        <v>3.6427</v>
      </c>
      <c r="U51" t="s">
        <v>36</v>
      </c>
      <c r="V51" s="2" t="s">
        <v>35</v>
      </c>
      <c r="W51" s="2" t="s">
        <v>36</v>
      </c>
      <c r="X51" s="2">
        <v>2.8079999999999998</v>
      </c>
      <c r="Y51" s="2">
        <v>1.95</v>
      </c>
      <c r="Z51" s="2" t="s">
        <v>36</v>
      </c>
      <c r="AA51">
        <v>210</v>
      </c>
      <c r="AB51">
        <v>0</v>
      </c>
    </row>
    <row r="52" spans="1:28" x14ac:dyDescent="0.3">
      <c r="A52" t="s">
        <v>104</v>
      </c>
      <c r="B52" t="s">
        <v>38</v>
      </c>
      <c r="C52" s="12" t="s">
        <v>30</v>
      </c>
      <c r="D52" s="8">
        <v>15.5</v>
      </c>
      <c r="E52" s="9" t="s">
        <v>39</v>
      </c>
      <c r="F52" s="10" t="s">
        <v>32</v>
      </c>
      <c r="G52" s="11" t="e">
        <f>#N/A</f>
        <v>#N/A</v>
      </c>
      <c r="H52" s="11" t="e">
        <f>#N/A</f>
        <v>#N/A</v>
      </c>
      <c r="I52">
        <v>11</v>
      </c>
      <c r="J52" t="s">
        <v>33</v>
      </c>
      <c r="K52" t="s">
        <v>36</v>
      </c>
      <c r="L52" s="2">
        <v>32.1524</v>
      </c>
      <c r="M52" t="s">
        <v>36</v>
      </c>
      <c r="N52" s="2">
        <v>1.1930000000000001</v>
      </c>
      <c r="O52" s="5">
        <v>0.1726</v>
      </c>
      <c r="P52" t="s">
        <v>34</v>
      </c>
      <c r="Q52" t="s">
        <v>44</v>
      </c>
      <c r="R52" t="s">
        <v>45</v>
      </c>
      <c r="S52" s="2">
        <v>1.0920000000000001</v>
      </c>
      <c r="T52" s="2">
        <v>3.5628000000000002</v>
      </c>
      <c r="U52" t="s">
        <v>36</v>
      </c>
      <c r="V52" t="s">
        <v>44</v>
      </c>
      <c r="W52" t="s">
        <v>45</v>
      </c>
      <c r="X52" s="2">
        <v>3.452</v>
      </c>
      <c r="Y52" s="2">
        <v>1.2562</v>
      </c>
      <c r="Z52" t="s">
        <v>36</v>
      </c>
      <c r="AA52">
        <v>210</v>
      </c>
      <c r="AB52">
        <v>0</v>
      </c>
    </row>
    <row r="53" spans="1:28" x14ac:dyDescent="0.3">
      <c r="A53" t="s">
        <v>105</v>
      </c>
      <c r="B53" t="s">
        <v>436</v>
      </c>
      <c r="C53" s="7" t="s">
        <v>34</v>
      </c>
      <c r="D53" s="8">
        <v>15.9</v>
      </c>
      <c r="E53" s="9" t="s">
        <v>39</v>
      </c>
      <c r="F53" s="10" t="s">
        <v>32</v>
      </c>
      <c r="G53" s="11" t="e">
        <f>#N/A</f>
        <v>#N/A</v>
      </c>
      <c r="H53" s="11" t="e">
        <f>#N/A</f>
        <v>#N/A</v>
      </c>
      <c r="I53">
        <v>12</v>
      </c>
      <c r="J53" t="s">
        <v>33</v>
      </c>
      <c r="K53" t="s">
        <v>36</v>
      </c>
      <c r="L53" s="2">
        <v>28.619599999999998</v>
      </c>
      <c r="M53" t="s">
        <v>36</v>
      </c>
      <c r="N53" s="2">
        <v>1.196</v>
      </c>
      <c r="O53" s="5">
        <v>6.3299999999999995E-2</v>
      </c>
      <c r="P53" t="s">
        <v>34</v>
      </c>
      <c r="Q53" t="s">
        <v>35</v>
      </c>
      <c r="R53" t="s">
        <v>36</v>
      </c>
      <c r="S53" s="2">
        <v>3.3340000000000001</v>
      </c>
      <c r="T53" s="2">
        <v>1.8589</v>
      </c>
      <c r="U53" t="s">
        <v>36</v>
      </c>
      <c r="V53" s="2" t="s">
        <v>35</v>
      </c>
      <c r="W53" t="s">
        <v>36</v>
      </c>
      <c r="X53" s="2">
        <v>2.0750000000000002</v>
      </c>
      <c r="Y53" s="2">
        <v>0.6472</v>
      </c>
      <c r="Z53" t="s">
        <v>34</v>
      </c>
      <c r="AA53">
        <v>210</v>
      </c>
      <c r="AB53">
        <v>0</v>
      </c>
    </row>
    <row r="54" spans="1:28" x14ac:dyDescent="0.3">
      <c r="A54" t="s">
        <v>106</v>
      </c>
      <c r="B54" t="s">
        <v>436</v>
      </c>
      <c r="C54" s="12" t="s">
        <v>49</v>
      </c>
      <c r="D54" s="8">
        <v>18.2</v>
      </c>
      <c r="E54" s="9" t="s">
        <v>39</v>
      </c>
      <c r="F54" s="10" t="s">
        <v>32</v>
      </c>
      <c r="G54" s="11" t="e">
        <f>#N/A</f>
        <v>#N/A</v>
      </c>
      <c r="H54" s="11" t="e">
        <f>#N/A</f>
        <v>#N/A</v>
      </c>
      <c r="I54">
        <v>15</v>
      </c>
      <c r="J54" t="s">
        <v>43</v>
      </c>
      <c r="K54" t="s">
        <v>36</v>
      </c>
      <c r="L54" s="2">
        <v>33.295200000000001</v>
      </c>
      <c r="M54" t="s">
        <v>36</v>
      </c>
      <c r="N54" s="2">
        <v>1.2230000000000001</v>
      </c>
      <c r="O54" s="5">
        <v>6.5100000000000005E-2</v>
      </c>
      <c r="P54" t="s">
        <v>34</v>
      </c>
      <c r="Q54" t="s">
        <v>44</v>
      </c>
      <c r="R54" t="s">
        <v>45</v>
      </c>
      <c r="S54" s="2">
        <v>2.9809999999999999</v>
      </c>
      <c r="T54" s="2">
        <v>0.96860000000000002</v>
      </c>
      <c r="U54" t="s">
        <v>34</v>
      </c>
      <c r="V54" s="2" t="s">
        <v>44</v>
      </c>
      <c r="W54" t="s">
        <v>45</v>
      </c>
      <c r="X54" s="2">
        <v>2.4689999999999999</v>
      </c>
      <c r="Y54" s="2">
        <v>3.6941999999999999</v>
      </c>
      <c r="Z54" t="s">
        <v>36</v>
      </c>
      <c r="AA54">
        <v>210</v>
      </c>
      <c r="AB54">
        <v>0</v>
      </c>
    </row>
    <row r="55" spans="1:28" x14ac:dyDescent="0.3">
      <c r="A55" t="s">
        <v>107</v>
      </c>
      <c r="B55" t="s">
        <v>436</v>
      </c>
      <c r="C55" s="7" t="s">
        <v>30</v>
      </c>
      <c r="D55" s="8">
        <v>17.2</v>
      </c>
      <c r="E55" s="9" t="s">
        <v>39</v>
      </c>
      <c r="F55" s="10" t="s">
        <v>32</v>
      </c>
      <c r="G55" s="11" t="e">
        <f>#N/A</f>
        <v>#N/A</v>
      </c>
      <c r="H55" s="11" t="e">
        <f>#N/A</f>
        <v>#N/A</v>
      </c>
      <c r="I55">
        <v>12</v>
      </c>
      <c r="J55" t="s">
        <v>33</v>
      </c>
      <c r="K55" t="s">
        <v>34</v>
      </c>
      <c r="L55" s="2">
        <v>33.142099999999999</v>
      </c>
      <c r="M55" t="s">
        <v>36</v>
      </c>
      <c r="N55" s="2">
        <v>1.2829999999999999</v>
      </c>
      <c r="O55" s="5">
        <v>0.56040000000000001</v>
      </c>
      <c r="P55" t="s">
        <v>34</v>
      </c>
      <c r="Q55" t="s">
        <v>44</v>
      </c>
      <c r="R55" t="s">
        <v>45</v>
      </c>
      <c r="S55" s="2">
        <v>3.29</v>
      </c>
      <c r="T55" s="2">
        <v>6.7725999999999997</v>
      </c>
      <c r="U55" t="s">
        <v>36</v>
      </c>
      <c r="V55" s="2" t="s">
        <v>35</v>
      </c>
      <c r="W55" t="s">
        <v>36</v>
      </c>
      <c r="X55" s="2">
        <v>2.581</v>
      </c>
      <c r="Y55" s="2">
        <v>3.6414</v>
      </c>
      <c r="Z55" t="s">
        <v>36</v>
      </c>
      <c r="AA55">
        <v>210</v>
      </c>
      <c r="AB55">
        <v>0</v>
      </c>
    </row>
    <row r="56" spans="1:28" x14ac:dyDescent="0.3">
      <c r="A56" t="s">
        <v>108</v>
      </c>
      <c r="B56" t="s">
        <v>38</v>
      </c>
      <c r="C56" s="7" t="s">
        <v>34</v>
      </c>
      <c r="D56" s="8">
        <v>24.2</v>
      </c>
      <c r="E56" s="9" t="s">
        <v>31</v>
      </c>
      <c r="F56" s="10" t="s">
        <v>32</v>
      </c>
      <c r="G56" s="11" t="e">
        <f>#N/A</f>
        <v>#N/A</v>
      </c>
      <c r="H56" s="11" t="e">
        <f>#N/A</f>
        <v>#N/A</v>
      </c>
      <c r="I56">
        <v>12</v>
      </c>
      <c r="J56" t="s">
        <v>33</v>
      </c>
      <c r="K56" t="s">
        <v>34</v>
      </c>
      <c r="L56" s="2">
        <v>37.97</v>
      </c>
      <c r="M56" t="s">
        <v>36</v>
      </c>
      <c r="N56" s="2">
        <v>1.4039999999999999</v>
      </c>
      <c r="O56" s="5">
        <v>1.3153999999999999</v>
      </c>
      <c r="P56" t="s">
        <v>36</v>
      </c>
      <c r="Q56" t="s">
        <v>35</v>
      </c>
      <c r="R56" t="s">
        <v>36</v>
      </c>
      <c r="S56" s="2">
        <v>0.93400000000000005</v>
      </c>
      <c r="T56" s="2">
        <v>5.5284000000000004</v>
      </c>
      <c r="U56" t="s">
        <v>36</v>
      </c>
      <c r="V56" s="2" t="s">
        <v>35</v>
      </c>
      <c r="W56" t="s">
        <v>36</v>
      </c>
      <c r="X56" s="2">
        <v>3.379</v>
      </c>
      <c r="Y56" s="2">
        <v>1.6347</v>
      </c>
      <c r="Z56" t="s">
        <v>36</v>
      </c>
      <c r="AA56">
        <v>210</v>
      </c>
      <c r="AB56">
        <v>0</v>
      </c>
    </row>
    <row r="57" spans="1:28" x14ac:dyDescent="0.3">
      <c r="A57" t="s">
        <v>109</v>
      </c>
      <c r="B57" t="s">
        <v>436</v>
      </c>
      <c r="C57" s="7" t="s">
        <v>49</v>
      </c>
      <c r="D57" s="8">
        <v>16.3</v>
      </c>
      <c r="E57" s="9" t="s">
        <v>39</v>
      </c>
      <c r="F57" s="10" t="s">
        <v>32</v>
      </c>
      <c r="G57" s="11" t="e">
        <f>#N/A</f>
        <v>#N/A</v>
      </c>
      <c r="H57" s="11" t="e">
        <f>#N/A</f>
        <v>#N/A</v>
      </c>
      <c r="I57">
        <v>12</v>
      </c>
      <c r="J57" t="s">
        <v>33</v>
      </c>
      <c r="K57" t="s">
        <v>34</v>
      </c>
      <c r="L57" s="2">
        <v>41.012700000000002</v>
      </c>
      <c r="M57" t="s">
        <v>36</v>
      </c>
      <c r="N57" s="2">
        <v>1.466</v>
      </c>
      <c r="O57" s="5">
        <v>0.8</v>
      </c>
      <c r="P57" t="s">
        <v>34</v>
      </c>
      <c r="Q57" t="s">
        <v>35</v>
      </c>
      <c r="R57" t="s">
        <v>36</v>
      </c>
      <c r="S57" s="2">
        <v>1.63</v>
      </c>
      <c r="T57" s="2">
        <v>0.6159</v>
      </c>
      <c r="U57" t="s">
        <v>34</v>
      </c>
      <c r="V57" s="2" t="s">
        <v>35</v>
      </c>
      <c r="W57" t="s">
        <v>36</v>
      </c>
      <c r="X57" s="2">
        <v>1.2110000000000001</v>
      </c>
      <c r="Y57" s="2">
        <v>0.22539999999999999</v>
      </c>
      <c r="Z57" t="s">
        <v>34</v>
      </c>
      <c r="AA57">
        <v>210</v>
      </c>
      <c r="AB57">
        <v>0</v>
      </c>
    </row>
    <row r="58" spans="1:28" x14ac:dyDescent="0.3">
      <c r="A58" t="s">
        <v>110</v>
      </c>
      <c r="B58" t="s">
        <v>38</v>
      </c>
      <c r="C58" s="12" t="s">
        <v>34</v>
      </c>
      <c r="D58" s="8">
        <v>17.399999999999999</v>
      </c>
      <c r="E58" s="9" t="s">
        <v>39</v>
      </c>
      <c r="F58" s="10" t="s">
        <v>54</v>
      </c>
      <c r="G58" s="11">
        <v>44453</v>
      </c>
      <c r="H58" s="11">
        <v>44476</v>
      </c>
      <c r="I58">
        <v>15</v>
      </c>
      <c r="J58" t="s">
        <v>43</v>
      </c>
      <c r="K58" t="s">
        <v>34</v>
      </c>
      <c r="L58" s="2">
        <v>39.207700000000003</v>
      </c>
      <c r="M58" t="s">
        <v>36</v>
      </c>
      <c r="N58" s="2">
        <v>1.5580000000000001</v>
      </c>
      <c r="O58" s="5">
        <v>0.2462</v>
      </c>
      <c r="P58" t="s">
        <v>34</v>
      </c>
      <c r="Q58">
        <v>8.0638000000000005</v>
      </c>
      <c r="R58" t="s">
        <v>85</v>
      </c>
      <c r="S58" s="2">
        <v>3.5</v>
      </c>
      <c r="T58" s="2">
        <v>1.0508</v>
      </c>
      <c r="U58" t="s">
        <v>34</v>
      </c>
      <c r="V58" s="2">
        <v>10.906499999999999</v>
      </c>
      <c r="W58" t="s">
        <v>85</v>
      </c>
      <c r="X58" s="2">
        <v>2.8359999999999999</v>
      </c>
      <c r="Y58" s="2">
        <v>0.76429999999999998</v>
      </c>
      <c r="Z58" t="s">
        <v>34</v>
      </c>
    </row>
    <row r="59" spans="1:28" x14ac:dyDescent="0.3">
      <c r="A59" t="s">
        <v>111</v>
      </c>
      <c r="B59" t="s">
        <v>436</v>
      </c>
      <c r="C59" s="7" t="s">
        <v>34</v>
      </c>
      <c r="D59" s="8">
        <v>18</v>
      </c>
      <c r="E59" s="9" t="s">
        <v>39</v>
      </c>
      <c r="F59" s="10" t="s">
        <v>32</v>
      </c>
      <c r="G59" s="11" t="e">
        <f>#N/A</f>
        <v>#N/A</v>
      </c>
      <c r="H59" s="11" t="e">
        <f>#N/A</f>
        <v>#N/A</v>
      </c>
      <c r="I59">
        <v>12</v>
      </c>
      <c r="J59" t="s">
        <v>33</v>
      </c>
      <c r="K59" t="s">
        <v>34</v>
      </c>
      <c r="L59" s="2">
        <v>49.32</v>
      </c>
      <c r="M59" t="s">
        <v>36</v>
      </c>
      <c r="N59" s="2">
        <v>1.6739999999999999</v>
      </c>
      <c r="O59" s="5">
        <v>1.5604</v>
      </c>
      <c r="P59" t="s">
        <v>36</v>
      </c>
      <c r="Q59" t="s">
        <v>44</v>
      </c>
      <c r="R59" t="s">
        <v>45</v>
      </c>
      <c r="S59" s="2">
        <v>0.97099999999999997</v>
      </c>
      <c r="T59" s="2">
        <v>2.0464000000000002</v>
      </c>
      <c r="U59" t="s">
        <v>36</v>
      </c>
      <c r="V59" s="2" t="s">
        <v>35</v>
      </c>
      <c r="W59" t="s">
        <v>36</v>
      </c>
      <c r="X59" s="2">
        <v>0.74099999999999999</v>
      </c>
      <c r="Y59" s="2">
        <v>1.6107</v>
      </c>
      <c r="Z59" t="s">
        <v>36</v>
      </c>
      <c r="AA59">
        <v>210</v>
      </c>
      <c r="AB59">
        <v>0</v>
      </c>
    </row>
    <row r="60" spans="1:28" x14ac:dyDescent="0.3">
      <c r="A60" t="s">
        <v>112</v>
      </c>
      <c r="B60" t="s">
        <v>38</v>
      </c>
      <c r="C60" s="12" t="s">
        <v>34</v>
      </c>
      <c r="D60" s="8">
        <v>17.399999999999999</v>
      </c>
      <c r="E60" s="9" t="s">
        <v>39</v>
      </c>
      <c r="F60" s="10" t="s">
        <v>32</v>
      </c>
      <c r="G60" s="11" t="e">
        <f>#N/A</f>
        <v>#N/A</v>
      </c>
      <c r="H60" s="11" t="e">
        <f>#N/A</f>
        <v>#N/A</v>
      </c>
      <c r="I60">
        <v>15</v>
      </c>
      <c r="J60" t="s">
        <v>43</v>
      </c>
      <c r="K60" t="s">
        <v>34</v>
      </c>
      <c r="L60" s="2">
        <v>54.384900000000002</v>
      </c>
      <c r="M60" t="s">
        <v>36</v>
      </c>
      <c r="N60" s="2">
        <v>1.7410000000000001</v>
      </c>
      <c r="O60" s="5">
        <v>9.6100000000000005E-2</v>
      </c>
      <c r="P60" t="s">
        <v>34</v>
      </c>
      <c r="Q60" t="s">
        <v>35</v>
      </c>
      <c r="R60" t="s">
        <v>36</v>
      </c>
      <c r="S60" s="2">
        <v>1.2490000000000001</v>
      </c>
      <c r="T60" s="2">
        <v>0.62329999999999997</v>
      </c>
      <c r="U60" t="s">
        <v>34</v>
      </c>
      <c r="V60" s="2" t="s">
        <v>35</v>
      </c>
      <c r="W60" t="s">
        <v>36</v>
      </c>
      <c r="X60" s="2">
        <v>1.093</v>
      </c>
      <c r="Y60" s="2">
        <v>0.56399999999999995</v>
      </c>
      <c r="Z60" t="s">
        <v>34</v>
      </c>
      <c r="AA60">
        <v>210</v>
      </c>
      <c r="AB60">
        <v>0</v>
      </c>
    </row>
    <row r="61" spans="1:28" x14ac:dyDescent="0.3">
      <c r="A61" t="s">
        <v>113</v>
      </c>
      <c r="B61" t="s">
        <v>436</v>
      </c>
      <c r="C61" s="7" t="s">
        <v>34</v>
      </c>
      <c r="D61" s="8">
        <v>35.5</v>
      </c>
      <c r="E61" s="9" t="s">
        <v>47</v>
      </c>
      <c r="F61" s="10" t="s">
        <v>32</v>
      </c>
      <c r="G61" s="11" t="e">
        <f>#N/A</f>
        <v>#N/A</v>
      </c>
      <c r="H61" s="11" t="e">
        <f>#N/A</f>
        <v>#N/A</v>
      </c>
      <c r="I61">
        <v>14</v>
      </c>
      <c r="J61" t="s">
        <v>43</v>
      </c>
      <c r="K61" t="s">
        <v>34</v>
      </c>
      <c r="L61" s="2">
        <v>51.521700000000003</v>
      </c>
      <c r="M61" t="s">
        <v>36</v>
      </c>
      <c r="N61" s="2">
        <v>1.7789999999999999</v>
      </c>
      <c r="O61" s="5">
        <v>0.42949999999999999</v>
      </c>
      <c r="P61" t="s">
        <v>34</v>
      </c>
      <c r="Q61" t="s">
        <v>35</v>
      </c>
      <c r="R61" t="s">
        <v>36</v>
      </c>
      <c r="S61" s="2">
        <v>3.1019999999999999</v>
      </c>
      <c r="T61" s="2">
        <v>0.36420000000000002</v>
      </c>
      <c r="U61" t="s">
        <v>34</v>
      </c>
      <c r="V61" s="2" t="s">
        <v>44</v>
      </c>
      <c r="W61" t="s">
        <v>45</v>
      </c>
      <c r="X61" s="2">
        <v>2.8069999999999999</v>
      </c>
      <c r="Y61" s="2">
        <v>3.3653</v>
      </c>
      <c r="Z61" t="s">
        <v>36</v>
      </c>
      <c r="AA61">
        <v>210</v>
      </c>
      <c r="AB61">
        <v>0</v>
      </c>
    </row>
    <row r="62" spans="1:28" x14ac:dyDescent="0.3">
      <c r="A62" t="s">
        <v>114</v>
      </c>
      <c r="B62" t="s">
        <v>436</v>
      </c>
      <c r="C62" s="7" t="s">
        <v>34</v>
      </c>
      <c r="D62" s="8">
        <v>25.5</v>
      </c>
      <c r="E62" s="9" t="s">
        <v>31</v>
      </c>
      <c r="F62" s="10" t="s">
        <v>32</v>
      </c>
      <c r="G62" s="11" t="e">
        <f>#N/A</f>
        <v>#N/A</v>
      </c>
      <c r="H62" s="11" t="e">
        <f>#N/A</f>
        <v>#N/A</v>
      </c>
      <c r="I62">
        <v>12</v>
      </c>
      <c r="J62" t="s">
        <v>33</v>
      </c>
      <c r="K62" t="s">
        <v>36</v>
      </c>
      <c r="L62" s="2">
        <v>64.565200000000004</v>
      </c>
      <c r="M62" t="s">
        <v>36</v>
      </c>
      <c r="N62" s="2">
        <v>2.0190000000000001</v>
      </c>
      <c r="O62" s="5">
        <v>0.1477</v>
      </c>
      <c r="P62" t="s">
        <v>34</v>
      </c>
      <c r="Q62" t="s">
        <v>44</v>
      </c>
      <c r="R62" t="s">
        <v>45</v>
      </c>
      <c r="S62" s="2">
        <v>1.466</v>
      </c>
      <c r="T62" s="2">
        <v>0.50319999999999998</v>
      </c>
      <c r="U62" t="s">
        <v>34</v>
      </c>
      <c r="V62" s="2" t="s">
        <v>35</v>
      </c>
      <c r="W62" t="s">
        <v>36</v>
      </c>
      <c r="X62" s="2">
        <v>2.407</v>
      </c>
      <c r="Y62" s="2">
        <v>0.62629999999999997</v>
      </c>
      <c r="Z62" t="s">
        <v>34</v>
      </c>
      <c r="AA62">
        <v>210</v>
      </c>
      <c r="AB62">
        <v>0</v>
      </c>
    </row>
    <row r="63" spans="1:28" x14ac:dyDescent="0.3">
      <c r="A63" t="s">
        <v>115</v>
      </c>
      <c r="B63" t="s">
        <v>436</v>
      </c>
      <c r="C63" s="7" t="s">
        <v>30</v>
      </c>
      <c r="D63" s="8">
        <v>18.899999999999999</v>
      </c>
      <c r="E63" s="9" t="s">
        <v>39</v>
      </c>
      <c r="F63" s="10" t="s">
        <v>32</v>
      </c>
      <c r="G63" s="11" t="e">
        <f>#N/A</f>
        <v>#N/A</v>
      </c>
      <c r="H63" s="11" t="e">
        <f>#N/A</f>
        <v>#N/A</v>
      </c>
      <c r="I63">
        <v>12</v>
      </c>
      <c r="J63" t="s">
        <v>33</v>
      </c>
      <c r="K63" t="s">
        <v>34</v>
      </c>
      <c r="L63" s="2">
        <v>66.119900000000001</v>
      </c>
      <c r="M63" t="s">
        <v>36</v>
      </c>
      <c r="N63" s="2">
        <v>2.02</v>
      </c>
      <c r="O63" s="5">
        <v>0.28170000000000001</v>
      </c>
      <c r="P63" t="s">
        <v>34</v>
      </c>
      <c r="Q63" t="s">
        <v>44</v>
      </c>
      <c r="R63" t="s">
        <v>45</v>
      </c>
      <c r="S63" s="2">
        <v>3.5</v>
      </c>
      <c r="T63" s="2">
        <v>0.32</v>
      </c>
      <c r="U63" t="s">
        <v>34</v>
      </c>
      <c r="V63" s="2" t="s">
        <v>35</v>
      </c>
      <c r="W63" t="s">
        <v>36</v>
      </c>
      <c r="X63" s="2">
        <v>3.5</v>
      </c>
      <c r="Y63" s="2">
        <v>0.25469999999999998</v>
      </c>
      <c r="Z63" t="s">
        <v>34</v>
      </c>
      <c r="AA63">
        <v>210</v>
      </c>
      <c r="AB63">
        <v>0</v>
      </c>
    </row>
    <row r="64" spans="1:28" x14ac:dyDescent="0.3">
      <c r="A64" t="s">
        <v>116</v>
      </c>
      <c r="B64" t="s">
        <v>436</v>
      </c>
      <c r="C64" s="12" t="s">
        <v>49</v>
      </c>
      <c r="D64" s="8">
        <v>17.8</v>
      </c>
      <c r="E64" s="9" t="s">
        <v>39</v>
      </c>
      <c r="F64" s="10" t="s">
        <v>32</v>
      </c>
      <c r="G64" s="11" t="e">
        <f>#N/A</f>
        <v>#N/A</v>
      </c>
      <c r="H64" s="11" t="e">
        <f>#N/A</f>
        <v>#N/A</v>
      </c>
      <c r="I64">
        <v>11</v>
      </c>
      <c r="J64" t="s">
        <v>33</v>
      </c>
      <c r="K64" t="s">
        <v>36</v>
      </c>
      <c r="L64" s="2">
        <v>68.7697</v>
      </c>
      <c r="M64" t="s">
        <v>36</v>
      </c>
      <c r="N64" s="2">
        <v>2.0830000000000002</v>
      </c>
      <c r="O64" s="5">
        <v>0.158</v>
      </c>
      <c r="P64" t="s">
        <v>34</v>
      </c>
      <c r="Q64" t="s">
        <v>44</v>
      </c>
      <c r="R64" t="s">
        <v>45</v>
      </c>
      <c r="S64" s="2">
        <v>1.405</v>
      </c>
      <c r="T64" s="2">
        <v>1.5672999999999999</v>
      </c>
      <c r="U64" t="s">
        <v>36</v>
      </c>
      <c r="V64" s="2">
        <v>11.8004</v>
      </c>
      <c r="W64" t="s">
        <v>36</v>
      </c>
      <c r="X64" s="2">
        <v>1.0429999999999999</v>
      </c>
      <c r="Y64" s="2">
        <v>0.86160000000000003</v>
      </c>
      <c r="Z64" t="s">
        <v>34</v>
      </c>
      <c r="AA64">
        <v>182</v>
      </c>
      <c r="AB64">
        <v>1</v>
      </c>
    </row>
    <row r="65" spans="1:28" x14ac:dyDescent="0.3">
      <c r="A65" t="s">
        <v>117</v>
      </c>
      <c r="B65" t="s">
        <v>436</v>
      </c>
      <c r="C65" s="12" t="s">
        <v>49</v>
      </c>
      <c r="D65" s="8">
        <v>20.2</v>
      </c>
      <c r="E65" s="9" t="s">
        <v>39</v>
      </c>
      <c r="F65" s="10" t="s">
        <v>32</v>
      </c>
      <c r="G65" s="11" t="e">
        <f>#N/A</f>
        <v>#N/A</v>
      </c>
      <c r="H65" s="11" t="e">
        <f>#N/A</f>
        <v>#N/A</v>
      </c>
      <c r="I65">
        <v>15</v>
      </c>
      <c r="J65" t="s">
        <v>43</v>
      </c>
      <c r="K65" t="s">
        <v>36</v>
      </c>
      <c r="L65" s="2">
        <v>102.3404</v>
      </c>
      <c r="M65" t="s">
        <v>36</v>
      </c>
      <c r="N65" s="2">
        <v>2.4550000000000001</v>
      </c>
      <c r="O65" s="5">
        <v>9.7699999999999995E-2</v>
      </c>
      <c r="P65" t="s">
        <v>34</v>
      </c>
      <c r="Q65" t="s">
        <v>35</v>
      </c>
      <c r="R65" t="s">
        <v>36</v>
      </c>
      <c r="S65" s="2">
        <v>3.0619999999999998</v>
      </c>
      <c r="T65" s="2">
        <v>3.9350000000000001</v>
      </c>
      <c r="U65" t="s">
        <v>36</v>
      </c>
      <c r="V65" s="2" t="s">
        <v>35</v>
      </c>
      <c r="W65" t="s">
        <v>36</v>
      </c>
      <c r="X65" s="2">
        <v>3.5</v>
      </c>
      <c r="Y65" s="2">
        <v>2.1301999999999999</v>
      </c>
      <c r="Z65" t="s">
        <v>36</v>
      </c>
      <c r="AA65">
        <v>210</v>
      </c>
      <c r="AB65">
        <v>0</v>
      </c>
    </row>
    <row r="66" spans="1:28" x14ac:dyDescent="0.3">
      <c r="A66" t="s">
        <v>118</v>
      </c>
      <c r="B66" t="s">
        <v>436</v>
      </c>
      <c r="C66" s="7" t="s">
        <v>34</v>
      </c>
      <c r="D66" s="8">
        <v>17.899999999999999</v>
      </c>
      <c r="E66" s="9" t="s">
        <v>39</v>
      </c>
      <c r="F66" s="10" t="s">
        <v>54</v>
      </c>
      <c r="G66" s="11">
        <v>44453</v>
      </c>
      <c r="H66" s="11">
        <v>44476</v>
      </c>
      <c r="I66">
        <v>15</v>
      </c>
      <c r="J66" t="s">
        <v>43</v>
      </c>
      <c r="K66" t="s">
        <v>36</v>
      </c>
      <c r="L66" s="2">
        <v>95.032399999999996</v>
      </c>
      <c r="M66" t="s">
        <v>36</v>
      </c>
      <c r="N66" s="2">
        <v>2.536</v>
      </c>
      <c r="O66" s="5" t="s">
        <v>119</v>
      </c>
      <c r="P66" t="s">
        <v>36</v>
      </c>
      <c r="Q66" t="s">
        <v>35</v>
      </c>
      <c r="R66" t="s">
        <v>36</v>
      </c>
      <c r="S66" s="2">
        <v>2.899</v>
      </c>
      <c r="T66" s="2">
        <v>5.6421000000000001</v>
      </c>
      <c r="U66" t="s">
        <v>36</v>
      </c>
      <c r="V66" s="2" t="s">
        <v>35</v>
      </c>
      <c r="W66" t="s">
        <v>36</v>
      </c>
      <c r="X66" s="2">
        <v>2.2839999999999998</v>
      </c>
      <c r="Y66" s="2">
        <v>2.3967000000000001</v>
      </c>
      <c r="Z66" t="s">
        <v>36</v>
      </c>
      <c r="AA66">
        <v>210</v>
      </c>
      <c r="AB66">
        <v>0</v>
      </c>
    </row>
    <row r="67" spans="1:28" x14ac:dyDescent="0.3">
      <c r="A67" t="s">
        <v>120</v>
      </c>
      <c r="B67" t="s">
        <v>38</v>
      </c>
      <c r="C67" s="7" t="s">
        <v>49</v>
      </c>
      <c r="D67" s="8">
        <v>30.5</v>
      </c>
      <c r="E67" s="9" t="s">
        <v>47</v>
      </c>
      <c r="F67" s="10" t="s">
        <v>54</v>
      </c>
      <c r="G67" s="11">
        <v>44453</v>
      </c>
      <c r="H67" s="11">
        <v>44477</v>
      </c>
      <c r="I67">
        <v>12</v>
      </c>
      <c r="J67" t="s">
        <v>33</v>
      </c>
      <c r="K67" t="s">
        <v>34</v>
      </c>
      <c r="L67" s="2">
        <v>101.8575</v>
      </c>
      <c r="M67" t="s">
        <v>36</v>
      </c>
      <c r="N67" s="2">
        <v>2.6150000000000002</v>
      </c>
      <c r="O67" s="5">
        <v>2.2622</v>
      </c>
      <c r="P67" t="s">
        <v>36</v>
      </c>
      <c r="Q67">
        <v>38.194400000000002</v>
      </c>
      <c r="R67" t="s">
        <v>36</v>
      </c>
      <c r="S67" s="2">
        <v>3.5</v>
      </c>
      <c r="T67" s="2">
        <v>1.5475000000000001</v>
      </c>
      <c r="U67" t="s">
        <v>36</v>
      </c>
      <c r="V67" s="2">
        <v>28.299099999999999</v>
      </c>
      <c r="W67" t="s">
        <v>36</v>
      </c>
      <c r="X67" s="2">
        <v>3.4169999999999998</v>
      </c>
      <c r="Y67" s="2" t="s">
        <v>121</v>
      </c>
      <c r="Z67" t="s">
        <v>34</v>
      </c>
    </row>
    <row r="68" spans="1:28" x14ac:dyDescent="0.3">
      <c r="A68" t="s">
        <v>122</v>
      </c>
      <c r="B68" t="s">
        <v>436</v>
      </c>
      <c r="C68" s="12" t="s">
        <v>30</v>
      </c>
      <c r="D68" s="8">
        <v>16.2</v>
      </c>
      <c r="E68" s="9" t="s">
        <v>39</v>
      </c>
      <c r="F68" s="10" t="s">
        <v>32</v>
      </c>
      <c r="G68" s="11" t="e">
        <f>#N/A</f>
        <v>#N/A</v>
      </c>
      <c r="H68" s="11" t="e">
        <f>#N/A</f>
        <v>#N/A</v>
      </c>
      <c r="I68">
        <v>12</v>
      </c>
      <c r="J68" t="s">
        <v>33</v>
      </c>
      <c r="K68" t="s">
        <v>34</v>
      </c>
      <c r="L68" s="2" t="s">
        <v>35</v>
      </c>
      <c r="M68" t="s">
        <v>36</v>
      </c>
      <c r="N68" s="2">
        <v>2.69</v>
      </c>
      <c r="O68" s="5">
        <v>6.3500000000000001E-2</v>
      </c>
      <c r="P68" t="s">
        <v>34</v>
      </c>
      <c r="Q68" t="s">
        <v>44</v>
      </c>
      <c r="R68" t="s">
        <v>45</v>
      </c>
      <c r="S68" s="2">
        <v>3.3780000000000001</v>
      </c>
      <c r="T68" s="2">
        <v>1.8250999999999999</v>
      </c>
      <c r="U68" t="s">
        <v>36</v>
      </c>
      <c r="V68" t="s">
        <v>35</v>
      </c>
      <c r="W68" t="s">
        <v>36</v>
      </c>
      <c r="X68" s="2">
        <v>3.0169999999999999</v>
      </c>
      <c r="Y68" s="2">
        <v>0.626</v>
      </c>
      <c r="Z68" t="s">
        <v>34</v>
      </c>
      <c r="AA68">
        <v>210</v>
      </c>
      <c r="AB68">
        <v>0</v>
      </c>
    </row>
    <row r="69" spans="1:28" x14ac:dyDescent="0.3">
      <c r="A69" t="s">
        <v>123</v>
      </c>
      <c r="B69" t="s">
        <v>436</v>
      </c>
      <c r="C69" s="7" t="s">
        <v>30</v>
      </c>
      <c r="D69" s="8">
        <v>22.9</v>
      </c>
      <c r="E69" s="9" t="s">
        <v>39</v>
      </c>
      <c r="F69" s="10" t="s">
        <v>54</v>
      </c>
      <c r="G69" s="11">
        <v>44454</v>
      </c>
      <c r="H69" s="11">
        <v>44476</v>
      </c>
      <c r="I69">
        <v>15</v>
      </c>
      <c r="J69" t="s">
        <v>43</v>
      </c>
      <c r="K69" t="s">
        <v>34</v>
      </c>
      <c r="L69" s="2" t="s">
        <v>44</v>
      </c>
      <c r="M69" t="s">
        <v>45</v>
      </c>
      <c r="N69" s="2">
        <v>2.7789999999999999</v>
      </c>
      <c r="O69" s="5">
        <v>0.1857</v>
      </c>
      <c r="P69" t="s">
        <v>34</v>
      </c>
      <c r="Q69" t="s">
        <v>35</v>
      </c>
      <c r="R69" t="s">
        <v>36</v>
      </c>
      <c r="S69" s="2">
        <v>3.4929999999999999</v>
      </c>
      <c r="T69" s="2">
        <v>1.6384000000000001</v>
      </c>
      <c r="U69" t="s">
        <v>36</v>
      </c>
      <c r="V69" s="2" t="s">
        <v>35</v>
      </c>
      <c r="W69" t="s">
        <v>36</v>
      </c>
      <c r="X69" s="2">
        <v>3.0459999999999998</v>
      </c>
      <c r="Y69" s="2">
        <v>0.95860000000000001</v>
      </c>
      <c r="Z69" t="s">
        <v>34</v>
      </c>
      <c r="AA69">
        <v>210</v>
      </c>
      <c r="AB69">
        <v>0</v>
      </c>
    </row>
    <row r="70" spans="1:28" x14ac:dyDescent="0.3">
      <c r="A70" t="s">
        <v>124</v>
      </c>
      <c r="B70" t="s">
        <v>436</v>
      </c>
      <c r="C70" s="7" t="s">
        <v>30</v>
      </c>
      <c r="D70" s="8">
        <v>26.3</v>
      </c>
      <c r="E70" s="9" t="s">
        <v>47</v>
      </c>
      <c r="F70" s="10" t="s">
        <v>54</v>
      </c>
      <c r="G70" s="11">
        <v>44453</v>
      </c>
      <c r="H70" s="11">
        <v>44476</v>
      </c>
      <c r="I70">
        <v>12</v>
      </c>
      <c r="J70" t="s">
        <v>33</v>
      </c>
      <c r="K70" t="s">
        <v>34</v>
      </c>
      <c r="L70" s="2" t="s">
        <v>35</v>
      </c>
      <c r="M70" t="s">
        <v>36</v>
      </c>
      <c r="N70" s="2">
        <v>2.9390000000000001</v>
      </c>
      <c r="O70" s="5">
        <v>1.4672000000000001</v>
      </c>
      <c r="P70" s="5" t="s">
        <v>36</v>
      </c>
      <c r="Q70" t="s">
        <v>35</v>
      </c>
      <c r="R70" t="s">
        <v>36</v>
      </c>
      <c r="S70" s="2">
        <v>2.9710000000000001</v>
      </c>
      <c r="T70" s="2">
        <v>6.7209000000000003</v>
      </c>
      <c r="U70" t="s">
        <v>36</v>
      </c>
      <c r="V70" s="2" t="s">
        <v>35</v>
      </c>
      <c r="W70" t="s">
        <v>36</v>
      </c>
      <c r="X70" s="2">
        <v>3.5</v>
      </c>
      <c r="Y70" s="2">
        <v>3.9039999999999999</v>
      </c>
      <c r="Z70" t="s">
        <v>36</v>
      </c>
      <c r="AA70">
        <v>210</v>
      </c>
      <c r="AB70">
        <v>0</v>
      </c>
    </row>
    <row r="71" spans="1:28" x14ac:dyDescent="0.3">
      <c r="A71" t="s">
        <v>125</v>
      </c>
      <c r="B71" t="s">
        <v>38</v>
      </c>
      <c r="C71" s="12" t="s">
        <v>34</v>
      </c>
      <c r="D71" s="8">
        <v>23.7</v>
      </c>
      <c r="E71" s="9" t="s">
        <v>31</v>
      </c>
      <c r="F71" s="10" t="s">
        <v>54</v>
      </c>
      <c r="G71" s="11">
        <v>44453</v>
      </c>
      <c r="H71" s="11">
        <v>44477</v>
      </c>
      <c r="I71">
        <v>12</v>
      </c>
      <c r="J71" t="s">
        <v>33</v>
      </c>
      <c r="K71" t="s">
        <v>36</v>
      </c>
      <c r="L71" s="2" t="s">
        <v>35</v>
      </c>
      <c r="M71" t="s">
        <v>36</v>
      </c>
      <c r="N71" s="2">
        <v>2.96</v>
      </c>
      <c r="O71" s="5">
        <v>0.114</v>
      </c>
      <c r="P71" t="s">
        <v>34</v>
      </c>
      <c r="Q71" t="s">
        <v>44</v>
      </c>
      <c r="R71" t="s">
        <v>45</v>
      </c>
      <c r="S71" s="2">
        <v>3.5</v>
      </c>
      <c r="T71" s="2">
        <v>2.2197</v>
      </c>
      <c r="U71" t="s">
        <v>36</v>
      </c>
      <c r="V71" t="s">
        <v>35</v>
      </c>
      <c r="W71" t="s">
        <v>36</v>
      </c>
      <c r="X71" s="2">
        <v>3.5</v>
      </c>
      <c r="Y71" s="2">
        <v>0.78720000000000001</v>
      </c>
      <c r="Z71" t="s">
        <v>34</v>
      </c>
      <c r="AA71">
        <v>210</v>
      </c>
      <c r="AB71">
        <v>0</v>
      </c>
    </row>
    <row r="72" spans="1:28" x14ac:dyDescent="0.3">
      <c r="A72" t="s">
        <v>126</v>
      </c>
      <c r="B72" t="s">
        <v>38</v>
      </c>
      <c r="C72" s="12" t="s">
        <v>49</v>
      </c>
      <c r="D72" s="8">
        <v>16.2</v>
      </c>
      <c r="E72" s="9" t="s">
        <v>39</v>
      </c>
      <c r="F72" s="10" t="s">
        <v>54</v>
      </c>
      <c r="G72" s="11">
        <v>44453</v>
      </c>
      <c r="H72" s="11">
        <v>44480</v>
      </c>
      <c r="I72">
        <v>12</v>
      </c>
      <c r="J72" t="s">
        <v>33</v>
      </c>
      <c r="K72" t="s">
        <v>34</v>
      </c>
      <c r="L72" s="2" t="s">
        <v>35</v>
      </c>
      <c r="M72" t="s">
        <v>36</v>
      </c>
      <c r="N72" s="2">
        <v>3.056</v>
      </c>
      <c r="O72" s="5">
        <v>8.6300000000000002E-2</v>
      </c>
      <c r="P72" t="s">
        <v>34</v>
      </c>
      <c r="Q72" t="s">
        <v>35</v>
      </c>
      <c r="R72" t="s">
        <v>36</v>
      </c>
      <c r="S72" s="2">
        <v>3.5</v>
      </c>
      <c r="T72" s="2">
        <v>0.1457</v>
      </c>
      <c r="U72" t="s">
        <v>34</v>
      </c>
      <c r="V72" t="s">
        <v>44</v>
      </c>
      <c r="W72" t="s">
        <v>45</v>
      </c>
      <c r="X72" s="2">
        <v>2.9710000000000001</v>
      </c>
      <c r="Y72" s="2">
        <v>1.4897</v>
      </c>
      <c r="Z72" t="s">
        <v>36</v>
      </c>
      <c r="AA72">
        <v>210</v>
      </c>
      <c r="AB72">
        <v>0</v>
      </c>
    </row>
    <row r="73" spans="1:28" x14ac:dyDescent="0.3">
      <c r="A73" t="s">
        <v>127</v>
      </c>
      <c r="B73" t="s">
        <v>436</v>
      </c>
      <c r="C73" s="7" t="s">
        <v>34</v>
      </c>
      <c r="D73" s="8">
        <v>42.2</v>
      </c>
      <c r="E73" s="9" t="s">
        <v>47</v>
      </c>
      <c r="F73" s="10" t="s">
        <v>32</v>
      </c>
      <c r="G73" s="11" t="e">
        <f>#N/A</f>
        <v>#N/A</v>
      </c>
      <c r="H73" s="11" t="e">
        <f>#N/A</f>
        <v>#N/A</v>
      </c>
      <c r="I73">
        <v>15</v>
      </c>
      <c r="J73" t="s">
        <v>43</v>
      </c>
      <c r="K73" t="s">
        <v>34</v>
      </c>
      <c r="L73" s="2">
        <v>3.7178</v>
      </c>
      <c r="M73" t="s">
        <v>34</v>
      </c>
      <c r="N73" s="2">
        <v>3.0590000000000002</v>
      </c>
      <c r="O73" s="5">
        <v>0.76729999999999998</v>
      </c>
      <c r="P73" t="s">
        <v>34</v>
      </c>
      <c r="Q73" t="s">
        <v>35</v>
      </c>
      <c r="R73" t="s">
        <v>36</v>
      </c>
      <c r="S73" s="2">
        <v>2.3519999999999999</v>
      </c>
      <c r="T73" s="2">
        <v>0.35520000000000002</v>
      </c>
      <c r="U73" t="s">
        <v>34</v>
      </c>
      <c r="V73" s="2" t="s">
        <v>35</v>
      </c>
      <c r="W73" t="s">
        <v>36</v>
      </c>
      <c r="X73" s="2">
        <v>3.157</v>
      </c>
      <c r="Y73" s="2">
        <v>5.8482000000000003</v>
      </c>
      <c r="Z73" t="s">
        <v>36</v>
      </c>
      <c r="AA73">
        <v>210</v>
      </c>
      <c r="AB73">
        <v>0</v>
      </c>
    </row>
    <row r="74" spans="1:28" x14ac:dyDescent="0.3">
      <c r="A74" t="s">
        <v>128</v>
      </c>
      <c r="B74" t="s">
        <v>436</v>
      </c>
      <c r="C74" s="7" t="s">
        <v>30</v>
      </c>
      <c r="D74" s="8">
        <v>21.8</v>
      </c>
      <c r="E74" s="9" t="s">
        <v>39</v>
      </c>
      <c r="F74" s="10" t="s">
        <v>54</v>
      </c>
      <c r="G74" s="11">
        <v>44453</v>
      </c>
      <c r="H74" s="11">
        <v>44476</v>
      </c>
      <c r="I74">
        <v>14</v>
      </c>
      <c r="J74" t="s">
        <v>43</v>
      </c>
      <c r="K74" t="s">
        <v>34</v>
      </c>
      <c r="L74" s="2" t="s">
        <v>35</v>
      </c>
      <c r="M74" t="s">
        <v>36</v>
      </c>
      <c r="N74" s="2">
        <v>3.0590000000000002</v>
      </c>
      <c r="O74" s="5">
        <v>0.28860000000000002</v>
      </c>
      <c r="P74" t="s">
        <v>34</v>
      </c>
      <c r="Q74" t="s">
        <v>35</v>
      </c>
      <c r="R74" t="s">
        <v>36</v>
      </c>
      <c r="S74" s="2">
        <v>3.5</v>
      </c>
      <c r="T74" s="2">
        <v>3.7187999999999999</v>
      </c>
      <c r="U74" t="s">
        <v>36</v>
      </c>
      <c r="V74" s="2" t="s">
        <v>35</v>
      </c>
      <c r="W74" t="s">
        <v>36</v>
      </c>
      <c r="X74" s="2">
        <v>3.411</v>
      </c>
      <c r="Y74" s="2">
        <v>5.7098000000000004</v>
      </c>
      <c r="Z74" t="s">
        <v>36</v>
      </c>
    </row>
    <row r="75" spans="1:28" x14ac:dyDescent="0.3">
      <c r="A75" t="s">
        <v>129</v>
      </c>
      <c r="B75" t="s">
        <v>38</v>
      </c>
      <c r="C75" s="12" t="s">
        <v>30</v>
      </c>
      <c r="D75" s="8">
        <v>19.2</v>
      </c>
      <c r="E75" s="9" t="s">
        <v>39</v>
      </c>
      <c r="F75" s="10" t="s">
        <v>54</v>
      </c>
      <c r="G75" s="11">
        <v>44453</v>
      </c>
      <c r="H75" s="11">
        <v>44482</v>
      </c>
      <c r="I75">
        <v>15</v>
      </c>
      <c r="J75" t="s">
        <v>43</v>
      </c>
      <c r="K75" t="s">
        <v>34</v>
      </c>
      <c r="L75" s="2" t="s">
        <v>35</v>
      </c>
      <c r="M75" t="s">
        <v>36</v>
      </c>
      <c r="N75" s="2">
        <v>3.0590000000000002</v>
      </c>
      <c r="O75" s="5">
        <v>6.0299999999999999E-2</v>
      </c>
      <c r="P75" t="s">
        <v>34</v>
      </c>
      <c r="Q75" t="s">
        <v>44</v>
      </c>
      <c r="R75" t="s">
        <v>45</v>
      </c>
      <c r="S75" s="2">
        <v>3.5</v>
      </c>
      <c r="T75" s="2">
        <v>1.4978</v>
      </c>
      <c r="U75" t="s">
        <v>36</v>
      </c>
      <c r="V75" s="2" t="s">
        <v>44</v>
      </c>
      <c r="W75" t="s">
        <v>45</v>
      </c>
      <c r="X75" s="2">
        <v>3.5</v>
      </c>
      <c r="Y75" s="2">
        <v>0.88639999999999997</v>
      </c>
      <c r="Z75" t="s">
        <v>34</v>
      </c>
      <c r="AA75">
        <v>210</v>
      </c>
      <c r="AB75">
        <v>0</v>
      </c>
    </row>
    <row r="76" spans="1:28" x14ac:dyDescent="0.3">
      <c r="A76" t="s">
        <v>130</v>
      </c>
      <c r="B76" t="s">
        <v>436</v>
      </c>
      <c r="C76" s="7" t="s">
        <v>30</v>
      </c>
      <c r="D76" s="8">
        <v>24.8</v>
      </c>
      <c r="E76" s="9" t="s">
        <v>31</v>
      </c>
      <c r="F76" s="10" t="s">
        <v>54</v>
      </c>
      <c r="G76" s="11">
        <v>44453</v>
      </c>
      <c r="H76" s="11">
        <v>44477</v>
      </c>
      <c r="I76">
        <v>12</v>
      </c>
      <c r="J76" t="s">
        <v>33</v>
      </c>
      <c r="K76" t="s">
        <v>34</v>
      </c>
      <c r="L76" s="2" t="s">
        <v>35</v>
      </c>
      <c r="M76" t="s">
        <v>36</v>
      </c>
      <c r="N76" s="2">
        <v>3.0870000000000002</v>
      </c>
      <c r="O76" s="5">
        <v>7.6399999999999996E-2</v>
      </c>
      <c r="P76" t="s">
        <v>34</v>
      </c>
      <c r="Q76" t="s">
        <v>35</v>
      </c>
      <c r="R76" t="s">
        <v>36</v>
      </c>
      <c r="S76" s="2">
        <v>3.2530000000000001</v>
      </c>
      <c r="T76" s="2">
        <v>8.2100000000000006E-2</v>
      </c>
      <c r="U76" t="s">
        <v>34</v>
      </c>
      <c r="V76" s="2" t="s">
        <v>35</v>
      </c>
      <c r="W76" t="s">
        <v>36</v>
      </c>
      <c r="X76" s="2">
        <v>3.5</v>
      </c>
      <c r="Y76" s="2">
        <v>1.4175</v>
      </c>
      <c r="Z76" t="s">
        <v>36</v>
      </c>
      <c r="AA76">
        <v>210</v>
      </c>
      <c r="AB76">
        <v>0</v>
      </c>
    </row>
    <row r="77" spans="1:28" x14ac:dyDescent="0.3">
      <c r="A77" t="s">
        <v>131</v>
      </c>
      <c r="B77" t="s">
        <v>38</v>
      </c>
      <c r="C77" s="12" t="s">
        <v>30</v>
      </c>
      <c r="D77" s="8">
        <v>22</v>
      </c>
      <c r="E77" s="9" t="s">
        <v>31</v>
      </c>
      <c r="F77" s="10" t="s">
        <v>54</v>
      </c>
      <c r="G77" s="11">
        <v>44453</v>
      </c>
      <c r="H77" s="11">
        <v>44482</v>
      </c>
      <c r="I77">
        <v>12</v>
      </c>
      <c r="J77" t="s">
        <v>33</v>
      </c>
      <c r="K77" t="s">
        <v>34</v>
      </c>
      <c r="L77" s="2" t="s">
        <v>35</v>
      </c>
      <c r="M77" t="s">
        <v>36</v>
      </c>
      <c r="N77" s="2">
        <v>3.089</v>
      </c>
      <c r="O77" s="5" t="s">
        <v>132</v>
      </c>
      <c r="P77" t="s">
        <v>34</v>
      </c>
      <c r="Q77" t="s">
        <v>35</v>
      </c>
      <c r="R77" t="s">
        <v>36</v>
      </c>
      <c r="S77" s="2">
        <v>3.1640000000000001</v>
      </c>
      <c r="T77" s="2">
        <v>2.1324999999999998</v>
      </c>
      <c r="U77" t="s">
        <v>36</v>
      </c>
      <c r="V77" s="2" t="s">
        <v>35</v>
      </c>
      <c r="W77" t="s">
        <v>36</v>
      </c>
      <c r="X77" s="2">
        <v>2.677</v>
      </c>
      <c r="Y77" s="2">
        <v>0.84219999999999995</v>
      </c>
      <c r="Z77" t="s">
        <v>34</v>
      </c>
      <c r="AA77">
        <v>210</v>
      </c>
      <c r="AB77">
        <v>0</v>
      </c>
    </row>
    <row r="78" spans="1:28" x14ac:dyDescent="0.3">
      <c r="A78" t="s">
        <v>133</v>
      </c>
      <c r="B78" t="s">
        <v>38</v>
      </c>
      <c r="C78" s="7" t="s">
        <v>34</v>
      </c>
      <c r="D78" s="8">
        <v>23.6</v>
      </c>
      <c r="E78" s="9" t="s">
        <v>39</v>
      </c>
      <c r="F78" s="10" t="s">
        <v>54</v>
      </c>
      <c r="G78" s="11">
        <v>44454</v>
      </c>
      <c r="H78" s="11">
        <v>44476</v>
      </c>
      <c r="I78">
        <v>15</v>
      </c>
      <c r="J78" t="s">
        <v>43</v>
      </c>
      <c r="K78" t="s">
        <v>34</v>
      </c>
      <c r="L78" s="2" t="s">
        <v>35</v>
      </c>
      <c r="M78" t="s">
        <v>36</v>
      </c>
      <c r="N78" s="2">
        <v>3.089</v>
      </c>
      <c r="O78" s="5">
        <v>9.2999999999999999E-2</v>
      </c>
      <c r="P78" t="s">
        <v>34</v>
      </c>
      <c r="Q78" t="s">
        <v>35</v>
      </c>
      <c r="R78" t="s">
        <v>36</v>
      </c>
      <c r="S78" s="2">
        <v>3.5</v>
      </c>
      <c r="T78" s="2">
        <v>1.7387999999999999</v>
      </c>
      <c r="U78" t="s">
        <v>36</v>
      </c>
      <c r="V78" s="2" t="s">
        <v>35</v>
      </c>
      <c r="W78" t="s">
        <v>36</v>
      </c>
      <c r="X78" s="2">
        <v>3.3220000000000001</v>
      </c>
      <c r="Y78" s="2">
        <v>0.96899999999999997</v>
      </c>
      <c r="Z78" t="s">
        <v>34</v>
      </c>
      <c r="AA78">
        <v>210</v>
      </c>
      <c r="AB78">
        <v>0</v>
      </c>
    </row>
    <row r="79" spans="1:28" x14ac:dyDescent="0.3">
      <c r="A79" t="s">
        <v>134</v>
      </c>
      <c r="B79" t="s">
        <v>436</v>
      </c>
      <c r="C79" s="7" t="s">
        <v>30</v>
      </c>
      <c r="D79" s="8">
        <v>19.7</v>
      </c>
      <c r="E79" s="9" t="s">
        <v>39</v>
      </c>
      <c r="F79" s="10" t="s">
        <v>54</v>
      </c>
      <c r="G79" s="11">
        <v>44453</v>
      </c>
      <c r="H79" s="11">
        <v>44476</v>
      </c>
      <c r="I79">
        <v>14</v>
      </c>
      <c r="J79" t="s">
        <v>43</v>
      </c>
      <c r="K79" t="s">
        <v>34</v>
      </c>
      <c r="L79" s="2" t="s">
        <v>35</v>
      </c>
      <c r="M79" t="s">
        <v>36</v>
      </c>
      <c r="N79" s="2">
        <v>3.113</v>
      </c>
      <c r="O79" s="5">
        <v>0.48320000000000002</v>
      </c>
      <c r="P79" t="s">
        <v>34</v>
      </c>
      <c r="Q79" t="s">
        <v>35</v>
      </c>
      <c r="R79" t="s">
        <v>36</v>
      </c>
      <c r="S79" s="2">
        <v>3.5</v>
      </c>
      <c r="T79" s="2">
        <v>0.31469999999999998</v>
      </c>
      <c r="U79" t="s">
        <v>34</v>
      </c>
      <c r="V79" s="2" t="s">
        <v>35</v>
      </c>
      <c r="W79" t="s">
        <v>36</v>
      </c>
      <c r="X79" s="2">
        <v>3.0059999999999998</v>
      </c>
      <c r="Y79" s="2">
        <v>5.7568999999999999</v>
      </c>
      <c r="Z79" t="s">
        <v>36</v>
      </c>
      <c r="AA79">
        <v>210</v>
      </c>
      <c r="AB79">
        <v>0</v>
      </c>
    </row>
    <row r="80" spans="1:28" x14ac:dyDescent="0.3">
      <c r="A80" t="s">
        <v>135</v>
      </c>
      <c r="B80" t="s">
        <v>436</v>
      </c>
      <c r="C80" s="7" t="s">
        <v>34</v>
      </c>
      <c r="D80" s="8">
        <v>13</v>
      </c>
      <c r="E80" s="9" t="s">
        <v>41</v>
      </c>
      <c r="F80" s="10" t="s">
        <v>54</v>
      </c>
      <c r="G80" s="11">
        <v>44453</v>
      </c>
      <c r="H80" s="11">
        <v>44477</v>
      </c>
      <c r="I80">
        <v>11</v>
      </c>
      <c r="J80" t="s">
        <v>33</v>
      </c>
      <c r="K80" t="s">
        <v>36</v>
      </c>
      <c r="L80" s="2" t="s">
        <v>35</v>
      </c>
      <c r="M80" t="s">
        <v>36</v>
      </c>
      <c r="N80" s="2">
        <v>3.1139999999999999</v>
      </c>
      <c r="O80" s="5">
        <v>1.6922999999999999</v>
      </c>
      <c r="P80" t="s">
        <v>36</v>
      </c>
      <c r="Q80" t="s">
        <v>35</v>
      </c>
      <c r="R80" t="s">
        <v>36</v>
      </c>
      <c r="S80" s="2">
        <v>3.2549999999999999</v>
      </c>
      <c r="T80" s="2">
        <v>1.1942999999999999</v>
      </c>
      <c r="U80" t="s">
        <v>36</v>
      </c>
      <c r="V80" s="2" t="s">
        <v>35</v>
      </c>
      <c r="W80" t="s">
        <v>36</v>
      </c>
      <c r="X80" s="2">
        <v>3.238</v>
      </c>
      <c r="Y80" s="2">
        <v>0.80530000000000002</v>
      </c>
      <c r="Z80" t="s">
        <v>34</v>
      </c>
      <c r="AA80">
        <v>210</v>
      </c>
      <c r="AB80">
        <v>0</v>
      </c>
    </row>
    <row r="81" spans="1:28" x14ac:dyDescent="0.3">
      <c r="A81" t="s">
        <v>136</v>
      </c>
      <c r="B81" t="s">
        <v>38</v>
      </c>
      <c r="C81" s="7" t="s">
        <v>49</v>
      </c>
      <c r="D81" s="8">
        <v>21.2</v>
      </c>
      <c r="E81" s="9" t="s">
        <v>39</v>
      </c>
      <c r="F81" s="10" t="s">
        <v>54</v>
      </c>
      <c r="G81" s="11">
        <v>44454</v>
      </c>
      <c r="H81" s="11">
        <v>44476</v>
      </c>
      <c r="I81">
        <v>15</v>
      </c>
      <c r="J81" t="s">
        <v>43</v>
      </c>
      <c r="K81" t="s">
        <v>34</v>
      </c>
      <c r="L81" s="2" t="s">
        <v>35</v>
      </c>
      <c r="M81" t="s">
        <v>36</v>
      </c>
      <c r="N81" s="2">
        <v>3.1269999999999998</v>
      </c>
      <c r="O81" s="5">
        <v>0.70469999999999999</v>
      </c>
      <c r="P81" t="s">
        <v>34</v>
      </c>
      <c r="Q81" t="s">
        <v>35</v>
      </c>
      <c r="R81" t="s">
        <v>36</v>
      </c>
      <c r="S81" s="2">
        <v>3.0630000000000002</v>
      </c>
      <c r="T81" s="2">
        <v>1.7098</v>
      </c>
      <c r="U81" t="s">
        <v>36</v>
      </c>
      <c r="V81" s="2" t="s">
        <v>137</v>
      </c>
      <c r="W81" t="s">
        <v>36</v>
      </c>
      <c r="X81" s="2">
        <v>2.387</v>
      </c>
      <c r="Y81" s="2">
        <v>1.0085999999999999</v>
      </c>
      <c r="Z81" t="s">
        <v>34</v>
      </c>
      <c r="AA81">
        <v>210</v>
      </c>
      <c r="AB81">
        <v>0</v>
      </c>
    </row>
    <row r="82" spans="1:28" x14ac:dyDescent="0.3">
      <c r="A82" t="s">
        <v>138</v>
      </c>
      <c r="B82" t="s">
        <v>436</v>
      </c>
      <c r="C82" s="7" t="s">
        <v>34</v>
      </c>
      <c r="D82" s="8">
        <v>28.4</v>
      </c>
      <c r="E82" s="9" t="s">
        <v>47</v>
      </c>
      <c r="F82" s="10" t="s">
        <v>54</v>
      </c>
      <c r="G82" s="11">
        <v>44453</v>
      </c>
      <c r="H82" s="11">
        <v>44477</v>
      </c>
      <c r="I82">
        <v>14</v>
      </c>
      <c r="J82" t="s">
        <v>43</v>
      </c>
      <c r="K82" t="s">
        <v>34</v>
      </c>
      <c r="L82" s="2" t="s">
        <v>35</v>
      </c>
      <c r="M82" t="s">
        <v>36</v>
      </c>
      <c r="N82" s="2">
        <v>3.14</v>
      </c>
      <c r="O82" s="5">
        <v>0.18779999999999999</v>
      </c>
      <c r="P82" t="s">
        <v>34</v>
      </c>
      <c r="Q82" t="s">
        <v>35</v>
      </c>
      <c r="R82" t="s">
        <v>36</v>
      </c>
      <c r="S82" s="2">
        <v>3.242</v>
      </c>
      <c r="T82" s="2">
        <v>0.1749</v>
      </c>
      <c r="U82" t="s">
        <v>34</v>
      </c>
      <c r="V82" s="2" t="s">
        <v>44</v>
      </c>
      <c r="W82" t="s">
        <v>45</v>
      </c>
      <c r="X82" s="2">
        <v>3.0990000000000002</v>
      </c>
      <c r="Y82" s="2">
        <v>0.95199999999999996</v>
      </c>
      <c r="Z82" t="s">
        <v>34</v>
      </c>
      <c r="AA82">
        <v>210</v>
      </c>
      <c r="AB82">
        <v>0</v>
      </c>
    </row>
    <row r="83" spans="1:28" x14ac:dyDescent="0.3">
      <c r="A83" t="s">
        <v>139</v>
      </c>
      <c r="B83" t="s">
        <v>38</v>
      </c>
      <c r="C83" s="12" t="s">
        <v>34</v>
      </c>
      <c r="D83" s="8">
        <v>18.399999999999999</v>
      </c>
      <c r="E83" s="9" t="s">
        <v>39</v>
      </c>
      <c r="F83" s="10" t="s">
        <v>54</v>
      </c>
      <c r="G83" s="11">
        <v>44453</v>
      </c>
      <c r="H83" s="11">
        <v>44477</v>
      </c>
      <c r="I83">
        <v>12</v>
      </c>
      <c r="J83" t="s">
        <v>33</v>
      </c>
      <c r="K83" t="s">
        <v>36</v>
      </c>
      <c r="L83" s="2" t="s">
        <v>35</v>
      </c>
      <c r="M83" t="s">
        <v>36</v>
      </c>
      <c r="N83" s="2">
        <v>3.141</v>
      </c>
      <c r="O83" s="5">
        <v>0.1759</v>
      </c>
      <c r="P83" t="s">
        <v>34</v>
      </c>
      <c r="Q83" t="s">
        <v>44</v>
      </c>
      <c r="R83" t="s">
        <v>45</v>
      </c>
      <c r="S83" s="2">
        <v>3.5</v>
      </c>
      <c r="T83" s="2">
        <v>1.9359999999999999</v>
      </c>
      <c r="U83" t="s">
        <v>36</v>
      </c>
      <c r="V83" s="2" t="s">
        <v>35</v>
      </c>
      <c r="W83" t="s">
        <v>36</v>
      </c>
      <c r="X83" s="2">
        <v>3.4089999999999998</v>
      </c>
      <c r="Y83" s="2">
        <v>1.1156999999999999</v>
      </c>
      <c r="Z83" t="s">
        <v>36</v>
      </c>
    </row>
    <row r="84" spans="1:28" x14ac:dyDescent="0.3">
      <c r="A84" t="s">
        <v>140</v>
      </c>
      <c r="B84" t="s">
        <v>436</v>
      </c>
      <c r="C84" s="7" t="s">
        <v>30</v>
      </c>
      <c r="D84" s="8">
        <v>15.5</v>
      </c>
      <c r="E84" s="9" t="s">
        <v>39</v>
      </c>
      <c r="F84" s="10" t="s">
        <v>54</v>
      </c>
      <c r="G84" s="11">
        <v>44453</v>
      </c>
      <c r="H84" s="11">
        <v>44477</v>
      </c>
      <c r="I84">
        <v>12</v>
      </c>
      <c r="J84" t="s">
        <v>33</v>
      </c>
      <c r="K84" t="s">
        <v>34</v>
      </c>
      <c r="L84" s="2" t="s">
        <v>44</v>
      </c>
      <c r="M84" s="2" t="s">
        <v>45</v>
      </c>
      <c r="N84" s="2">
        <v>3.1459999999999999</v>
      </c>
      <c r="O84" s="5">
        <v>0.2555</v>
      </c>
      <c r="P84" t="s">
        <v>34</v>
      </c>
      <c r="Q84" t="s">
        <v>44</v>
      </c>
      <c r="R84" t="s">
        <v>45</v>
      </c>
      <c r="S84" s="2">
        <v>3.5</v>
      </c>
      <c r="T84" s="2">
        <v>5.4358000000000004</v>
      </c>
      <c r="U84" t="s">
        <v>36</v>
      </c>
      <c r="V84" s="2" t="s">
        <v>35</v>
      </c>
      <c r="W84" t="s">
        <v>36</v>
      </c>
      <c r="X84" s="2">
        <v>3.5</v>
      </c>
      <c r="Y84" s="2">
        <v>1.9039999999999999</v>
      </c>
      <c r="Z84" t="s">
        <v>36</v>
      </c>
      <c r="AA84">
        <v>210</v>
      </c>
      <c r="AB84">
        <v>0</v>
      </c>
    </row>
    <row r="85" spans="1:28" x14ac:dyDescent="0.3">
      <c r="A85" t="s">
        <v>141</v>
      </c>
      <c r="B85" t="s">
        <v>436</v>
      </c>
      <c r="C85" s="7" t="s">
        <v>34</v>
      </c>
      <c r="D85" s="8">
        <v>15.7</v>
      </c>
      <c r="E85" s="9" t="s">
        <v>39</v>
      </c>
      <c r="F85" s="10" t="s">
        <v>54</v>
      </c>
      <c r="G85" s="11">
        <v>44453</v>
      </c>
      <c r="H85" s="11">
        <v>44477</v>
      </c>
      <c r="I85">
        <v>11</v>
      </c>
      <c r="J85" t="s">
        <v>33</v>
      </c>
      <c r="K85" t="s">
        <v>34</v>
      </c>
      <c r="L85" s="2" t="s">
        <v>35</v>
      </c>
      <c r="M85" t="s">
        <v>36</v>
      </c>
      <c r="N85" s="2">
        <v>3.157</v>
      </c>
      <c r="O85" s="5">
        <v>2.7589999999999999</v>
      </c>
      <c r="P85" t="s">
        <v>36</v>
      </c>
      <c r="Q85" t="s">
        <v>35</v>
      </c>
      <c r="R85" t="s">
        <v>36</v>
      </c>
      <c r="S85" s="2">
        <v>3.3069999999999999</v>
      </c>
      <c r="T85" s="2" t="s">
        <v>142</v>
      </c>
      <c r="U85" t="s">
        <v>36</v>
      </c>
      <c r="V85" s="2" t="s">
        <v>44</v>
      </c>
      <c r="W85" t="s">
        <v>45</v>
      </c>
      <c r="X85" s="2">
        <v>3.09</v>
      </c>
      <c r="Y85" s="2">
        <v>5.8594999999999997</v>
      </c>
      <c r="Z85" t="s">
        <v>36</v>
      </c>
    </row>
    <row r="86" spans="1:28" x14ac:dyDescent="0.3">
      <c r="A86" t="s">
        <v>143</v>
      </c>
      <c r="B86" t="s">
        <v>436</v>
      </c>
      <c r="C86" s="12" t="s">
        <v>30</v>
      </c>
      <c r="D86" s="8">
        <v>31.4</v>
      </c>
      <c r="E86" s="9" t="s">
        <v>47</v>
      </c>
      <c r="F86" s="10" t="s">
        <v>54</v>
      </c>
      <c r="G86" s="11">
        <v>44453</v>
      </c>
      <c r="H86" s="11">
        <v>44477</v>
      </c>
      <c r="I86">
        <v>12</v>
      </c>
      <c r="J86" t="s">
        <v>33</v>
      </c>
      <c r="K86" t="s">
        <v>36</v>
      </c>
      <c r="L86" s="2" t="s">
        <v>35</v>
      </c>
      <c r="M86" t="s">
        <v>36</v>
      </c>
      <c r="N86" s="2">
        <v>3.165</v>
      </c>
      <c r="O86" s="5">
        <v>4.5600000000000002E-2</v>
      </c>
      <c r="P86" t="s">
        <v>34</v>
      </c>
      <c r="Q86" t="s">
        <v>35</v>
      </c>
      <c r="R86" t="s">
        <v>36</v>
      </c>
      <c r="S86" s="2">
        <v>3.5</v>
      </c>
      <c r="T86" s="2">
        <v>7.3999999999999996E-2</v>
      </c>
      <c r="U86" t="s">
        <v>34</v>
      </c>
      <c r="V86" s="2" t="s">
        <v>35</v>
      </c>
      <c r="W86" t="s">
        <v>36</v>
      </c>
      <c r="X86" s="2">
        <v>3.351</v>
      </c>
      <c r="Y86" s="2">
        <v>0.21690000000000001</v>
      </c>
      <c r="Z86" t="s">
        <v>34</v>
      </c>
      <c r="AA86">
        <v>210</v>
      </c>
      <c r="AB86">
        <v>0</v>
      </c>
    </row>
    <row r="87" spans="1:28" x14ac:dyDescent="0.3">
      <c r="A87" t="s">
        <v>144</v>
      </c>
      <c r="B87" t="s">
        <v>436</v>
      </c>
      <c r="C87" s="7" t="s">
        <v>34</v>
      </c>
      <c r="D87" s="8">
        <v>21.7</v>
      </c>
      <c r="E87" s="9" t="s">
        <v>39</v>
      </c>
      <c r="F87" s="10" t="s">
        <v>54</v>
      </c>
      <c r="G87" s="11">
        <v>44453</v>
      </c>
      <c r="H87" s="11">
        <v>44477</v>
      </c>
      <c r="I87">
        <v>12</v>
      </c>
      <c r="J87" t="s">
        <v>33</v>
      </c>
      <c r="K87" t="s">
        <v>36</v>
      </c>
      <c r="L87" s="2" t="s">
        <v>35</v>
      </c>
      <c r="M87" t="s">
        <v>36</v>
      </c>
      <c r="N87" s="2">
        <v>3.1829999999999998</v>
      </c>
      <c r="O87" s="5">
        <v>1.5546</v>
      </c>
      <c r="P87" t="s">
        <v>36</v>
      </c>
      <c r="Q87" t="s">
        <v>35</v>
      </c>
      <c r="R87" t="s">
        <v>36</v>
      </c>
      <c r="S87" s="2">
        <v>3.1960000000000002</v>
      </c>
      <c r="T87" s="2">
        <v>0.64570000000000005</v>
      </c>
      <c r="U87" t="s">
        <v>34</v>
      </c>
      <c r="V87" s="2" t="s">
        <v>44</v>
      </c>
      <c r="W87" t="s">
        <v>45</v>
      </c>
      <c r="X87" s="2">
        <v>2.5990000000000002</v>
      </c>
      <c r="Y87" s="2">
        <v>4.7828999999999997</v>
      </c>
      <c r="Z87" t="s">
        <v>36</v>
      </c>
      <c r="AA87">
        <v>210</v>
      </c>
      <c r="AB87">
        <v>0</v>
      </c>
    </row>
    <row r="88" spans="1:28" x14ac:dyDescent="0.3">
      <c r="A88" t="s">
        <v>145</v>
      </c>
      <c r="B88" t="s">
        <v>436</v>
      </c>
      <c r="C88" s="7" t="s">
        <v>30</v>
      </c>
      <c r="D88" s="8">
        <v>20.3</v>
      </c>
      <c r="E88" s="9" t="s">
        <v>39</v>
      </c>
      <c r="F88" s="10" t="s">
        <v>54</v>
      </c>
      <c r="G88" s="11">
        <v>44453</v>
      </c>
      <c r="H88" s="11">
        <v>44476</v>
      </c>
      <c r="I88">
        <v>15</v>
      </c>
      <c r="J88" t="s">
        <v>43</v>
      </c>
      <c r="K88" t="s">
        <v>36</v>
      </c>
      <c r="L88" s="2" t="s">
        <v>35</v>
      </c>
      <c r="M88" t="s">
        <v>36</v>
      </c>
      <c r="N88" s="2">
        <v>3.1949999999999998</v>
      </c>
      <c r="O88" s="5">
        <v>0.4637</v>
      </c>
      <c r="P88" t="s">
        <v>34</v>
      </c>
      <c r="Q88">
        <v>14.909599999999999</v>
      </c>
      <c r="R88" t="s">
        <v>36</v>
      </c>
      <c r="S88" s="2">
        <v>3.5</v>
      </c>
      <c r="T88" s="2">
        <v>2.5341999999999998</v>
      </c>
      <c r="U88" t="s">
        <v>36</v>
      </c>
      <c r="V88" s="2">
        <v>8.0372000000000003</v>
      </c>
      <c r="W88" t="s">
        <v>85</v>
      </c>
      <c r="X88" s="2">
        <v>2.9940000000000002</v>
      </c>
      <c r="Y88" s="2">
        <v>0.91800000000000004</v>
      </c>
      <c r="Z88" t="s">
        <v>34</v>
      </c>
    </row>
    <row r="89" spans="1:28" x14ac:dyDescent="0.3">
      <c r="A89" t="s">
        <v>146</v>
      </c>
      <c r="B89" t="s">
        <v>436</v>
      </c>
      <c r="C89" s="7" t="s">
        <v>34</v>
      </c>
      <c r="D89" s="8">
        <v>15.1</v>
      </c>
      <c r="E89" s="9" t="s">
        <v>39</v>
      </c>
      <c r="F89" s="10" t="s">
        <v>54</v>
      </c>
      <c r="G89" s="11">
        <v>44453</v>
      </c>
      <c r="H89" s="11">
        <v>44477</v>
      </c>
      <c r="I89">
        <v>12</v>
      </c>
      <c r="J89" t="s">
        <v>33</v>
      </c>
      <c r="K89" t="s">
        <v>34</v>
      </c>
      <c r="L89" s="2" t="s">
        <v>35</v>
      </c>
      <c r="M89" t="s">
        <v>36</v>
      </c>
      <c r="N89" s="2">
        <v>3.2050000000000001</v>
      </c>
      <c r="O89" s="5">
        <v>1.1581999999999999</v>
      </c>
      <c r="P89" t="s">
        <v>36</v>
      </c>
      <c r="Q89">
        <v>84.845100000000002</v>
      </c>
      <c r="R89" t="s">
        <v>36</v>
      </c>
      <c r="S89" s="2">
        <v>3.5</v>
      </c>
      <c r="T89" s="2">
        <v>5.1192000000000002</v>
      </c>
      <c r="U89" t="s">
        <v>36</v>
      </c>
      <c r="V89" s="2">
        <v>48.723999999999997</v>
      </c>
      <c r="W89" t="s">
        <v>36</v>
      </c>
      <c r="X89" s="2">
        <v>3.0310000000000001</v>
      </c>
      <c r="Y89" s="2">
        <v>2.1414</v>
      </c>
      <c r="Z89" t="s">
        <v>36</v>
      </c>
    </row>
    <row r="90" spans="1:28" x14ac:dyDescent="0.3">
      <c r="A90" t="s">
        <v>147</v>
      </c>
      <c r="B90" t="s">
        <v>38</v>
      </c>
      <c r="C90" s="12" t="s">
        <v>34</v>
      </c>
      <c r="D90" s="8">
        <v>20.5</v>
      </c>
      <c r="E90" s="9" t="s">
        <v>39</v>
      </c>
      <c r="F90" s="10" t="s">
        <v>54</v>
      </c>
      <c r="G90" s="11">
        <v>44453</v>
      </c>
      <c r="H90" s="11">
        <v>44476</v>
      </c>
      <c r="I90">
        <v>14</v>
      </c>
      <c r="J90" t="s">
        <v>43</v>
      </c>
      <c r="K90" t="s">
        <v>34</v>
      </c>
      <c r="L90" s="2" t="s">
        <v>35</v>
      </c>
      <c r="M90" t="s">
        <v>36</v>
      </c>
      <c r="N90" s="2">
        <v>3.2170000000000001</v>
      </c>
      <c r="O90" s="5">
        <v>0.60660000000000003</v>
      </c>
      <c r="P90" t="s">
        <v>34</v>
      </c>
      <c r="Q90" t="s">
        <v>35</v>
      </c>
      <c r="R90" t="s">
        <v>36</v>
      </c>
      <c r="S90" s="2">
        <v>3.1280000000000001</v>
      </c>
      <c r="T90" s="2">
        <v>0.36420000000000002</v>
      </c>
      <c r="U90" t="s">
        <v>34</v>
      </c>
      <c r="V90" s="2" t="s">
        <v>35</v>
      </c>
      <c r="W90" t="s">
        <v>36</v>
      </c>
      <c r="X90" s="2">
        <v>3.3759999999999999</v>
      </c>
      <c r="Y90" s="2">
        <v>4.7089999999999996</v>
      </c>
      <c r="Z90" t="s">
        <v>36</v>
      </c>
      <c r="AA90">
        <v>210</v>
      </c>
      <c r="AB90">
        <v>0</v>
      </c>
    </row>
    <row r="91" spans="1:28" x14ac:dyDescent="0.3">
      <c r="A91" t="s">
        <v>148</v>
      </c>
      <c r="B91" t="s">
        <v>38</v>
      </c>
      <c r="C91" s="7" t="s">
        <v>30</v>
      </c>
      <c r="D91" s="8">
        <v>25.6</v>
      </c>
      <c r="E91" s="9" t="s">
        <v>47</v>
      </c>
      <c r="F91" s="10" t="s">
        <v>54</v>
      </c>
      <c r="G91" s="11">
        <v>44453</v>
      </c>
      <c r="H91" s="11">
        <v>44477</v>
      </c>
      <c r="I91">
        <v>12</v>
      </c>
      <c r="J91" t="s">
        <v>33</v>
      </c>
      <c r="K91" t="s">
        <v>34</v>
      </c>
      <c r="L91" s="2" t="s">
        <v>35</v>
      </c>
      <c r="M91" t="s">
        <v>36</v>
      </c>
      <c r="N91" s="2">
        <v>3.2229999999999999</v>
      </c>
      <c r="O91" s="5">
        <v>0.54069999999999996</v>
      </c>
      <c r="P91" t="s">
        <v>34</v>
      </c>
      <c r="Q91">
        <v>1.1276999999999999</v>
      </c>
      <c r="R91" t="s">
        <v>34</v>
      </c>
      <c r="S91" s="2">
        <v>3.1179999999999999</v>
      </c>
      <c r="T91" s="2">
        <v>0.19650000000000001</v>
      </c>
      <c r="U91" t="s">
        <v>34</v>
      </c>
      <c r="V91" s="2">
        <v>37.628500000000003</v>
      </c>
      <c r="W91" t="s">
        <v>36</v>
      </c>
      <c r="X91" s="2">
        <v>3.0230000000000001</v>
      </c>
      <c r="Y91" s="2">
        <v>3.3176000000000001</v>
      </c>
      <c r="Z91" t="s">
        <v>36</v>
      </c>
    </row>
    <row r="92" spans="1:28" x14ac:dyDescent="0.3">
      <c r="A92" t="s">
        <v>149</v>
      </c>
      <c r="B92" t="s">
        <v>436</v>
      </c>
      <c r="C92" s="7" t="s">
        <v>30</v>
      </c>
      <c r="D92" s="8">
        <v>14.7</v>
      </c>
      <c r="E92" s="9" t="s">
        <v>41</v>
      </c>
      <c r="F92" s="10" t="s">
        <v>54</v>
      </c>
      <c r="G92" s="11">
        <v>44466</v>
      </c>
      <c r="H92" s="11">
        <v>44487</v>
      </c>
      <c r="I92">
        <v>11</v>
      </c>
      <c r="J92" t="s">
        <v>33</v>
      </c>
      <c r="K92" t="s">
        <v>34</v>
      </c>
      <c r="L92" s="2" t="s">
        <v>35</v>
      </c>
      <c r="M92" t="s">
        <v>36</v>
      </c>
      <c r="N92" s="2">
        <v>3.2650000000000001</v>
      </c>
      <c r="O92" s="5">
        <v>1.0329999999999999</v>
      </c>
      <c r="P92" t="s">
        <v>34</v>
      </c>
      <c r="Q92" t="s">
        <v>35</v>
      </c>
      <c r="R92" t="s">
        <v>36</v>
      </c>
      <c r="S92" s="2">
        <v>3.0640000000000001</v>
      </c>
      <c r="T92" s="2">
        <v>5.7061000000000002</v>
      </c>
      <c r="U92" t="s">
        <v>36</v>
      </c>
      <c r="V92" s="2">
        <v>71.368700000000004</v>
      </c>
      <c r="W92" t="s">
        <v>36</v>
      </c>
      <c r="X92" s="2">
        <v>3.5</v>
      </c>
      <c r="Y92" s="2">
        <v>1.3154999999999999</v>
      </c>
      <c r="Z92" t="s">
        <v>36</v>
      </c>
    </row>
    <row r="93" spans="1:28" x14ac:dyDescent="0.3">
      <c r="A93" t="s">
        <v>150</v>
      </c>
      <c r="B93" t="s">
        <v>38</v>
      </c>
      <c r="C93" s="7" t="s">
        <v>30</v>
      </c>
      <c r="D93" s="8">
        <v>23.7</v>
      </c>
      <c r="E93" s="9" t="s">
        <v>39</v>
      </c>
      <c r="F93" s="10" t="s">
        <v>54</v>
      </c>
      <c r="G93" s="11">
        <v>44454</v>
      </c>
      <c r="H93" s="11">
        <v>44476</v>
      </c>
      <c r="I93">
        <v>15</v>
      </c>
      <c r="J93" t="s">
        <v>43</v>
      </c>
      <c r="K93" t="s">
        <v>34</v>
      </c>
      <c r="L93" s="2" t="s">
        <v>35</v>
      </c>
      <c r="M93" t="s">
        <v>36</v>
      </c>
      <c r="N93" s="2">
        <v>3.31</v>
      </c>
      <c r="O93" s="5">
        <v>1.5855999999999999</v>
      </c>
      <c r="P93" t="s">
        <v>36</v>
      </c>
      <c r="Q93" t="s">
        <v>44</v>
      </c>
      <c r="R93" t="s">
        <v>45</v>
      </c>
      <c r="S93" s="2">
        <v>3.335</v>
      </c>
      <c r="T93" s="2">
        <v>5.6496000000000004</v>
      </c>
      <c r="U93" t="s">
        <v>36</v>
      </c>
      <c r="V93" s="2" t="s">
        <v>35</v>
      </c>
      <c r="W93" t="s">
        <v>36</v>
      </c>
      <c r="X93" s="2">
        <v>3.5</v>
      </c>
      <c r="Y93" s="2">
        <v>1.4552</v>
      </c>
      <c r="Z93" t="s">
        <v>36</v>
      </c>
      <c r="AA93">
        <v>210</v>
      </c>
      <c r="AB93">
        <v>0</v>
      </c>
    </row>
    <row r="94" spans="1:28" x14ac:dyDescent="0.3">
      <c r="A94" t="s">
        <v>151</v>
      </c>
      <c r="B94" t="s">
        <v>38</v>
      </c>
      <c r="C94" s="7" t="s">
        <v>34</v>
      </c>
      <c r="D94" s="8">
        <v>14.6</v>
      </c>
      <c r="E94" s="9" t="s">
        <v>41</v>
      </c>
      <c r="F94" s="10" t="s">
        <v>54</v>
      </c>
      <c r="G94" s="11">
        <v>44453</v>
      </c>
      <c r="H94" s="11">
        <v>44476</v>
      </c>
      <c r="I94">
        <v>12</v>
      </c>
      <c r="J94" t="s">
        <v>33</v>
      </c>
      <c r="K94" t="s">
        <v>34</v>
      </c>
      <c r="L94" s="2" t="s">
        <v>35</v>
      </c>
      <c r="M94" t="s">
        <v>36</v>
      </c>
      <c r="N94" s="2">
        <v>3.355</v>
      </c>
      <c r="O94" s="5">
        <v>1.302</v>
      </c>
      <c r="P94" t="s">
        <v>36</v>
      </c>
      <c r="Q94" t="s">
        <v>35</v>
      </c>
      <c r="R94" t="s">
        <v>36</v>
      </c>
      <c r="S94" s="2">
        <v>3.5</v>
      </c>
      <c r="T94" s="2" t="s">
        <v>152</v>
      </c>
      <c r="U94" t="s">
        <v>34</v>
      </c>
      <c r="V94" s="2" t="s">
        <v>35</v>
      </c>
      <c r="W94" t="s">
        <v>36</v>
      </c>
      <c r="X94" s="2">
        <v>3.0259999999999998</v>
      </c>
      <c r="Y94" s="2">
        <v>0.42409999999999998</v>
      </c>
      <c r="Z94" t="s">
        <v>34</v>
      </c>
      <c r="AA94">
        <v>210</v>
      </c>
      <c r="AB94">
        <v>0</v>
      </c>
    </row>
    <row r="95" spans="1:28" x14ac:dyDescent="0.3">
      <c r="A95" t="s">
        <v>153</v>
      </c>
      <c r="B95" t="s">
        <v>38</v>
      </c>
      <c r="C95" s="12" t="s">
        <v>49</v>
      </c>
      <c r="D95" s="8">
        <v>16.600000000000001</v>
      </c>
      <c r="E95" s="9" t="s">
        <v>39</v>
      </c>
      <c r="F95" s="10" t="s">
        <v>54</v>
      </c>
      <c r="G95" s="11">
        <v>44453</v>
      </c>
      <c r="H95" s="11">
        <v>44477</v>
      </c>
      <c r="I95">
        <v>12</v>
      </c>
      <c r="J95" t="s">
        <v>33</v>
      </c>
      <c r="K95" t="s">
        <v>36</v>
      </c>
      <c r="L95" s="2" t="s">
        <v>35</v>
      </c>
      <c r="M95" t="s">
        <v>36</v>
      </c>
      <c r="N95" s="2">
        <v>3.3759999999999999</v>
      </c>
      <c r="O95" s="5">
        <v>8.3099999999999993E-2</v>
      </c>
      <c r="P95" t="s">
        <v>34</v>
      </c>
      <c r="Q95">
        <v>14.121</v>
      </c>
      <c r="R95" t="s">
        <v>36</v>
      </c>
      <c r="S95" s="2">
        <v>3.1539999999999999</v>
      </c>
      <c r="T95" s="2">
        <v>3.1322999999999999</v>
      </c>
      <c r="U95" t="s">
        <v>36</v>
      </c>
      <c r="V95">
        <v>11.3462</v>
      </c>
      <c r="W95" t="s">
        <v>36</v>
      </c>
      <c r="X95" s="2">
        <v>2.9409999999999998</v>
      </c>
      <c r="Y95" s="2">
        <v>1.0847</v>
      </c>
      <c r="Z95" t="s">
        <v>34</v>
      </c>
    </row>
    <row r="96" spans="1:28" x14ac:dyDescent="0.3">
      <c r="A96" t="s">
        <v>154</v>
      </c>
      <c r="B96" t="s">
        <v>38</v>
      </c>
      <c r="C96" s="12" t="s">
        <v>49</v>
      </c>
      <c r="D96" s="8">
        <v>20.3</v>
      </c>
      <c r="E96" s="9" t="s">
        <v>39</v>
      </c>
      <c r="F96" s="10" t="s">
        <v>54</v>
      </c>
      <c r="G96" s="11">
        <v>44453</v>
      </c>
      <c r="H96" s="11">
        <v>44476</v>
      </c>
      <c r="I96">
        <v>14</v>
      </c>
      <c r="J96" t="s">
        <v>43</v>
      </c>
      <c r="K96" t="s">
        <v>34</v>
      </c>
      <c r="L96" s="2" t="s">
        <v>35</v>
      </c>
      <c r="M96" t="s">
        <v>36</v>
      </c>
      <c r="N96" s="2">
        <v>3.3980000000000001</v>
      </c>
      <c r="O96" s="5">
        <v>0.10589999999999999</v>
      </c>
      <c r="P96" t="s">
        <v>34</v>
      </c>
      <c r="Q96" t="s">
        <v>44</v>
      </c>
      <c r="R96" t="s">
        <v>45</v>
      </c>
      <c r="S96" s="2">
        <v>3.081</v>
      </c>
      <c r="T96" s="2">
        <v>2.9462000000000002</v>
      </c>
      <c r="U96" t="s">
        <v>36</v>
      </c>
      <c r="V96" s="2" t="s">
        <v>35</v>
      </c>
      <c r="W96" t="s">
        <v>36</v>
      </c>
      <c r="X96" s="2">
        <v>3.5</v>
      </c>
      <c r="Y96" s="2">
        <v>0.89670000000000005</v>
      </c>
      <c r="Z96" t="s">
        <v>34</v>
      </c>
      <c r="AA96">
        <v>210</v>
      </c>
      <c r="AB96">
        <v>0</v>
      </c>
    </row>
    <row r="97" spans="1:28" x14ac:dyDescent="0.3">
      <c r="A97" t="s">
        <v>155</v>
      </c>
      <c r="B97" t="s">
        <v>436</v>
      </c>
      <c r="C97" s="7" t="s">
        <v>30</v>
      </c>
      <c r="D97" s="8">
        <v>19.600000000000001</v>
      </c>
      <c r="E97" s="9" t="s">
        <v>39</v>
      </c>
      <c r="F97" s="10" t="s">
        <v>54</v>
      </c>
      <c r="G97" s="11">
        <v>44453</v>
      </c>
      <c r="H97" s="11">
        <v>44477</v>
      </c>
      <c r="I97">
        <v>12</v>
      </c>
      <c r="J97" t="s">
        <v>33</v>
      </c>
      <c r="K97" t="s">
        <v>34</v>
      </c>
      <c r="L97" s="2" t="s">
        <v>35</v>
      </c>
      <c r="M97" t="s">
        <v>36</v>
      </c>
      <c r="N97" s="2">
        <v>3.4049999999999998</v>
      </c>
      <c r="O97" s="5">
        <v>8.0799999999999997E-2</v>
      </c>
      <c r="P97" t="s">
        <v>34</v>
      </c>
      <c r="Q97" t="s">
        <v>35</v>
      </c>
      <c r="R97" t="s">
        <v>36</v>
      </c>
      <c r="S97" s="2">
        <v>3.5</v>
      </c>
      <c r="T97" s="2">
        <v>8.8400000000000006E-2</v>
      </c>
      <c r="U97" t="s">
        <v>34</v>
      </c>
      <c r="V97" s="2" t="s">
        <v>35</v>
      </c>
      <c r="W97" t="s">
        <v>36</v>
      </c>
      <c r="X97" s="2">
        <v>3.5</v>
      </c>
      <c r="Y97" s="2">
        <v>7.3099999999999998E-2</v>
      </c>
      <c r="Z97" t="s">
        <v>34</v>
      </c>
      <c r="AA97">
        <v>210</v>
      </c>
      <c r="AB97">
        <v>0</v>
      </c>
    </row>
    <row r="98" spans="1:28" x14ac:dyDescent="0.3">
      <c r="A98" t="s">
        <v>156</v>
      </c>
      <c r="B98" t="s">
        <v>436</v>
      </c>
      <c r="C98" s="7" t="s">
        <v>30</v>
      </c>
      <c r="D98" s="8">
        <v>29.1</v>
      </c>
      <c r="E98" s="9" t="s">
        <v>47</v>
      </c>
      <c r="F98" s="10" t="s">
        <v>54</v>
      </c>
      <c r="G98" s="11">
        <v>44453</v>
      </c>
      <c r="H98" s="11">
        <v>44477</v>
      </c>
      <c r="I98">
        <v>15</v>
      </c>
      <c r="J98" t="s">
        <v>43</v>
      </c>
      <c r="K98" t="s">
        <v>34</v>
      </c>
      <c r="L98" s="2" t="s">
        <v>35</v>
      </c>
      <c r="M98" t="s">
        <v>36</v>
      </c>
      <c r="N98" s="2">
        <v>3.4159999999999999</v>
      </c>
      <c r="O98" s="5">
        <v>0.58389999999999997</v>
      </c>
      <c r="P98" t="s">
        <v>34</v>
      </c>
      <c r="Q98" t="s">
        <v>35</v>
      </c>
      <c r="R98" t="s">
        <v>36</v>
      </c>
      <c r="S98" s="2">
        <v>3.5</v>
      </c>
      <c r="T98" s="2">
        <v>2.0737000000000001</v>
      </c>
      <c r="U98" t="s">
        <v>36</v>
      </c>
      <c r="V98" s="2" t="s">
        <v>35</v>
      </c>
      <c r="W98" t="s">
        <v>36</v>
      </c>
      <c r="X98" s="2">
        <v>3.5</v>
      </c>
      <c r="Y98" s="2">
        <v>1.2923</v>
      </c>
      <c r="Z98" t="s">
        <v>36</v>
      </c>
      <c r="AA98">
        <v>210</v>
      </c>
      <c r="AB98">
        <v>0</v>
      </c>
    </row>
    <row r="99" spans="1:28" x14ac:dyDescent="0.3">
      <c r="A99" t="s">
        <v>157</v>
      </c>
      <c r="B99" t="s">
        <v>38</v>
      </c>
      <c r="C99" s="12" t="s">
        <v>49</v>
      </c>
      <c r="D99" s="8">
        <v>23.7</v>
      </c>
      <c r="E99" s="9" t="s">
        <v>31</v>
      </c>
      <c r="F99" s="10" t="s">
        <v>54</v>
      </c>
      <c r="G99" s="11">
        <v>44453</v>
      </c>
      <c r="H99" s="11">
        <v>44476</v>
      </c>
      <c r="I99">
        <v>15</v>
      </c>
      <c r="J99" t="s">
        <v>43</v>
      </c>
      <c r="K99" t="s">
        <v>34</v>
      </c>
      <c r="L99" s="2" t="s">
        <v>35</v>
      </c>
      <c r="M99" t="s">
        <v>36</v>
      </c>
      <c r="N99" s="2">
        <v>3.4279999999999999</v>
      </c>
      <c r="O99" s="5">
        <v>0.54949999999999999</v>
      </c>
      <c r="P99" t="s">
        <v>34</v>
      </c>
      <c r="Q99" t="s">
        <v>35</v>
      </c>
      <c r="R99" t="s">
        <v>36</v>
      </c>
      <c r="S99" s="2">
        <v>2.9790000000000001</v>
      </c>
      <c r="T99" s="2">
        <v>0.2384</v>
      </c>
      <c r="U99" t="s">
        <v>34</v>
      </c>
      <c r="V99" s="2" t="s">
        <v>35</v>
      </c>
      <c r="W99" t="s">
        <v>36</v>
      </c>
      <c r="X99" s="2">
        <v>3.5</v>
      </c>
      <c r="Y99" s="2">
        <v>1.4795</v>
      </c>
      <c r="Z99" t="s">
        <v>36</v>
      </c>
      <c r="AA99">
        <v>210</v>
      </c>
      <c r="AB99">
        <v>0</v>
      </c>
    </row>
    <row r="100" spans="1:28" x14ac:dyDescent="0.3">
      <c r="A100" t="s">
        <v>158</v>
      </c>
      <c r="B100" t="s">
        <v>38</v>
      </c>
      <c r="C100" s="12" t="s">
        <v>49</v>
      </c>
      <c r="D100" s="8">
        <v>17.8</v>
      </c>
      <c r="E100" s="9" t="s">
        <v>39</v>
      </c>
      <c r="F100" s="10" t="s">
        <v>54</v>
      </c>
      <c r="G100" s="11">
        <v>44453</v>
      </c>
      <c r="H100" s="11">
        <v>44477</v>
      </c>
      <c r="I100">
        <v>12</v>
      </c>
      <c r="J100" t="s">
        <v>33</v>
      </c>
      <c r="K100" t="s">
        <v>34</v>
      </c>
      <c r="L100" s="2" t="s">
        <v>35</v>
      </c>
      <c r="M100" t="s">
        <v>36</v>
      </c>
      <c r="N100" s="2">
        <v>3.43</v>
      </c>
      <c r="O100" s="5">
        <v>0.20200000000000001</v>
      </c>
      <c r="P100" t="s">
        <v>34</v>
      </c>
      <c r="Q100">
        <v>18.126799999999999</v>
      </c>
      <c r="R100" t="s">
        <v>36</v>
      </c>
      <c r="S100" s="2">
        <v>3.1709999999999998</v>
      </c>
      <c r="T100" s="2">
        <v>2.1480000000000001</v>
      </c>
      <c r="U100" t="s">
        <v>36</v>
      </c>
      <c r="V100" s="2" t="s">
        <v>35</v>
      </c>
      <c r="W100" t="s">
        <v>36</v>
      </c>
      <c r="X100" s="2">
        <v>2.9239999999999999</v>
      </c>
      <c r="Y100" s="2">
        <v>5.9627999999999997</v>
      </c>
      <c r="Z100" t="s">
        <v>36</v>
      </c>
    </row>
    <row r="101" spans="1:28" x14ac:dyDescent="0.3">
      <c r="A101" t="s">
        <v>159</v>
      </c>
      <c r="B101" t="s">
        <v>436</v>
      </c>
      <c r="C101" s="12" t="s">
        <v>34</v>
      </c>
      <c r="D101" s="8">
        <v>16.600000000000001</v>
      </c>
      <c r="E101" s="9" t="s">
        <v>39</v>
      </c>
      <c r="F101" s="10" t="s">
        <v>54</v>
      </c>
      <c r="G101" s="11">
        <v>44453</v>
      </c>
      <c r="H101" s="11">
        <v>44480</v>
      </c>
      <c r="I101">
        <v>12</v>
      </c>
      <c r="J101" t="s">
        <v>33</v>
      </c>
      <c r="K101" t="s">
        <v>34</v>
      </c>
      <c r="L101" s="2" t="s">
        <v>35</v>
      </c>
      <c r="M101" t="s">
        <v>36</v>
      </c>
      <c r="N101" s="2">
        <v>3.4390000000000001</v>
      </c>
      <c r="O101" s="5">
        <v>0.17100000000000001</v>
      </c>
      <c r="P101" t="s">
        <v>34</v>
      </c>
      <c r="Q101" t="s">
        <v>35</v>
      </c>
      <c r="R101" t="s">
        <v>36</v>
      </c>
      <c r="S101" s="2">
        <v>3.105</v>
      </c>
      <c r="T101" s="2">
        <v>3.7241</v>
      </c>
      <c r="U101" t="s">
        <v>36</v>
      </c>
      <c r="V101" s="2" t="s">
        <v>35</v>
      </c>
      <c r="W101" t="s">
        <v>36</v>
      </c>
      <c r="X101" s="2">
        <v>3.3170000000000002</v>
      </c>
      <c r="Y101" s="2">
        <v>1.3182</v>
      </c>
      <c r="Z101" t="s">
        <v>36</v>
      </c>
      <c r="AA101">
        <v>210</v>
      </c>
      <c r="AB101">
        <v>0</v>
      </c>
    </row>
    <row r="102" spans="1:28" x14ac:dyDescent="0.3">
      <c r="A102" t="s">
        <v>160</v>
      </c>
      <c r="B102" t="s">
        <v>436</v>
      </c>
      <c r="C102" s="12" t="s">
        <v>34</v>
      </c>
      <c r="D102" s="8">
        <v>19.600000000000001</v>
      </c>
      <c r="E102" s="9" t="s">
        <v>39</v>
      </c>
      <c r="F102" s="10" t="s">
        <v>54</v>
      </c>
      <c r="G102" s="11">
        <v>44453</v>
      </c>
      <c r="H102" s="11">
        <v>44476</v>
      </c>
      <c r="I102">
        <v>15</v>
      </c>
      <c r="J102" t="s">
        <v>43</v>
      </c>
      <c r="K102" t="s">
        <v>36</v>
      </c>
      <c r="L102" s="2" t="s">
        <v>35</v>
      </c>
      <c r="M102" t="s">
        <v>36</v>
      </c>
      <c r="N102" s="2">
        <v>3.4430000000000001</v>
      </c>
      <c r="O102" s="5">
        <v>0.3876</v>
      </c>
      <c r="P102" t="s">
        <v>34</v>
      </c>
      <c r="Q102" t="s">
        <v>35</v>
      </c>
      <c r="R102" t="s">
        <v>36</v>
      </c>
      <c r="S102" s="2">
        <v>3.0710000000000002</v>
      </c>
      <c r="T102" s="2">
        <v>7.5583</v>
      </c>
      <c r="U102" t="s">
        <v>36</v>
      </c>
      <c r="V102" s="2" t="s">
        <v>35</v>
      </c>
      <c r="W102" t="s">
        <v>36</v>
      </c>
      <c r="X102" s="2">
        <v>3.4169999999999998</v>
      </c>
      <c r="Y102" s="2">
        <v>5.5247999999999999</v>
      </c>
      <c r="Z102" t="s">
        <v>36</v>
      </c>
    </row>
    <row r="103" spans="1:28" x14ac:dyDescent="0.3">
      <c r="A103" t="s">
        <v>161</v>
      </c>
      <c r="B103" t="s">
        <v>436</v>
      </c>
      <c r="C103" s="7" t="s">
        <v>49</v>
      </c>
      <c r="D103" s="8">
        <v>20.399999999999999</v>
      </c>
      <c r="E103" s="9" t="s">
        <v>39</v>
      </c>
      <c r="F103" s="10" t="s">
        <v>54</v>
      </c>
      <c r="G103" s="11">
        <v>44453</v>
      </c>
      <c r="H103" s="11">
        <v>44477</v>
      </c>
      <c r="I103">
        <v>12</v>
      </c>
      <c r="J103" t="s">
        <v>33</v>
      </c>
      <c r="K103" t="s">
        <v>36</v>
      </c>
      <c r="L103" s="2" t="s">
        <v>35</v>
      </c>
      <c r="M103" t="s">
        <v>36</v>
      </c>
      <c r="N103" s="2">
        <v>3.4620000000000002</v>
      </c>
      <c r="O103" s="5">
        <v>0.36030000000000001</v>
      </c>
      <c r="P103" t="s">
        <v>34</v>
      </c>
      <c r="Q103" t="s">
        <v>35</v>
      </c>
      <c r="R103" t="s">
        <v>36</v>
      </c>
      <c r="S103" s="2">
        <v>2.6240000000000001</v>
      </c>
      <c r="T103" s="2">
        <v>0.37680000000000002</v>
      </c>
      <c r="U103" t="s">
        <v>34</v>
      </c>
      <c r="V103" s="2" t="s">
        <v>44</v>
      </c>
      <c r="W103" t="s">
        <v>45</v>
      </c>
      <c r="X103" s="2">
        <v>2.0510000000000002</v>
      </c>
      <c r="Y103" s="2">
        <v>2.7724000000000002</v>
      </c>
      <c r="Z103" t="s">
        <v>36</v>
      </c>
      <c r="AA103">
        <v>210</v>
      </c>
      <c r="AB103">
        <v>0</v>
      </c>
    </row>
    <row r="104" spans="1:28" x14ac:dyDescent="0.3">
      <c r="A104" t="s">
        <v>162</v>
      </c>
      <c r="B104" t="s">
        <v>436</v>
      </c>
      <c r="C104" s="7" t="s">
        <v>49</v>
      </c>
      <c r="D104" s="8">
        <v>28.4</v>
      </c>
      <c r="E104" s="9" t="s">
        <v>47</v>
      </c>
      <c r="F104" s="10" t="s">
        <v>54</v>
      </c>
      <c r="G104" s="11">
        <v>44453</v>
      </c>
      <c r="H104" s="11">
        <v>44477</v>
      </c>
      <c r="I104">
        <v>15</v>
      </c>
      <c r="J104" t="s">
        <v>43</v>
      </c>
      <c r="K104" t="s">
        <v>36</v>
      </c>
      <c r="L104" s="2" t="s">
        <v>35</v>
      </c>
      <c r="M104" t="s">
        <v>36</v>
      </c>
      <c r="N104" s="2">
        <v>3.4630000000000001</v>
      </c>
      <c r="O104" s="5">
        <v>6.9900000000000004E-2</v>
      </c>
      <c r="P104" t="s">
        <v>34</v>
      </c>
      <c r="Q104" t="s">
        <v>35</v>
      </c>
      <c r="R104" t="s">
        <v>36</v>
      </c>
      <c r="S104" s="2">
        <v>3.2839999999999998</v>
      </c>
      <c r="T104" s="2">
        <v>2.9704999999999999</v>
      </c>
      <c r="U104" t="s">
        <v>36</v>
      </c>
      <c r="V104" s="2" t="s">
        <v>35</v>
      </c>
      <c r="W104" t="s">
        <v>36</v>
      </c>
      <c r="X104" s="2">
        <v>2.8679999999999999</v>
      </c>
      <c r="Y104" s="2">
        <v>0.74109999999999998</v>
      </c>
      <c r="Z104" t="s">
        <v>34</v>
      </c>
      <c r="AA104">
        <v>210</v>
      </c>
      <c r="AB104">
        <v>0</v>
      </c>
    </row>
    <row r="105" spans="1:28" x14ac:dyDescent="0.3">
      <c r="A105" t="s">
        <v>163</v>
      </c>
      <c r="B105" t="s">
        <v>38</v>
      </c>
      <c r="C105" s="7" t="s">
        <v>34</v>
      </c>
      <c r="D105" s="8">
        <v>17.899999999999999</v>
      </c>
      <c r="E105" s="9" t="s">
        <v>39</v>
      </c>
      <c r="F105" s="10" t="s">
        <v>54</v>
      </c>
      <c r="G105" s="11">
        <v>44454</v>
      </c>
      <c r="H105" s="11">
        <v>44477</v>
      </c>
      <c r="I105">
        <v>12</v>
      </c>
      <c r="J105" t="s">
        <v>33</v>
      </c>
      <c r="K105" t="s">
        <v>34</v>
      </c>
      <c r="L105" s="2" t="s">
        <v>35</v>
      </c>
      <c r="M105" t="s">
        <v>36</v>
      </c>
      <c r="N105" s="2">
        <v>3.4729999999999999</v>
      </c>
      <c r="O105" s="5">
        <v>2.0590000000000002</v>
      </c>
      <c r="P105" t="s">
        <v>36</v>
      </c>
      <c r="Q105" t="s">
        <v>35</v>
      </c>
      <c r="R105" t="s">
        <v>36</v>
      </c>
      <c r="S105" s="2">
        <v>3.145</v>
      </c>
      <c r="T105" s="2">
        <v>5.6592000000000002</v>
      </c>
      <c r="U105" t="s">
        <v>36</v>
      </c>
      <c r="V105" s="2" t="s">
        <v>35</v>
      </c>
      <c r="W105" t="s">
        <v>36</v>
      </c>
      <c r="X105" s="2">
        <v>3.1520000000000001</v>
      </c>
      <c r="Y105" s="2">
        <v>2.2170999999999998</v>
      </c>
      <c r="Z105" t="s">
        <v>36</v>
      </c>
    </row>
    <row r="106" spans="1:28" x14ac:dyDescent="0.3">
      <c r="A106" t="s">
        <v>164</v>
      </c>
      <c r="B106" t="s">
        <v>436</v>
      </c>
      <c r="C106" s="7" t="s">
        <v>34</v>
      </c>
      <c r="D106" s="8">
        <v>17.7</v>
      </c>
      <c r="E106" s="9" t="s">
        <v>39</v>
      </c>
      <c r="F106" s="10" t="s">
        <v>54</v>
      </c>
      <c r="G106" s="11">
        <v>44453</v>
      </c>
      <c r="H106" s="11">
        <v>44476</v>
      </c>
      <c r="I106">
        <v>15</v>
      </c>
      <c r="J106" t="s">
        <v>43</v>
      </c>
      <c r="K106" t="s">
        <v>34</v>
      </c>
      <c r="L106" s="2" t="s">
        <v>35</v>
      </c>
      <c r="M106" t="s">
        <v>36</v>
      </c>
      <c r="N106" s="2">
        <v>3.4750000000000001</v>
      </c>
      <c r="O106" s="5">
        <v>0.54949999999999999</v>
      </c>
      <c r="P106" t="s">
        <v>34</v>
      </c>
      <c r="Q106" t="s">
        <v>35</v>
      </c>
      <c r="R106" t="s">
        <v>36</v>
      </c>
      <c r="S106" s="2">
        <v>2.6749999999999998</v>
      </c>
      <c r="T106" s="2">
        <v>3.1566999999999998</v>
      </c>
      <c r="U106" t="s">
        <v>36</v>
      </c>
      <c r="V106" s="2" t="s">
        <v>35</v>
      </c>
      <c r="W106" t="s">
        <v>36</v>
      </c>
      <c r="X106" s="2">
        <v>2.1379999999999999</v>
      </c>
      <c r="Y106" s="2">
        <v>0.94259999999999999</v>
      </c>
      <c r="Z106" t="s">
        <v>34</v>
      </c>
      <c r="AA106">
        <v>210</v>
      </c>
      <c r="AB106">
        <v>0</v>
      </c>
    </row>
    <row r="107" spans="1:28" x14ac:dyDescent="0.3">
      <c r="A107" t="s">
        <v>165</v>
      </c>
      <c r="B107" t="s">
        <v>38</v>
      </c>
      <c r="C107" s="7" t="s">
        <v>34</v>
      </c>
      <c r="D107" s="8">
        <v>26.5</v>
      </c>
      <c r="E107" s="9" t="s">
        <v>47</v>
      </c>
      <c r="F107" s="10" t="s">
        <v>32</v>
      </c>
      <c r="G107" s="11" t="e">
        <f>#N/A</f>
        <v>#N/A</v>
      </c>
      <c r="H107" s="11" t="e">
        <f>#N/A</f>
        <v>#N/A</v>
      </c>
      <c r="I107">
        <v>12</v>
      </c>
      <c r="J107" t="s">
        <v>33</v>
      </c>
      <c r="K107" t="s">
        <v>34</v>
      </c>
      <c r="L107" s="2" t="s">
        <v>35</v>
      </c>
      <c r="M107" t="s">
        <v>36</v>
      </c>
      <c r="N107" s="2">
        <v>3.48</v>
      </c>
      <c r="O107" s="5">
        <v>2.4308000000000001</v>
      </c>
      <c r="P107" t="s">
        <v>36</v>
      </c>
      <c r="Q107">
        <v>11.963800000000001</v>
      </c>
      <c r="R107" t="s">
        <v>36</v>
      </c>
      <c r="S107" s="2">
        <v>2.984</v>
      </c>
      <c r="T107" s="2">
        <v>1.2891999999999999</v>
      </c>
      <c r="U107" t="s">
        <v>36</v>
      </c>
      <c r="V107" s="2" t="s">
        <v>35</v>
      </c>
      <c r="W107" t="s">
        <v>36</v>
      </c>
      <c r="X107" s="2">
        <v>2.6629999999999998</v>
      </c>
      <c r="Y107" s="2">
        <v>3.7357</v>
      </c>
      <c r="Z107" t="s">
        <v>36</v>
      </c>
    </row>
    <row r="108" spans="1:28" x14ac:dyDescent="0.3">
      <c r="A108" t="s">
        <v>166</v>
      </c>
      <c r="B108" t="s">
        <v>38</v>
      </c>
      <c r="C108" s="7" t="s">
        <v>49</v>
      </c>
      <c r="D108" s="8">
        <v>16.100000000000001</v>
      </c>
      <c r="E108" s="9" t="s">
        <v>39</v>
      </c>
      <c r="F108" s="10" t="s">
        <v>54</v>
      </c>
      <c r="G108" s="11">
        <v>44453</v>
      </c>
      <c r="H108" s="11">
        <v>44477</v>
      </c>
      <c r="I108">
        <v>12</v>
      </c>
      <c r="J108" t="s">
        <v>33</v>
      </c>
      <c r="K108" t="s">
        <v>34</v>
      </c>
      <c r="L108" s="2" t="s">
        <v>35</v>
      </c>
      <c r="M108" s="2" t="s">
        <v>36</v>
      </c>
      <c r="N108" s="2">
        <v>3.49</v>
      </c>
      <c r="O108" s="5">
        <v>0.4083</v>
      </c>
      <c r="P108" t="s">
        <v>34</v>
      </c>
      <c r="Q108">
        <v>107.6323</v>
      </c>
      <c r="R108" t="s">
        <v>36</v>
      </c>
      <c r="S108" s="2">
        <v>2.99</v>
      </c>
      <c r="T108" s="2">
        <v>1.96</v>
      </c>
      <c r="U108" t="s">
        <v>36</v>
      </c>
      <c r="V108" s="2" t="s">
        <v>35</v>
      </c>
      <c r="W108" t="s">
        <v>36</v>
      </c>
      <c r="X108" s="2">
        <v>2.4300000000000002</v>
      </c>
      <c r="Y108" s="2">
        <v>1.3612</v>
      </c>
      <c r="Z108" t="s">
        <v>36</v>
      </c>
    </row>
    <row r="109" spans="1:28" x14ac:dyDescent="0.3">
      <c r="A109" t="s">
        <v>167</v>
      </c>
      <c r="B109" t="s">
        <v>38</v>
      </c>
      <c r="C109" s="12" t="s">
        <v>30</v>
      </c>
      <c r="D109" s="8">
        <v>25.4</v>
      </c>
      <c r="E109" s="9" t="s">
        <v>31</v>
      </c>
      <c r="F109" s="10" t="s">
        <v>54</v>
      </c>
      <c r="G109" s="11">
        <v>44453</v>
      </c>
      <c r="H109" s="11">
        <v>44476</v>
      </c>
      <c r="I109">
        <v>15</v>
      </c>
      <c r="J109" t="s">
        <v>43</v>
      </c>
      <c r="K109" t="s">
        <v>34</v>
      </c>
      <c r="L109" s="2" t="s">
        <v>35</v>
      </c>
      <c r="M109" t="s">
        <v>36</v>
      </c>
      <c r="N109" s="2">
        <v>3.4969999999999999</v>
      </c>
      <c r="O109" s="2">
        <v>0.47989999999999999</v>
      </c>
      <c r="P109" s="2" t="s">
        <v>34</v>
      </c>
      <c r="Q109" t="s">
        <v>35</v>
      </c>
      <c r="R109" t="s">
        <v>36</v>
      </c>
      <c r="S109" s="2">
        <v>2.9750000000000001</v>
      </c>
      <c r="T109" s="2">
        <v>0.31169999999999998</v>
      </c>
      <c r="U109" t="s">
        <v>34</v>
      </c>
      <c r="V109" s="2" t="s">
        <v>35</v>
      </c>
      <c r="W109" t="s">
        <v>36</v>
      </c>
      <c r="X109" s="2">
        <v>3.4340000000000002</v>
      </c>
      <c r="Y109" s="2" t="s">
        <v>168</v>
      </c>
      <c r="Z109" t="s">
        <v>34</v>
      </c>
      <c r="AA109">
        <v>210</v>
      </c>
      <c r="AB109">
        <v>0</v>
      </c>
    </row>
    <row r="110" spans="1:28" x14ac:dyDescent="0.3">
      <c r="A110" t="s">
        <v>169</v>
      </c>
      <c r="B110" t="s">
        <v>38</v>
      </c>
      <c r="C110" s="12" t="s">
        <v>34</v>
      </c>
      <c r="D110" s="8">
        <v>28.7</v>
      </c>
      <c r="E110" s="9" t="s">
        <v>47</v>
      </c>
      <c r="F110" s="10" t="s">
        <v>54</v>
      </c>
      <c r="G110" s="11">
        <v>44453</v>
      </c>
      <c r="H110" s="11">
        <v>44489</v>
      </c>
      <c r="I110">
        <v>15</v>
      </c>
      <c r="J110" t="s">
        <v>43</v>
      </c>
      <c r="K110" t="s">
        <v>34</v>
      </c>
      <c r="L110" s="2" t="s">
        <v>44</v>
      </c>
      <c r="M110" t="s">
        <v>45</v>
      </c>
      <c r="N110" s="2">
        <v>3.5</v>
      </c>
      <c r="O110" s="5">
        <v>0.50490000000000002</v>
      </c>
      <c r="P110" t="s">
        <v>34</v>
      </c>
      <c r="Q110" t="s">
        <v>35</v>
      </c>
      <c r="R110" t="s">
        <v>36</v>
      </c>
      <c r="S110" s="2">
        <v>2.5539999999999998</v>
      </c>
      <c r="T110" s="2">
        <v>0.53359999999999996</v>
      </c>
      <c r="U110" t="s">
        <v>34</v>
      </c>
      <c r="V110" s="2" t="s">
        <v>44</v>
      </c>
      <c r="W110" t="s">
        <v>45</v>
      </c>
      <c r="X110" s="2">
        <v>1.474</v>
      </c>
      <c r="Y110" s="2">
        <v>1.3285</v>
      </c>
      <c r="Z110" t="s">
        <v>36</v>
      </c>
      <c r="AA110">
        <v>210</v>
      </c>
      <c r="AB110">
        <v>0</v>
      </c>
    </row>
    <row r="111" spans="1:28" x14ac:dyDescent="0.3">
      <c r="A111" t="s">
        <v>170</v>
      </c>
      <c r="B111" t="s">
        <v>436</v>
      </c>
      <c r="C111" s="7" t="s">
        <v>49</v>
      </c>
      <c r="D111" s="8">
        <v>40</v>
      </c>
      <c r="E111" s="9" t="s">
        <v>47</v>
      </c>
      <c r="F111" s="10" t="s">
        <v>54</v>
      </c>
      <c r="G111" s="11">
        <v>44454</v>
      </c>
      <c r="H111" s="11">
        <v>44477</v>
      </c>
      <c r="I111">
        <v>12</v>
      </c>
      <c r="J111" t="s">
        <v>33</v>
      </c>
      <c r="K111" t="s">
        <v>34</v>
      </c>
      <c r="L111" s="2" t="s">
        <v>44</v>
      </c>
      <c r="M111" t="s">
        <v>45</v>
      </c>
      <c r="N111" s="2">
        <v>3.5</v>
      </c>
      <c r="O111" s="5">
        <v>1.8176000000000001</v>
      </c>
      <c r="P111" t="s">
        <v>36</v>
      </c>
      <c r="Q111">
        <v>120</v>
      </c>
      <c r="R111" t="s">
        <v>36</v>
      </c>
      <c r="S111" s="2">
        <v>2.3610000000000002</v>
      </c>
      <c r="T111" s="2">
        <v>1.0672999999999999</v>
      </c>
      <c r="U111" t="s">
        <v>34</v>
      </c>
      <c r="V111" t="s">
        <v>35</v>
      </c>
      <c r="W111" t="s">
        <v>36</v>
      </c>
      <c r="X111" s="2">
        <v>1.516</v>
      </c>
      <c r="Y111" s="2">
        <v>6.2252000000000001</v>
      </c>
      <c r="Z111" t="s">
        <v>36</v>
      </c>
      <c r="AA111">
        <v>92</v>
      </c>
      <c r="AB111">
        <v>1</v>
      </c>
    </row>
    <row r="112" spans="1:28" x14ac:dyDescent="0.3">
      <c r="A112" t="s">
        <v>171</v>
      </c>
      <c r="B112" t="s">
        <v>436</v>
      </c>
      <c r="C112" s="7" t="s">
        <v>30</v>
      </c>
      <c r="D112" s="8">
        <v>20.5</v>
      </c>
      <c r="E112" s="9" t="s">
        <v>39</v>
      </c>
      <c r="F112" s="10" t="s">
        <v>54</v>
      </c>
      <c r="G112" s="11">
        <v>44454</v>
      </c>
      <c r="H112" s="11">
        <v>44476</v>
      </c>
      <c r="I112">
        <v>15</v>
      </c>
      <c r="J112" t="s">
        <v>43</v>
      </c>
      <c r="K112" t="s">
        <v>34</v>
      </c>
      <c r="L112" s="2" t="s">
        <v>44</v>
      </c>
      <c r="M112" t="s">
        <v>45</v>
      </c>
      <c r="N112" s="2">
        <v>3.5</v>
      </c>
      <c r="O112" s="5">
        <v>8.0299999999999996E-2</v>
      </c>
      <c r="P112" t="s">
        <v>34</v>
      </c>
      <c r="Q112" t="s">
        <v>44</v>
      </c>
      <c r="R112" t="s">
        <v>45</v>
      </c>
      <c r="S112" s="2">
        <v>2.254</v>
      </c>
      <c r="T112" s="2">
        <v>0.38169999999999998</v>
      </c>
      <c r="U112" t="s">
        <v>34</v>
      </c>
      <c r="V112" s="2" t="s">
        <v>44</v>
      </c>
      <c r="W112" t="s">
        <v>45</v>
      </c>
      <c r="X112" s="2">
        <v>1.597</v>
      </c>
      <c r="Y112" s="2">
        <v>0.70169999999999999</v>
      </c>
      <c r="Z112" t="s">
        <v>34</v>
      </c>
      <c r="AA112">
        <v>210</v>
      </c>
      <c r="AB112">
        <v>0</v>
      </c>
    </row>
    <row r="113" spans="1:28" x14ac:dyDescent="0.3">
      <c r="A113" t="s">
        <v>172</v>
      </c>
      <c r="B113" t="s">
        <v>38</v>
      </c>
      <c r="C113" s="12" t="s">
        <v>30</v>
      </c>
      <c r="D113" s="8">
        <v>15.5</v>
      </c>
      <c r="E113" s="9" t="s">
        <v>41</v>
      </c>
      <c r="F113" s="10" t="s">
        <v>32</v>
      </c>
      <c r="G113" s="11" t="e">
        <f>#N/A</f>
        <v>#N/A</v>
      </c>
      <c r="H113" s="11" t="e">
        <f>#N/A</f>
        <v>#N/A</v>
      </c>
      <c r="I113">
        <v>15</v>
      </c>
      <c r="J113" t="s">
        <v>43</v>
      </c>
      <c r="K113" t="s">
        <v>34</v>
      </c>
      <c r="L113" s="2" t="s">
        <v>44</v>
      </c>
      <c r="M113" t="s">
        <v>45</v>
      </c>
      <c r="N113" s="2">
        <v>3.5</v>
      </c>
      <c r="O113" s="5">
        <v>8.9599999999999999E-2</v>
      </c>
      <c r="P113" t="s">
        <v>34</v>
      </c>
      <c r="Q113" t="s">
        <v>44</v>
      </c>
      <c r="R113" t="s">
        <v>45</v>
      </c>
      <c r="S113" s="2">
        <v>2.742</v>
      </c>
      <c r="T113" s="2">
        <v>4.2422000000000004</v>
      </c>
      <c r="U113" t="s">
        <v>36</v>
      </c>
      <c r="V113" s="2">
        <v>109.3843</v>
      </c>
      <c r="W113" t="s">
        <v>36</v>
      </c>
      <c r="X113" s="2">
        <v>1.734</v>
      </c>
      <c r="Y113" s="2">
        <v>1.7335</v>
      </c>
      <c r="Z113" t="s">
        <v>36</v>
      </c>
      <c r="AA113">
        <v>182</v>
      </c>
      <c r="AB113">
        <v>1</v>
      </c>
    </row>
    <row r="114" spans="1:28" x14ac:dyDescent="0.3">
      <c r="A114" t="s">
        <v>173</v>
      </c>
      <c r="B114" t="s">
        <v>436</v>
      </c>
      <c r="C114" s="7" t="s">
        <v>34</v>
      </c>
      <c r="D114" s="8">
        <v>23.5</v>
      </c>
      <c r="E114" s="9" t="s">
        <v>39</v>
      </c>
      <c r="F114" s="10" t="s">
        <v>54</v>
      </c>
      <c r="G114" s="11">
        <v>44454</v>
      </c>
      <c r="H114" s="11">
        <v>44476</v>
      </c>
      <c r="I114">
        <v>15</v>
      </c>
      <c r="J114" t="s">
        <v>43</v>
      </c>
      <c r="K114" t="s">
        <v>34</v>
      </c>
      <c r="L114" s="2" t="s">
        <v>44</v>
      </c>
      <c r="M114" t="s">
        <v>45</v>
      </c>
      <c r="N114" s="2">
        <v>3.5</v>
      </c>
      <c r="O114" s="5">
        <v>0.10150000000000001</v>
      </c>
      <c r="P114" t="s">
        <v>34</v>
      </c>
      <c r="Q114" t="s">
        <v>35</v>
      </c>
      <c r="R114" t="s">
        <v>36</v>
      </c>
      <c r="S114" s="2">
        <v>2.6320000000000001</v>
      </c>
      <c r="T114" s="2">
        <v>2.6027</v>
      </c>
      <c r="U114" t="s">
        <v>36</v>
      </c>
      <c r="V114" s="2" t="s">
        <v>44</v>
      </c>
      <c r="W114" t="s">
        <v>45</v>
      </c>
      <c r="X114" s="2">
        <v>2.1</v>
      </c>
      <c r="Y114" s="2">
        <v>0.73280000000000001</v>
      </c>
      <c r="Z114" t="s">
        <v>34</v>
      </c>
      <c r="AA114">
        <v>210</v>
      </c>
      <c r="AB114">
        <v>0</v>
      </c>
    </row>
    <row r="115" spans="1:28" x14ac:dyDescent="0.3">
      <c r="A115" t="s">
        <v>174</v>
      </c>
      <c r="B115" t="s">
        <v>436</v>
      </c>
      <c r="C115" s="7" t="s">
        <v>30</v>
      </c>
      <c r="D115" s="8">
        <v>33.700000000000003</v>
      </c>
      <c r="E115" s="9" t="s">
        <v>47</v>
      </c>
      <c r="F115" s="10" t="s">
        <v>54</v>
      </c>
      <c r="G115" s="11">
        <v>44453</v>
      </c>
      <c r="H115" s="11">
        <v>44480</v>
      </c>
      <c r="I115">
        <v>15</v>
      </c>
      <c r="J115" t="s">
        <v>43</v>
      </c>
      <c r="K115" t="s">
        <v>36</v>
      </c>
      <c r="L115" s="2" t="s">
        <v>44</v>
      </c>
      <c r="M115" t="s">
        <v>45</v>
      </c>
      <c r="N115" s="2">
        <v>3.5</v>
      </c>
      <c r="O115" s="5">
        <v>0.27250000000000002</v>
      </c>
      <c r="P115" t="s">
        <v>34</v>
      </c>
      <c r="Q115" t="s">
        <v>44</v>
      </c>
      <c r="R115" t="s">
        <v>45</v>
      </c>
      <c r="S115" s="2">
        <v>3.4039999999999999</v>
      </c>
      <c r="T115" s="2">
        <v>1.8689</v>
      </c>
      <c r="U115" t="s">
        <v>36</v>
      </c>
      <c r="V115" s="2" t="s">
        <v>35</v>
      </c>
      <c r="W115" t="s">
        <v>36</v>
      </c>
      <c r="X115" s="2">
        <v>2.1579999999999999</v>
      </c>
      <c r="Y115" s="2">
        <v>1.1291</v>
      </c>
      <c r="Z115" t="s">
        <v>36</v>
      </c>
      <c r="AA115">
        <v>210</v>
      </c>
      <c r="AB115">
        <v>0</v>
      </c>
    </row>
    <row r="116" spans="1:28" x14ac:dyDescent="0.3">
      <c r="A116" t="s">
        <v>175</v>
      </c>
      <c r="B116" t="s">
        <v>436</v>
      </c>
      <c r="C116" s="12" t="s">
        <v>49</v>
      </c>
      <c r="D116" s="8">
        <v>19.899999999999999</v>
      </c>
      <c r="E116" s="9" t="s">
        <v>39</v>
      </c>
      <c r="F116" s="10" t="s">
        <v>54</v>
      </c>
      <c r="G116" s="11">
        <v>44453</v>
      </c>
      <c r="H116" s="11">
        <v>44476</v>
      </c>
      <c r="I116">
        <v>15</v>
      </c>
      <c r="J116" t="s">
        <v>43</v>
      </c>
      <c r="K116" t="s">
        <v>34</v>
      </c>
      <c r="L116" s="2" t="s">
        <v>44</v>
      </c>
      <c r="M116" t="s">
        <v>45</v>
      </c>
      <c r="N116" s="2">
        <v>3.5</v>
      </c>
      <c r="O116" s="5">
        <v>0.11409999999999999</v>
      </c>
      <c r="P116" t="s">
        <v>34</v>
      </c>
      <c r="Q116" t="s">
        <v>35</v>
      </c>
      <c r="R116" t="s">
        <v>36</v>
      </c>
      <c r="S116" s="2">
        <v>3.1789999999999998</v>
      </c>
      <c r="T116" s="2">
        <v>2.3022999999999998</v>
      </c>
      <c r="U116" t="s">
        <v>36</v>
      </c>
      <c r="V116" s="2" t="s">
        <v>35</v>
      </c>
      <c r="W116" t="s">
        <v>36</v>
      </c>
      <c r="X116" s="2">
        <v>2.2930000000000001</v>
      </c>
      <c r="Y116" s="2">
        <v>1.0335000000000001</v>
      </c>
      <c r="Z116" t="s">
        <v>34</v>
      </c>
      <c r="AA116">
        <v>210</v>
      </c>
      <c r="AB116">
        <v>0</v>
      </c>
    </row>
    <row r="117" spans="1:28" x14ac:dyDescent="0.3">
      <c r="A117" t="s">
        <v>176</v>
      </c>
      <c r="B117" t="s">
        <v>436</v>
      </c>
      <c r="C117" s="7" t="s">
        <v>34</v>
      </c>
      <c r="D117" s="8">
        <v>18.899999999999999</v>
      </c>
      <c r="E117" s="9" t="s">
        <v>39</v>
      </c>
      <c r="F117" s="10" t="s">
        <v>54</v>
      </c>
      <c r="G117" s="11">
        <v>44453</v>
      </c>
      <c r="H117" s="11">
        <v>44476</v>
      </c>
      <c r="I117">
        <v>15</v>
      </c>
      <c r="J117" t="s">
        <v>43</v>
      </c>
      <c r="K117" t="s">
        <v>36</v>
      </c>
      <c r="L117" s="2" t="s">
        <v>44</v>
      </c>
      <c r="M117" t="s">
        <v>45</v>
      </c>
      <c r="N117" s="2">
        <v>3.5</v>
      </c>
      <c r="O117" s="5">
        <v>0.50770000000000004</v>
      </c>
      <c r="P117" t="s">
        <v>34</v>
      </c>
      <c r="Q117" t="s">
        <v>44</v>
      </c>
      <c r="R117" t="s">
        <v>45</v>
      </c>
      <c r="S117" s="2">
        <v>3.2229999999999999</v>
      </c>
      <c r="T117" s="2">
        <v>1.8322000000000001</v>
      </c>
      <c r="U117" t="s">
        <v>36</v>
      </c>
      <c r="V117" s="2" t="s">
        <v>35</v>
      </c>
      <c r="W117" t="s">
        <v>36</v>
      </c>
      <c r="X117" s="2">
        <v>2.3919999999999999</v>
      </c>
      <c r="Y117" s="2">
        <v>0.41599999999999998</v>
      </c>
      <c r="Z117" t="s">
        <v>34</v>
      </c>
      <c r="AA117">
        <v>210</v>
      </c>
      <c r="AB117">
        <v>0</v>
      </c>
    </row>
    <row r="118" spans="1:28" x14ac:dyDescent="0.3">
      <c r="A118" t="s">
        <v>177</v>
      </c>
      <c r="B118" t="s">
        <v>436</v>
      </c>
      <c r="C118" s="7" t="s">
        <v>34</v>
      </c>
      <c r="D118" s="8">
        <v>21.8</v>
      </c>
      <c r="E118" s="9" t="s">
        <v>31</v>
      </c>
      <c r="F118" s="10" t="s">
        <v>54</v>
      </c>
      <c r="G118" s="11">
        <v>44453</v>
      </c>
      <c r="H118" s="11">
        <v>44477</v>
      </c>
      <c r="I118">
        <v>12</v>
      </c>
      <c r="J118" t="s">
        <v>33</v>
      </c>
      <c r="K118" t="s">
        <v>34</v>
      </c>
      <c r="L118" s="2" t="s">
        <v>44</v>
      </c>
      <c r="M118" t="s">
        <v>45</v>
      </c>
      <c r="N118" s="2">
        <v>3.5</v>
      </c>
      <c r="O118" s="5">
        <v>1.2043999999999999</v>
      </c>
      <c r="P118" t="s">
        <v>36</v>
      </c>
      <c r="Q118" t="s">
        <v>35</v>
      </c>
      <c r="R118" t="s">
        <v>36</v>
      </c>
      <c r="S118" s="2">
        <v>3.3090000000000002</v>
      </c>
      <c r="T118" s="2">
        <v>6.5496999999999996</v>
      </c>
      <c r="U118" t="s">
        <v>36</v>
      </c>
      <c r="V118" s="2">
        <v>97.979799999999997</v>
      </c>
      <c r="W118" t="s">
        <v>36</v>
      </c>
      <c r="X118" s="2">
        <v>2.4350000000000001</v>
      </c>
      <c r="Y118" s="2">
        <v>2.1475</v>
      </c>
      <c r="Z118" t="s">
        <v>34</v>
      </c>
      <c r="AA118">
        <v>182</v>
      </c>
      <c r="AB118">
        <v>1</v>
      </c>
    </row>
    <row r="119" spans="1:28" x14ac:dyDescent="0.3">
      <c r="A119" t="s">
        <v>178</v>
      </c>
      <c r="B119" t="s">
        <v>436</v>
      </c>
      <c r="C119" s="12" t="s">
        <v>34</v>
      </c>
      <c r="D119" s="8">
        <v>18.399999999999999</v>
      </c>
      <c r="E119" s="9" t="s">
        <v>39</v>
      </c>
      <c r="F119" s="10" t="s">
        <v>54</v>
      </c>
      <c r="G119" s="11">
        <v>44453</v>
      </c>
      <c r="H119" s="11">
        <v>44477</v>
      </c>
      <c r="I119">
        <v>12</v>
      </c>
      <c r="J119" t="s">
        <v>33</v>
      </c>
      <c r="K119" t="s">
        <v>34</v>
      </c>
      <c r="L119" s="2" t="s">
        <v>44</v>
      </c>
      <c r="M119" t="s">
        <v>45</v>
      </c>
      <c r="N119" s="2">
        <v>3.5</v>
      </c>
      <c r="O119" s="5">
        <v>7.3300000000000004E-2</v>
      </c>
      <c r="P119" t="s">
        <v>34</v>
      </c>
      <c r="Q119" t="s">
        <v>35</v>
      </c>
      <c r="R119" t="s">
        <v>36</v>
      </c>
      <c r="S119" s="2">
        <v>3.5</v>
      </c>
      <c r="T119" s="2">
        <v>0.2848</v>
      </c>
      <c r="U119" t="s">
        <v>34</v>
      </c>
      <c r="V119" s="2" t="s">
        <v>35</v>
      </c>
      <c r="W119" t="s">
        <v>36</v>
      </c>
      <c r="X119" s="2">
        <v>2.456</v>
      </c>
      <c r="Y119" s="2">
        <v>9.5000000000000001E-2</v>
      </c>
      <c r="Z119" t="s">
        <v>34</v>
      </c>
      <c r="AA119">
        <v>210</v>
      </c>
      <c r="AB119">
        <v>0</v>
      </c>
    </row>
    <row r="120" spans="1:28" x14ac:dyDescent="0.3">
      <c r="A120" t="s">
        <v>179</v>
      </c>
      <c r="B120" t="s">
        <v>38</v>
      </c>
      <c r="C120" s="12" t="s">
        <v>30</v>
      </c>
      <c r="D120" s="8">
        <v>35.1</v>
      </c>
      <c r="E120" s="9" t="s">
        <v>39</v>
      </c>
      <c r="F120" s="10" t="s">
        <v>54</v>
      </c>
      <c r="G120" s="11">
        <v>44453</v>
      </c>
      <c r="H120" s="11">
        <v>44476</v>
      </c>
      <c r="I120">
        <v>15</v>
      </c>
      <c r="J120" t="s">
        <v>43</v>
      </c>
      <c r="K120" t="s">
        <v>34</v>
      </c>
      <c r="L120" s="2" t="s">
        <v>44</v>
      </c>
      <c r="M120" t="s">
        <v>45</v>
      </c>
      <c r="N120" s="2">
        <v>3.5</v>
      </c>
      <c r="O120" s="5">
        <v>9.4500000000000001E-2</v>
      </c>
      <c r="P120" t="s">
        <v>34</v>
      </c>
      <c r="Q120" t="s">
        <v>35</v>
      </c>
      <c r="R120" t="s">
        <v>36</v>
      </c>
      <c r="S120" s="2">
        <v>3.5</v>
      </c>
      <c r="T120" s="2">
        <v>2.1928000000000001</v>
      </c>
      <c r="U120" t="s">
        <v>36</v>
      </c>
      <c r="V120" s="2" t="s">
        <v>44</v>
      </c>
      <c r="W120" t="s">
        <v>45</v>
      </c>
      <c r="X120" s="2">
        <v>2.508</v>
      </c>
      <c r="Y120" s="2">
        <v>1.3967000000000001</v>
      </c>
      <c r="Z120" t="s">
        <v>36</v>
      </c>
      <c r="AA120">
        <v>210</v>
      </c>
      <c r="AB120">
        <v>0</v>
      </c>
    </row>
    <row r="121" spans="1:28" x14ac:dyDescent="0.3">
      <c r="A121" t="s">
        <v>180</v>
      </c>
      <c r="B121" t="s">
        <v>436</v>
      </c>
      <c r="C121" s="7" t="s">
        <v>30</v>
      </c>
      <c r="D121" s="8">
        <v>23</v>
      </c>
      <c r="E121" s="9" t="s">
        <v>39</v>
      </c>
      <c r="F121" s="10" t="s">
        <v>54</v>
      </c>
      <c r="G121" s="11">
        <v>44453</v>
      </c>
      <c r="H121" s="11">
        <v>44476</v>
      </c>
      <c r="I121">
        <v>15</v>
      </c>
      <c r="J121" t="s">
        <v>43</v>
      </c>
      <c r="K121" t="s">
        <v>36</v>
      </c>
      <c r="L121" s="2" t="s">
        <v>44</v>
      </c>
      <c r="M121" t="s">
        <v>45</v>
      </c>
      <c r="N121" s="2">
        <v>3.5</v>
      </c>
      <c r="O121" s="5">
        <v>1.4278999999999999</v>
      </c>
      <c r="P121" t="s">
        <v>36</v>
      </c>
      <c r="Q121" t="s">
        <v>44</v>
      </c>
      <c r="R121" t="s">
        <v>45</v>
      </c>
      <c r="S121" s="2">
        <v>3.0190000000000001</v>
      </c>
      <c r="T121" s="2">
        <v>0.92</v>
      </c>
      <c r="U121" t="s">
        <v>34</v>
      </c>
      <c r="V121" s="2" t="s">
        <v>35</v>
      </c>
      <c r="W121" t="s">
        <v>36</v>
      </c>
      <c r="X121" s="2">
        <v>2.528</v>
      </c>
      <c r="Y121" s="2">
        <v>0.62419999999999998</v>
      </c>
      <c r="Z121" t="s">
        <v>34</v>
      </c>
      <c r="AA121">
        <v>210</v>
      </c>
      <c r="AB121">
        <v>0</v>
      </c>
    </row>
    <row r="122" spans="1:28" x14ac:dyDescent="0.3">
      <c r="A122" t="s">
        <v>181</v>
      </c>
      <c r="B122" t="s">
        <v>38</v>
      </c>
      <c r="C122" s="7" t="s">
        <v>34</v>
      </c>
      <c r="D122" s="8">
        <v>29</v>
      </c>
      <c r="E122" s="9" t="s">
        <v>47</v>
      </c>
      <c r="F122" s="10" t="s">
        <v>54</v>
      </c>
      <c r="G122" s="11">
        <v>44453</v>
      </c>
      <c r="H122" s="11">
        <v>44477</v>
      </c>
      <c r="I122">
        <v>12</v>
      </c>
      <c r="J122" t="s">
        <v>33</v>
      </c>
      <c r="K122" t="s">
        <v>36</v>
      </c>
      <c r="L122" s="2" t="s">
        <v>44</v>
      </c>
      <c r="M122" t="s">
        <v>45</v>
      </c>
      <c r="N122" s="2">
        <v>3.5</v>
      </c>
      <c r="O122" s="5">
        <v>2.6709999999999998</v>
      </c>
      <c r="P122" t="s">
        <v>36</v>
      </c>
      <c r="Q122" t="s">
        <v>44</v>
      </c>
      <c r="R122" t="s">
        <v>45</v>
      </c>
      <c r="S122" s="2">
        <v>3.032</v>
      </c>
      <c r="T122" s="2">
        <v>4.8895999999999997</v>
      </c>
      <c r="U122" t="s">
        <v>36</v>
      </c>
      <c r="V122" s="2" t="s">
        <v>44</v>
      </c>
      <c r="W122" t="s">
        <v>45</v>
      </c>
      <c r="X122" s="2">
        <v>2.5649999999999999</v>
      </c>
      <c r="Y122" s="2">
        <v>2.3450000000000002</v>
      </c>
      <c r="Z122" t="s">
        <v>36</v>
      </c>
      <c r="AA122">
        <v>210</v>
      </c>
      <c r="AB122">
        <v>0</v>
      </c>
    </row>
    <row r="123" spans="1:28" x14ac:dyDescent="0.3">
      <c r="A123" t="s">
        <v>182</v>
      </c>
      <c r="B123" t="s">
        <v>38</v>
      </c>
      <c r="C123" s="7" t="s">
        <v>34</v>
      </c>
      <c r="D123" s="8">
        <v>15.9</v>
      </c>
      <c r="E123" s="9" t="s">
        <v>39</v>
      </c>
      <c r="F123" s="10" t="s">
        <v>54</v>
      </c>
      <c r="G123" s="11">
        <v>44453</v>
      </c>
      <c r="H123" s="11">
        <v>44477</v>
      </c>
      <c r="I123">
        <v>13</v>
      </c>
      <c r="J123" t="s">
        <v>33</v>
      </c>
      <c r="K123" t="s">
        <v>36</v>
      </c>
      <c r="L123" s="2" t="s">
        <v>44</v>
      </c>
      <c r="M123" t="s">
        <v>45</v>
      </c>
      <c r="N123" s="2">
        <v>3.5</v>
      </c>
      <c r="O123" s="5" t="s">
        <v>183</v>
      </c>
      <c r="P123" t="s">
        <v>36</v>
      </c>
      <c r="Q123" t="s">
        <v>44</v>
      </c>
      <c r="R123" t="s">
        <v>45</v>
      </c>
      <c r="S123" s="2">
        <v>3.206</v>
      </c>
      <c r="T123" s="2">
        <v>1.1192</v>
      </c>
      <c r="U123" t="s">
        <v>36</v>
      </c>
      <c r="V123" s="2" t="s">
        <v>35</v>
      </c>
      <c r="W123" t="s">
        <v>36</v>
      </c>
      <c r="X123" s="2">
        <v>2.589</v>
      </c>
      <c r="Y123" s="2">
        <v>5.5533000000000001</v>
      </c>
      <c r="Z123" t="s">
        <v>36</v>
      </c>
      <c r="AA123">
        <v>210</v>
      </c>
      <c r="AB123">
        <v>0</v>
      </c>
    </row>
    <row r="124" spans="1:28" x14ac:dyDescent="0.3">
      <c r="A124" t="s">
        <v>184</v>
      </c>
      <c r="B124" t="s">
        <v>38</v>
      </c>
      <c r="C124" s="7" t="s">
        <v>30</v>
      </c>
      <c r="D124" s="8">
        <v>31.3</v>
      </c>
      <c r="E124" s="9" t="s">
        <v>47</v>
      </c>
      <c r="F124" s="10" t="s">
        <v>54</v>
      </c>
      <c r="G124" s="11">
        <v>44453</v>
      </c>
      <c r="H124" s="11">
        <v>44477</v>
      </c>
      <c r="I124">
        <v>12</v>
      </c>
      <c r="J124" t="s">
        <v>33</v>
      </c>
      <c r="K124" t="s">
        <v>34</v>
      </c>
      <c r="L124" s="2" t="s">
        <v>44</v>
      </c>
      <c r="M124" t="s">
        <v>45</v>
      </c>
      <c r="N124" s="2">
        <v>3.5</v>
      </c>
      <c r="O124" s="5" t="s">
        <v>185</v>
      </c>
      <c r="P124" t="s">
        <v>34</v>
      </c>
      <c r="Q124" t="s">
        <v>44</v>
      </c>
      <c r="R124" t="s">
        <v>45</v>
      </c>
      <c r="S124" s="2">
        <v>3.38</v>
      </c>
      <c r="T124" s="2">
        <v>1.1235999999999999</v>
      </c>
      <c r="U124" t="s">
        <v>36</v>
      </c>
      <c r="V124" s="2" t="s">
        <v>35</v>
      </c>
      <c r="W124" t="s">
        <v>36</v>
      </c>
      <c r="X124" s="2">
        <v>2.5979999999999999</v>
      </c>
      <c r="Y124" s="2" t="s">
        <v>186</v>
      </c>
      <c r="Z124" t="s">
        <v>34</v>
      </c>
      <c r="AA124">
        <v>210</v>
      </c>
      <c r="AB124">
        <v>0</v>
      </c>
    </row>
    <row r="125" spans="1:28" x14ac:dyDescent="0.3">
      <c r="A125" t="s">
        <v>187</v>
      </c>
      <c r="B125" t="s">
        <v>436</v>
      </c>
      <c r="C125" s="7" t="s">
        <v>34</v>
      </c>
      <c r="D125" s="8">
        <v>28</v>
      </c>
      <c r="E125" s="9" t="s">
        <v>31</v>
      </c>
      <c r="F125" s="10" t="s">
        <v>54</v>
      </c>
      <c r="G125" s="11">
        <v>44453</v>
      </c>
      <c r="H125" s="11">
        <v>44476</v>
      </c>
      <c r="I125">
        <v>15</v>
      </c>
      <c r="J125" t="s">
        <v>43</v>
      </c>
      <c r="K125" t="s">
        <v>34</v>
      </c>
      <c r="L125" s="2" t="s">
        <v>44</v>
      </c>
      <c r="M125" t="s">
        <v>45</v>
      </c>
      <c r="N125" s="2">
        <v>3.5</v>
      </c>
      <c r="O125" s="5">
        <v>1.3843000000000001</v>
      </c>
      <c r="P125" t="s">
        <v>36</v>
      </c>
      <c r="Q125" t="s">
        <v>35</v>
      </c>
      <c r="R125" t="s">
        <v>36</v>
      </c>
      <c r="S125" s="2">
        <v>3.0350000000000001</v>
      </c>
      <c r="T125" s="2" t="s">
        <v>188</v>
      </c>
      <c r="U125" t="s">
        <v>36</v>
      </c>
      <c r="V125" s="2">
        <v>84.664699999999996</v>
      </c>
      <c r="W125" t="s">
        <v>36</v>
      </c>
      <c r="X125" s="2">
        <v>2.601</v>
      </c>
      <c r="Y125" s="2">
        <v>0.7954</v>
      </c>
      <c r="Z125" t="s">
        <v>34</v>
      </c>
      <c r="AA125">
        <v>182</v>
      </c>
      <c r="AB125">
        <v>1</v>
      </c>
    </row>
    <row r="126" spans="1:28" x14ac:dyDescent="0.3">
      <c r="A126" t="s">
        <v>189</v>
      </c>
      <c r="B126" t="s">
        <v>436</v>
      </c>
      <c r="C126" s="7" t="s">
        <v>34</v>
      </c>
      <c r="D126" s="8">
        <v>34.799999999999997</v>
      </c>
      <c r="E126" s="9" t="s">
        <v>47</v>
      </c>
      <c r="F126" s="10" t="s">
        <v>54</v>
      </c>
      <c r="G126" s="11">
        <v>44456</v>
      </c>
      <c r="H126" s="11">
        <v>44476</v>
      </c>
      <c r="I126">
        <v>15</v>
      </c>
      <c r="J126" t="s">
        <v>43</v>
      </c>
      <c r="K126" t="s">
        <v>34</v>
      </c>
      <c r="L126" s="2" t="s">
        <v>44</v>
      </c>
      <c r="M126" t="s">
        <v>45</v>
      </c>
      <c r="N126" s="2">
        <v>3.5</v>
      </c>
      <c r="O126" s="5">
        <v>8.5000000000000006E-2</v>
      </c>
      <c r="P126" t="s">
        <v>34</v>
      </c>
      <c r="Q126" t="s">
        <v>35</v>
      </c>
      <c r="R126" t="s">
        <v>36</v>
      </c>
      <c r="S126" s="2">
        <v>3.3929999999999998</v>
      </c>
      <c r="T126" s="2">
        <v>1.3103</v>
      </c>
      <c r="U126" t="s">
        <v>36</v>
      </c>
      <c r="V126" s="2" t="s">
        <v>35</v>
      </c>
      <c r="W126" t="s">
        <v>36</v>
      </c>
      <c r="X126" s="2">
        <v>2.6019999999999999</v>
      </c>
      <c r="Y126" s="2">
        <v>0.73099999999999998</v>
      </c>
      <c r="Z126" t="s">
        <v>34</v>
      </c>
      <c r="AA126">
        <v>210</v>
      </c>
      <c r="AB126">
        <v>0</v>
      </c>
    </row>
    <row r="127" spans="1:28" x14ac:dyDescent="0.3">
      <c r="A127" t="s">
        <v>190</v>
      </c>
      <c r="B127" t="s">
        <v>436</v>
      </c>
      <c r="C127" s="12" t="s">
        <v>34</v>
      </c>
      <c r="D127" s="8">
        <v>37.5</v>
      </c>
      <c r="E127" s="9" t="s">
        <v>47</v>
      </c>
      <c r="F127" s="10" t="s">
        <v>54</v>
      </c>
      <c r="G127" s="11">
        <v>44453</v>
      </c>
      <c r="H127" s="11">
        <v>44476</v>
      </c>
      <c r="I127">
        <v>15</v>
      </c>
      <c r="J127" t="s">
        <v>43</v>
      </c>
      <c r="K127" t="s">
        <v>34</v>
      </c>
      <c r="L127" s="2" t="s">
        <v>44</v>
      </c>
      <c r="M127" t="s">
        <v>45</v>
      </c>
      <c r="N127" s="2">
        <v>3.5</v>
      </c>
      <c r="O127" s="5">
        <v>3.4200000000000001E-2</v>
      </c>
      <c r="P127" t="s">
        <v>34</v>
      </c>
      <c r="Q127">
        <v>17.8963</v>
      </c>
      <c r="R127" t="s">
        <v>36</v>
      </c>
      <c r="S127" s="2">
        <v>3.262</v>
      </c>
      <c r="T127" s="2">
        <v>2.4821</v>
      </c>
      <c r="U127" t="s">
        <v>36</v>
      </c>
      <c r="V127" s="2">
        <v>9.3832000000000004</v>
      </c>
      <c r="W127" t="s">
        <v>85</v>
      </c>
      <c r="X127" s="2">
        <v>2.6080000000000001</v>
      </c>
      <c r="Y127" s="2">
        <v>0.78100000000000003</v>
      </c>
      <c r="Z127" t="s">
        <v>34</v>
      </c>
    </row>
    <row r="128" spans="1:28" x14ac:dyDescent="0.3">
      <c r="A128" t="s">
        <v>191</v>
      </c>
      <c r="B128" t="s">
        <v>436</v>
      </c>
      <c r="C128" s="7" t="s">
        <v>30</v>
      </c>
      <c r="D128" s="8">
        <v>40.1</v>
      </c>
      <c r="E128" s="9" t="s">
        <v>47</v>
      </c>
      <c r="F128" s="10" t="s">
        <v>54</v>
      </c>
      <c r="G128" s="11">
        <v>44454</v>
      </c>
      <c r="H128" s="11">
        <v>44476</v>
      </c>
      <c r="I128">
        <v>15</v>
      </c>
      <c r="J128" t="s">
        <v>43</v>
      </c>
      <c r="K128" t="s">
        <v>36</v>
      </c>
      <c r="L128" s="2" t="s">
        <v>44</v>
      </c>
      <c r="M128" t="s">
        <v>45</v>
      </c>
      <c r="N128" s="2">
        <v>3.5</v>
      </c>
      <c r="O128" s="5">
        <v>9.6199999999999994E-2</v>
      </c>
      <c r="P128" t="s">
        <v>34</v>
      </c>
      <c r="Q128" t="s">
        <v>35</v>
      </c>
      <c r="R128" t="s">
        <v>36</v>
      </c>
      <c r="S128" s="2">
        <v>3.339</v>
      </c>
      <c r="T128" s="2">
        <v>3.0960000000000001</v>
      </c>
      <c r="U128" t="s">
        <v>34</v>
      </c>
      <c r="V128" s="2" t="s">
        <v>35</v>
      </c>
      <c r="W128" t="s">
        <v>36</v>
      </c>
      <c r="X128" s="2">
        <v>2.6150000000000002</v>
      </c>
      <c r="Y128" s="2">
        <v>0.79659999999999997</v>
      </c>
      <c r="Z128" t="s">
        <v>34</v>
      </c>
      <c r="AA128">
        <v>210</v>
      </c>
      <c r="AB128">
        <v>0</v>
      </c>
    </row>
    <row r="129" spans="1:29" x14ac:dyDescent="0.3">
      <c r="A129" t="s">
        <v>192</v>
      </c>
      <c r="B129" t="s">
        <v>38</v>
      </c>
      <c r="C129" s="7" t="s">
        <v>34</v>
      </c>
      <c r="D129" s="8">
        <v>20.2</v>
      </c>
      <c r="E129" s="9" t="s">
        <v>39</v>
      </c>
      <c r="F129" s="10" t="s">
        <v>54</v>
      </c>
      <c r="G129" s="11">
        <v>44453</v>
      </c>
      <c r="H129" s="11">
        <v>44477</v>
      </c>
      <c r="I129">
        <v>12</v>
      </c>
      <c r="J129" t="s">
        <v>33</v>
      </c>
      <c r="K129" t="s">
        <v>34</v>
      </c>
      <c r="L129" s="2" t="s">
        <v>44</v>
      </c>
      <c r="M129" t="s">
        <v>45</v>
      </c>
      <c r="N129" s="2">
        <v>3.5</v>
      </c>
      <c r="O129" s="5">
        <v>0.1163</v>
      </c>
      <c r="P129" t="s">
        <v>34</v>
      </c>
      <c r="Q129" t="s">
        <v>44</v>
      </c>
      <c r="R129" t="s">
        <v>45</v>
      </c>
      <c r="S129" s="2">
        <v>3.0169999999999999</v>
      </c>
      <c r="T129" s="2">
        <v>2.2643</v>
      </c>
      <c r="U129" t="s">
        <v>36</v>
      </c>
      <c r="V129" s="2" t="s">
        <v>35</v>
      </c>
      <c r="W129" t="s">
        <v>36</v>
      </c>
      <c r="X129" s="2">
        <v>2.6240000000000001</v>
      </c>
      <c r="Y129" s="2">
        <v>0.97699999999999998</v>
      </c>
      <c r="Z129" t="s">
        <v>34</v>
      </c>
      <c r="AA129">
        <v>210</v>
      </c>
      <c r="AB129">
        <v>0</v>
      </c>
    </row>
    <row r="130" spans="1:29" ht="15.6" x14ac:dyDescent="0.3">
      <c r="A130" t="s">
        <v>193</v>
      </c>
      <c r="B130" t="s">
        <v>436</v>
      </c>
      <c r="C130" s="12" t="s">
        <v>30</v>
      </c>
      <c r="D130" s="8">
        <v>17.2</v>
      </c>
      <c r="E130" s="9" t="s">
        <v>39</v>
      </c>
      <c r="F130" s="10" t="s">
        <v>54</v>
      </c>
      <c r="G130" s="11">
        <v>44453</v>
      </c>
      <c r="H130" s="11">
        <v>44476</v>
      </c>
      <c r="I130">
        <v>15</v>
      </c>
      <c r="J130" t="s">
        <v>43</v>
      </c>
      <c r="K130" t="s">
        <v>36</v>
      </c>
      <c r="L130" s="2" t="s">
        <v>44</v>
      </c>
      <c r="M130" t="s">
        <v>45</v>
      </c>
      <c r="N130" s="2">
        <v>3.5</v>
      </c>
      <c r="O130" s="5">
        <v>0.21759999999999999</v>
      </c>
      <c r="P130" t="s">
        <v>34</v>
      </c>
      <c r="Q130" t="s">
        <v>44</v>
      </c>
      <c r="R130" t="s">
        <v>45</v>
      </c>
      <c r="S130" s="2">
        <v>3.468</v>
      </c>
      <c r="T130" s="2">
        <v>0.43480000000000002</v>
      </c>
      <c r="U130" t="s">
        <v>34</v>
      </c>
      <c r="V130" s="2" t="s">
        <v>35</v>
      </c>
      <c r="W130" t="s">
        <v>36</v>
      </c>
      <c r="X130" s="15">
        <v>2.64</v>
      </c>
      <c r="Y130" s="2">
        <v>0.59630000000000005</v>
      </c>
      <c r="Z130" t="s">
        <v>34</v>
      </c>
    </row>
    <row r="131" spans="1:29" x14ac:dyDescent="0.3">
      <c r="A131" t="s">
        <v>194</v>
      </c>
      <c r="B131" t="s">
        <v>38</v>
      </c>
      <c r="C131" s="7" t="s">
        <v>30</v>
      </c>
      <c r="D131" s="8">
        <v>21.7</v>
      </c>
      <c r="E131" s="9" t="s">
        <v>39</v>
      </c>
      <c r="F131" s="10" t="s">
        <v>54</v>
      </c>
      <c r="G131" s="11">
        <v>44453</v>
      </c>
      <c r="H131" s="11">
        <v>44477</v>
      </c>
      <c r="I131">
        <v>15</v>
      </c>
      <c r="J131" t="s">
        <v>43</v>
      </c>
      <c r="K131" t="s">
        <v>34</v>
      </c>
      <c r="L131" s="2" t="s">
        <v>44</v>
      </c>
      <c r="M131" t="s">
        <v>45</v>
      </c>
      <c r="N131" s="2">
        <v>3.5</v>
      </c>
      <c r="O131" s="5">
        <v>7.4200000000000002E-2</v>
      </c>
      <c r="P131" t="s">
        <v>34</v>
      </c>
      <c r="Q131" t="s">
        <v>35</v>
      </c>
      <c r="R131" t="s">
        <v>36</v>
      </c>
      <c r="S131" s="2">
        <v>2.8530000000000002</v>
      </c>
      <c r="T131" s="2">
        <v>3.7900000000000003E-2</v>
      </c>
      <c r="U131" t="s">
        <v>34</v>
      </c>
      <c r="V131" s="2" t="s">
        <v>44</v>
      </c>
      <c r="W131" t="s">
        <v>45</v>
      </c>
      <c r="X131" s="2">
        <v>2.6749999999999998</v>
      </c>
      <c r="Y131" s="2">
        <v>1.1273</v>
      </c>
      <c r="Z131" t="s">
        <v>36</v>
      </c>
      <c r="AA131">
        <v>210</v>
      </c>
      <c r="AB131">
        <v>0</v>
      </c>
    </row>
    <row r="132" spans="1:29" x14ac:dyDescent="0.3">
      <c r="A132" t="s">
        <v>195</v>
      </c>
      <c r="B132" t="s">
        <v>436</v>
      </c>
      <c r="C132" s="7" t="s">
        <v>34</v>
      </c>
      <c r="D132" s="8">
        <v>21</v>
      </c>
      <c r="E132" s="9" t="s">
        <v>39</v>
      </c>
      <c r="F132" s="10" t="s">
        <v>54</v>
      </c>
      <c r="G132" s="11">
        <v>44454</v>
      </c>
      <c r="H132" s="11">
        <v>44476</v>
      </c>
      <c r="I132">
        <v>15</v>
      </c>
      <c r="J132" t="s">
        <v>43</v>
      </c>
      <c r="K132" t="s">
        <v>34</v>
      </c>
      <c r="L132" s="2" t="s">
        <v>44</v>
      </c>
      <c r="M132" t="s">
        <v>45</v>
      </c>
      <c r="N132" s="2">
        <v>3.5</v>
      </c>
      <c r="O132" s="5">
        <v>9.1700000000000004E-2</v>
      </c>
      <c r="P132" t="s">
        <v>34</v>
      </c>
      <c r="Q132" t="s">
        <v>35</v>
      </c>
      <c r="R132" t="s">
        <v>36</v>
      </c>
      <c r="S132" s="2">
        <v>3.5</v>
      </c>
      <c r="T132" s="2" t="s">
        <v>196</v>
      </c>
      <c r="U132" t="s">
        <v>34</v>
      </c>
      <c r="V132" s="2" t="s">
        <v>197</v>
      </c>
      <c r="W132" t="s">
        <v>45</v>
      </c>
      <c r="X132" s="2">
        <v>2.6970000000000001</v>
      </c>
      <c r="Y132" s="2">
        <v>1.0792999999999999</v>
      </c>
      <c r="Z132" t="s">
        <v>34</v>
      </c>
      <c r="AA132">
        <v>210</v>
      </c>
      <c r="AB132">
        <v>0</v>
      </c>
    </row>
    <row r="133" spans="1:29" x14ac:dyDescent="0.3">
      <c r="A133" t="s">
        <v>198</v>
      </c>
      <c r="B133" t="s">
        <v>38</v>
      </c>
      <c r="C133" s="7" t="s">
        <v>30</v>
      </c>
      <c r="D133" s="8">
        <v>20.3</v>
      </c>
      <c r="E133" s="9" t="s">
        <v>39</v>
      </c>
      <c r="F133" s="10" t="s">
        <v>54</v>
      </c>
      <c r="G133" s="11">
        <v>44454</v>
      </c>
      <c r="H133" s="11">
        <v>44476</v>
      </c>
      <c r="I133">
        <v>15</v>
      </c>
      <c r="J133" t="s">
        <v>43</v>
      </c>
      <c r="K133" t="s">
        <v>36</v>
      </c>
      <c r="L133" s="2" t="s">
        <v>44</v>
      </c>
      <c r="M133" t="s">
        <v>45</v>
      </c>
      <c r="N133" s="2">
        <v>3.5</v>
      </c>
      <c r="O133" s="5">
        <v>0.13200000000000001</v>
      </c>
      <c r="P133" t="s">
        <v>34</v>
      </c>
      <c r="Q133">
        <v>0.21310000000000001</v>
      </c>
      <c r="R133" t="s">
        <v>34</v>
      </c>
      <c r="S133" s="2">
        <v>3.456</v>
      </c>
      <c r="T133" s="2">
        <v>0.1116</v>
      </c>
      <c r="U133" t="s">
        <v>34</v>
      </c>
      <c r="V133" s="2">
        <v>73.686800000000005</v>
      </c>
      <c r="W133" t="s">
        <v>36</v>
      </c>
      <c r="X133" s="2">
        <v>2.72</v>
      </c>
      <c r="Y133" s="2">
        <v>4.8620999999999999</v>
      </c>
      <c r="Z133" t="s">
        <v>36</v>
      </c>
    </row>
    <row r="134" spans="1:29" x14ac:dyDescent="0.3">
      <c r="A134" t="s">
        <v>199</v>
      </c>
      <c r="B134" t="s">
        <v>38</v>
      </c>
      <c r="C134" s="12" t="s">
        <v>49</v>
      </c>
      <c r="D134" s="8">
        <v>18.100000000000001</v>
      </c>
      <c r="E134" s="9" t="s">
        <v>39</v>
      </c>
      <c r="F134" s="10" t="s">
        <v>54</v>
      </c>
      <c r="G134" s="11">
        <v>44453</v>
      </c>
      <c r="H134" s="11">
        <v>44476</v>
      </c>
      <c r="I134">
        <v>15</v>
      </c>
      <c r="J134" t="s">
        <v>43</v>
      </c>
      <c r="K134" t="s">
        <v>34</v>
      </c>
      <c r="L134" s="2" t="s">
        <v>44</v>
      </c>
      <c r="M134" t="s">
        <v>45</v>
      </c>
      <c r="N134" s="2">
        <v>3.5</v>
      </c>
      <c r="O134" s="5">
        <v>0.40389999999999998</v>
      </c>
      <c r="P134" t="s">
        <v>34</v>
      </c>
      <c r="Q134" t="s">
        <v>35</v>
      </c>
      <c r="R134" t="s">
        <v>36</v>
      </c>
      <c r="S134" s="2">
        <v>3.5</v>
      </c>
      <c r="T134" s="2">
        <v>5.0807000000000002</v>
      </c>
      <c r="U134" t="s">
        <v>36</v>
      </c>
      <c r="V134" s="2">
        <v>110.4883</v>
      </c>
      <c r="W134" t="s">
        <v>36</v>
      </c>
      <c r="X134" s="2">
        <v>2.7440000000000002</v>
      </c>
      <c r="Y134" s="2">
        <v>1.8409</v>
      </c>
      <c r="Z134" t="s">
        <v>36</v>
      </c>
    </row>
    <row r="135" spans="1:29" x14ac:dyDescent="0.3">
      <c r="A135" t="s">
        <v>200</v>
      </c>
      <c r="B135" t="s">
        <v>38</v>
      </c>
      <c r="C135" s="12" t="s">
        <v>34</v>
      </c>
      <c r="D135" s="8">
        <v>29.5</v>
      </c>
      <c r="E135" s="9" t="s">
        <v>47</v>
      </c>
      <c r="F135" s="10" t="s">
        <v>54</v>
      </c>
      <c r="G135" s="11">
        <v>44453</v>
      </c>
      <c r="H135" s="11">
        <v>44482</v>
      </c>
      <c r="I135">
        <v>12</v>
      </c>
      <c r="J135" t="s">
        <v>33</v>
      </c>
      <c r="K135" t="s">
        <v>34</v>
      </c>
      <c r="L135" s="2" t="s">
        <v>44</v>
      </c>
      <c r="M135" t="s">
        <v>45</v>
      </c>
      <c r="N135" s="2">
        <v>3.5</v>
      </c>
      <c r="O135" s="5">
        <v>0.12379999999999999</v>
      </c>
      <c r="P135" t="s">
        <v>34</v>
      </c>
      <c r="Q135" t="s">
        <v>35</v>
      </c>
      <c r="R135" t="s">
        <v>36</v>
      </c>
      <c r="S135" s="2">
        <v>3.355</v>
      </c>
      <c r="T135" s="2">
        <v>1.7837000000000001</v>
      </c>
      <c r="U135" t="s">
        <v>36</v>
      </c>
      <c r="V135" s="2" t="s">
        <v>35</v>
      </c>
      <c r="W135" t="s">
        <v>36</v>
      </c>
      <c r="X135" s="2">
        <v>2.7490000000000001</v>
      </c>
      <c r="Y135" s="2" t="s">
        <v>201</v>
      </c>
      <c r="Z135" t="s">
        <v>34</v>
      </c>
      <c r="AA135">
        <v>210</v>
      </c>
      <c r="AB135">
        <v>0</v>
      </c>
    </row>
    <row r="136" spans="1:29" x14ac:dyDescent="0.3">
      <c r="A136" t="s">
        <v>202</v>
      </c>
      <c r="B136" t="s">
        <v>436</v>
      </c>
      <c r="C136" s="7" t="s">
        <v>34</v>
      </c>
      <c r="D136" s="8">
        <v>16.899999999999999</v>
      </c>
      <c r="E136" s="9" t="s">
        <v>39</v>
      </c>
      <c r="F136" s="10" t="s">
        <v>54</v>
      </c>
      <c r="G136" s="11">
        <v>44468</v>
      </c>
      <c r="H136" s="11">
        <v>44489</v>
      </c>
      <c r="I136">
        <v>12</v>
      </c>
      <c r="J136" t="s">
        <v>33</v>
      </c>
      <c r="K136" t="s">
        <v>34</v>
      </c>
      <c r="L136" s="2" t="s">
        <v>44</v>
      </c>
      <c r="M136" t="s">
        <v>45</v>
      </c>
      <c r="N136" s="2">
        <v>3.5</v>
      </c>
      <c r="O136" s="5">
        <v>6.9400000000000003E-2</v>
      </c>
      <c r="P136" t="s">
        <v>34</v>
      </c>
      <c r="Q136" t="s">
        <v>44</v>
      </c>
      <c r="R136" t="s">
        <v>45</v>
      </c>
      <c r="S136" s="2">
        <v>3.3109999999999999</v>
      </c>
      <c r="T136" s="2">
        <v>0.65539999999999998</v>
      </c>
      <c r="U136" t="s">
        <v>34</v>
      </c>
      <c r="V136" s="2" t="s">
        <v>35</v>
      </c>
      <c r="W136" t="s">
        <v>36</v>
      </c>
      <c r="X136" s="2">
        <v>2.7629999999999999</v>
      </c>
      <c r="Y136" s="2">
        <v>0.75</v>
      </c>
      <c r="Z136" t="s">
        <v>34</v>
      </c>
      <c r="AA136">
        <v>210</v>
      </c>
      <c r="AB136">
        <v>0</v>
      </c>
      <c r="AC136" s="18"/>
    </row>
    <row r="137" spans="1:29" x14ac:dyDescent="0.3">
      <c r="A137" t="s">
        <v>203</v>
      </c>
      <c r="B137" t="s">
        <v>436</v>
      </c>
      <c r="C137" s="7" t="s">
        <v>34</v>
      </c>
      <c r="D137" s="8">
        <v>19.7</v>
      </c>
      <c r="E137" s="9" t="s">
        <v>39</v>
      </c>
      <c r="F137" s="10" t="s">
        <v>54</v>
      </c>
      <c r="G137" s="11">
        <v>44454</v>
      </c>
      <c r="H137" s="11">
        <v>44476</v>
      </c>
      <c r="I137">
        <v>15</v>
      </c>
      <c r="J137" t="s">
        <v>43</v>
      </c>
      <c r="K137" t="s">
        <v>34</v>
      </c>
      <c r="L137" s="2" t="s">
        <v>44</v>
      </c>
      <c r="M137" t="s">
        <v>45</v>
      </c>
      <c r="N137" s="2">
        <v>3.5</v>
      </c>
      <c r="O137" s="5">
        <v>6.4899999999999999E-2</v>
      </c>
      <c r="P137" t="s">
        <v>34</v>
      </c>
      <c r="Q137">
        <v>11.4489</v>
      </c>
      <c r="R137" t="s">
        <v>36</v>
      </c>
      <c r="S137" s="2">
        <v>3.44</v>
      </c>
      <c r="T137" s="2">
        <v>0.78349999999999997</v>
      </c>
      <c r="U137" t="s">
        <v>34</v>
      </c>
      <c r="V137" s="2" t="s">
        <v>35</v>
      </c>
      <c r="W137" t="s">
        <v>36</v>
      </c>
      <c r="X137" s="2">
        <v>2.7629999999999999</v>
      </c>
      <c r="Y137" s="2">
        <v>2.9413999999999998</v>
      </c>
      <c r="Z137" t="s">
        <v>36</v>
      </c>
    </row>
    <row r="138" spans="1:29" x14ac:dyDescent="0.3">
      <c r="A138" t="s">
        <v>204</v>
      </c>
      <c r="B138" t="s">
        <v>436</v>
      </c>
      <c r="C138" s="7" t="s">
        <v>34</v>
      </c>
      <c r="D138" s="8">
        <v>18.2</v>
      </c>
      <c r="E138" s="9" t="s">
        <v>39</v>
      </c>
      <c r="F138" s="10" t="s">
        <v>54</v>
      </c>
      <c r="G138" s="11">
        <v>44454</v>
      </c>
      <c r="H138" s="11">
        <v>44476</v>
      </c>
      <c r="I138">
        <v>15</v>
      </c>
      <c r="J138" t="s">
        <v>43</v>
      </c>
      <c r="K138" t="s">
        <v>34</v>
      </c>
      <c r="L138" s="2" t="s">
        <v>44</v>
      </c>
      <c r="M138" t="s">
        <v>45</v>
      </c>
      <c r="N138" s="2">
        <v>3.5</v>
      </c>
      <c r="O138" s="5">
        <v>0.44819999999999999</v>
      </c>
      <c r="P138" t="s">
        <v>34</v>
      </c>
      <c r="Q138">
        <v>7.2950999999999997</v>
      </c>
      <c r="R138" t="s">
        <v>34</v>
      </c>
      <c r="S138" s="2">
        <v>3.2570000000000001</v>
      </c>
      <c r="T138" s="2">
        <v>1.3929</v>
      </c>
      <c r="U138" t="s">
        <v>34</v>
      </c>
      <c r="V138" s="2">
        <v>79.753399999999999</v>
      </c>
      <c r="W138" t="s">
        <v>36</v>
      </c>
      <c r="X138" s="2">
        <v>2.7669999999999999</v>
      </c>
      <c r="Y138" s="2">
        <v>2.7845</v>
      </c>
      <c r="Z138" t="s">
        <v>36</v>
      </c>
    </row>
    <row r="139" spans="1:29" x14ac:dyDescent="0.3">
      <c r="A139" t="s">
        <v>205</v>
      </c>
      <c r="B139" t="s">
        <v>436</v>
      </c>
      <c r="C139" s="7" t="s">
        <v>34</v>
      </c>
      <c r="D139" s="8">
        <v>22.2</v>
      </c>
      <c r="E139" s="9" t="s">
        <v>39</v>
      </c>
      <c r="F139" s="10" t="s">
        <v>54</v>
      </c>
      <c r="G139" s="11">
        <v>44453</v>
      </c>
      <c r="H139" s="11">
        <v>44477</v>
      </c>
      <c r="I139">
        <v>12</v>
      </c>
      <c r="J139" t="s">
        <v>33</v>
      </c>
      <c r="K139" t="s">
        <v>36</v>
      </c>
      <c r="L139" s="2" t="s">
        <v>44</v>
      </c>
      <c r="M139" t="s">
        <v>45</v>
      </c>
      <c r="N139" s="2">
        <v>3.5</v>
      </c>
      <c r="O139" s="5">
        <v>0.90549999999999997</v>
      </c>
      <c r="P139" t="s">
        <v>34</v>
      </c>
      <c r="Q139" t="s">
        <v>35</v>
      </c>
      <c r="R139" t="s">
        <v>36</v>
      </c>
      <c r="S139" s="2">
        <v>3.3290000000000002</v>
      </c>
      <c r="T139" s="2" t="s">
        <v>206</v>
      </c>
      <c r="U139" t="s">
        <v>34</v>
      </c>
      <c r="V139" s="2" t="s">
        <v>35</v>
      </c>
      <c r="W139" t="s">
        <v>36</v>
      </c>
      <c r="X139" s="2">
        <v>2.7789999999999999</v>
      </c>
      <c r="Y139" s="2">
        <v>0.78510000000000002</v>
      </c>
      <c r="Z139" t="s">
        <v>34</v>
      </c>
      <c r="AA139">
        <v>210</v>
      </c>
      <c r="AB139">
        <v>0</v>
      </c>
    </row>
    <row r="140" spans="1:29" x14ac:dyDescent="0.3">
      <c r="A140" t="s">
        <v>207</v>
      </c>
      <c r="B140" t="s">
        <v>436</v>
      </c>
      <c r="C140" s="7" t="s">
        <v>30</v>
      </c>
      <c r="D140" s="8">
        <v>36.700000000000003</v>
      </c>
      <c r="E140" s="9" t="s">
        <v>47</v>
      </c>
      <c r="F140" s="10" t="s">
        <v>54</v>
      </c>
      <c r="G140" s="11">
        <v>44453</v>
      </c>
      <c r="H140" s="11">
        <v>44477</v>
      </c>
      <c r="I140">
        <v>12</v>
      </c>
      <c r="J140" t="s">
        <v>33</v>
      </c>
      <c r="K140" t="s">
        <v>36</v>
      </c>
      <c r="L140" s="2" t="s">
        <v>44</v>
      </c>
      <c r="M140" s="2" t="s">
        <v>45</v>
      </c>
      <c r="N140" s="2">
        <v>3.5</v>
      </c>
      <c r="O140" s="5">
        <v>8.9499999999999996E-2</v>
      </c>
      <c r="P140" t="s">
        <v>34</v>
      </c>
      <c r="Q140" t="s">
        <v>35</v>
      </c>
      <c r="R140" t="s">
        <v>36</v>
      </c>
      <c r="S140" s="2">
        <v>3.181</v>
      </c>
      <c r="T140" s="2">
        <v>0.1242</v>
      </c>
      <c r="U140" t="s">
        <v>34</v>
      </c>
      <c r="V140" s="2">
        <v>95.626800000000003</v>
      </c>
      <c r="W140" t="s">
        <v>36</v>
      </c>
      <c r="X140" s="2">
        <v>2.7869999999999999</v>
      </c>
      <c r="Y140" s="2">
        <v>7.5200000000000003E-2</v>
      </c>
      <c r="Z140" t="s">
        <v>34</v>
      </c>
      <c r="AA140">
        <v>182</v>
      </c>
      <c r="AB140">
        <v>1</v>
      </c>
    </row>
    <row r="141" spans="1:29" x14ac:dyDescent="0.3">
      <c r="A141" t="s">
        <v>208</v>
      </c>
      <c r="B141" t="s">
        <v>38</v>
      </c>
      <c r="C141" s="7" t="s">
        <v>30</v>
      </c>
      <c r="D141" s="8">
        <v>28.9</v>
      </c>
      <c r="E141" s="9" t="s">
        <v>47</v>
      </c>
      <c r="F141" s="10" t="s">
        <v>54</v>
      </c>
      <c r="G141" s="11">
        <v>44458</v>
      </c>
      <c r="H141" s="11">
        <v>44477</v>
      </c>
      <c r="I141">
        <v>15</v>
      </c>
      <c r="J141" t="s">
        <v>43</v>
      </c>
      <c r="K141" t="s">
        <v>34</v>
      </c>
      <c r="L141" s="2" t="s">
        <v>44</v>
      </c>
      <c r="M141" t="s">
        <v>45</v>
      </c>
      <c r="N141" s="2">
        <v>3.5</v>
      </c>
      <c r="O141" s="5">
        <v>0.20660000000000001</v>
      </c>
      <c r="P141" t="s">
        <v>34</v>
      </c>
      <c r="Q141" t="s">
        <v>35</v>
      </c>
      <c r="R141" t="s">
        <v>36</v>
      </c>
      <c r="S141" s="2">
        <v>3.3740000000000001</v>
      </c>
      <c r="T141" s="2">
        <v>9.4899999999999998E-2</v>
      </c>
      <c r="U141" t="s">
        <v>36</v>
      </c>
      <c r="V141" s="2" t="s">
        <v>44</v>
      </c>
      <c r="W141" t="s">
        <v>45</v>
      </c>
      <c r="X141" s="2">
        <v>2.7869999999999999</v>
      </c>
      <c r="Y141" s="2" t="s">
        <v>209</v>
      </c>
      <c r="Z141" t="s">
        <v>36</v>
      </c>
      <c r="AA141">
        <v>210</v>
      </c>
      <c r="AB141">
        <v>0</v>
      </c>
    </row>
    <row r="142" spans="1:29" x14ac:dyDescent="0.3">
      <c r="A142" t="s">
        <v>210</v>
      </c>
      <c r="B142" t="s">
        <v>436</v>
      </c>
      <c r="C142" s="12" t="s">
        <v>30</v>
      </c>
      <c r="D142" s="8">
        <v>14.1</v>
      </c>
      <c r="E142" s="9" t="s">
        <v>41</v>
      </c>
      <c r="F142" s="10" t="s">
        <v>54</v>
      </c>
      <c r="G142" s="11">
        <v>44453</v>
      </c>
      <c r="H142" s="11">
        <v>44477</v>
      </c>
      <c r="I142">
        <v>11</v>
      </c>
      <c r="J142" t="s">
        <v>33</v>
      </c>
      <c r="K142" t="s">
        <v>36</v>
      </c>
      <c r="L142" s="2" t="s">
        <v>44</v>
      </c>
      <c r="M142" t="s">
        <v>45</v>
      </c>
      <c r="N142" s="2">
        <v>3.5</v>
      </c>
      <c r="O142" s="5">
        <v>0.26419999999999999</v>
      </c>
      <c r="P142" t="s">
        <v>34</v>
      </c>
      <c r="Q142" t="s">
        <v>44</v>
      </c>
      <c r="R142" t="s">
        <v>45</v>
      </c>
      <c r="S142" s="2">
        <v>2.819</v>
      </c>
      <c r="T142" s="2">
        <v>0.22950000000000001</v>
      </c>
      <c r="U142" t="s">
        <v>34</v>
      </c>
      <c r="V142" s="2" t="s">
        <v>44</v>
      </c>
      <c r="W142" t="s">
        <v>45</v>
      </c>
      <c r="X142" s="2">
        <v>2.798</v>
      </c>
      <c r="Y142" s="2">
        <v>4.9645000000000001</v>
      </c>
      <c r="Z142" t="s">
        <v>36</v>
      </c>
      <c r="AA142">
        <v>210</v>
      </c>
      <c r="AB142">
        <v>0</v>
      </c>
    </row>
    <row r="143" spans="1:29" x14ac:dyDescent="0.3">
      <c r="A143" t="s">
        <v>211</v>
      </c>
      <c r="B143" t="s">
        <v>436</v>
      </c>
      <c r="C143" s="7" t="s">
        <v>34</v>
      </c>
      <c r="D143" s="8">
        <v>16.399999999999999</v>
      </c>
      <c r="E143" s="9" t="s">
        <v>39</v>
      </c>
      <c r="F143" s="10" t="s">
        <v>54</v>
      </c>
      <c r="G143" s="11">
        <v>44454</v>
      </c>
      <c r="H143" s="11">
        <v>44476</v>
      </c>
      <c r="I143">
        <v>15</v>
      </c>
      <c r="J143" t="s">
        <v>43</v>
      </c>
      <c r="K143" t="s">
        <v>34</v>
      </c>
      <c r="L143" s="2" t="s">
        <v>44</v>
      </c>
      <c r="M143" t="s">
        <v>45</v>
      </c>
      <c r="N143" s="2">
        <v>3.5</v>
      </c>
      <c r="O143" s="5">
        <v>1.1454</v>
      </c>
      <c r="P143" t="s">
        <v>36</v>
      </c>
      <c r="Q143" t="s">
        <v>35</v>
      </c>
      <c r="R143" t="s">
        <v>36</v>
      </c>
      <c r="S143" s="2">
        <v>3.3330000000000002</v>
      </c>
      <c r="T143" s="2">
        <v>6.2946</v>
      </c>
      <c r="U143" t="s">
        <v>34</v>
      </c>
      <c r="V143" s="2" t="s">
        <v>35</v>
      </c>
      <c r="W143" t="s">
        <v>36</v>
      </c>
      <c r="X143" s="2">
        <v>2.798</v>
      </c>
      <c r="Y143" s="2">
        <v>2.4121000000000001</v>
      </c>
      <c r="Z143" t="s">
        <v>36</v>
      </c>
    </row>
    <row r="144" spans="1:29" x14ac:dyDescent="0.3">
      <c r="A144" t="s">
        <v>212</v>
      </c>
      <c r="B144" t="s">
        <v>38</v>
      </c>
      <c r="C144" s="7" t="s">
        <v>49</v>
      </c>
      <c r="D144" s="8">
        <v>17.2</v>
      </c>
      <c r="E144" s="9" t="s">
        <v>39</v>
      </c>
      <c r="F144" s="10" t="s">
        <v>54</v>
      </c>
      <c r="G144" s="11">
        <v>44453</v>
      </c>
      <c r="H144" s="11">
        <v>44476</v>
      </c>
      <c r="I144">
        <v>11</v>
      </c>
      <c r="J144" t="s">
        <v>33</v>
      </c>
      <c r="K144" t="s">
        <v>36</v>
      </c>
      <c r="L144" s="2" t="s">
        <v>44</v>
      </c>
      <c r="M144" t="s">
        <v>45</v>
      </c>
      <c r="N144" s="2">
        <v>3.5</v>
      </c>
      <c r="O144" s="5">
        <v>1.9105000000000001</v>
      </c>
      <c r="P144" t="s">
        <v>36</v>
      </c>
      <c r="Q144">
        <v>26.064299999999999</v>
      </c>
      <c r="R144" t="s">
        <v>36</v>
      </c>
      <c r="S144" s="2">
        <v>3.355</v>
      </c>
      <c r="T144" s="2">
        <v>0.90629999999999999</v>
      </c>
      <c r="U144" t="s">
        <v>34</v>
      </c>
      <c r="V144" s="2" t="s">
        <v>35</v>
      </c>
      <c r="W144" t="s">
        <v>36</v>
      </c>
      <c r="X144" s="2">
        <v>2.798</v>
      </c>
      <c r="Y144" s="2">
        <v>4.3499999999999996</v>
      </c>
      <c r="Z144" t="s">
        <v>36</v>
      </c>
    </row>
    <row r="145" spans="1:28" x14ac:dyDescent="0.3">
      <c r="A145" t="s">
        <v>213</v>
      </c>
      <c r="B145" t="s">
        <v>436</v>
      </c>
      <c r="C145" s="7" t="s">
        <v>49</v>
      </c>
      <c r="D145" s="8">
        <v>21.4</v>
      </c>
      <c r="E145" s="9" t="s">
        <v>39</v>
      </c>
      <c r="F145" s="10" t="s">
        <v>54</v>
      </c>
      <c r="G145" s="11">
        <v>44454</v>
      </c>
      <c r="H145" s="11">
        <v>44476</v>
      </c>
      <c r="I145">
        <v>15</v>
      </c>
      <c r="J145" t="s">
        <v>43</v>
      </c>
      <c r="K145" t="s">
        <v>36</v>
      </c>
      <c r="L145" s="2" t="s">
        <v>44</v>
      </c>
      <c r="M145" t="s">
        <v>45</v>
      </c>
      <c r="N145" s="2">
        <v>3.5</v>
      </c>
      <c r="O145" s="5">
        <v>0.37840000000000001</v>
      </c>
      <c r="P145" t="s">
        <v>34</v>
      </c>
      <c r="Q145">
        <v>5.6966999999999999</v>
      </c>
      <c r="R145" t="s">
        <v>34</v>
      </c>
      <c r="S145" s="2">
        <v>3.37</v>
      </c>
      <c r="T145" s="2">
        <v>2.8304</v>
      </c>
      <c r="U145" t="s">
        <v>34</v>
      </c>
      <c r="V145" s="2" t="s">
        <v>35</v>
      </c>
      <c r="W145" t="s">
        <v>36</v>
      </c>
      <c r="X145" s="2">
        <v>2.798</v>
      </c>
      <c r="Y145" s="2">
        <v>4.9931000000000001</v>
      </c>
      <c r="Z145" t="s">
        <v>36</v>
      </c>
    </row>
    <row r="146" spans="1:28" x14ac:dyDescent="0.3">
      <c r="A146" t="s">
        <v>214</v>
      </c>
      <c r="B146" t="s">
        <v>38</v>
      </c>
      <c r="C146" s="7" t="s">
        <v>34</v>
      </c>
      <c r="D146" s="8">
        <v>14</v>
      </c>
      <c r="E146" s="9" t="s">
        <v>41</v>
      </c>
      <c r="F146" s="10" t="s">
        <v>54</v>
      </c>
      <c r="G146" s="11">
        <v>44453</v>
      </c>
      <c r="H146" s="11">
        <v>44477</v>
      </c>
      <c r="I146">
        <v>11</v>
      </c>
      <c r="J146" t="s">
        <v>33</v>
      </c>
      <c r="K146" t="s">
        <v>36</v>
      </c>
      <c r="L146" s="2" t="s">
        <v>44</v>
      </c>
      <c r="M146" t="s">
        <v>45</v>
      </c>
      <c r="N146" s="2">
        <v>3.5</v>
      </c>
      <c r="O146" s="5">
        <v>2.8944999999999999</v>
      </c>
      <c r="P146" t="s">
        <v>36</v>
      </c>
      <c r="Q146" s="2">
        <v>7.617</v>
      </c>
      <c r="R146" t="s">
        <v>34</v>
      </c>
      <c r="S146" s="2">
        <v>3.419</v>
      </c>
      <c r="T146" s="2">
        <v>1.3002</v>
      </c>
      <c r="U146" t="s">
        <v>36</v>
      </c>
      <c r="V146" s="2">
        <v>59.287799999999997</v>
      </c>
      <c r="W146" t="s">
        <v>36</v>
      </c>
      <c r="X146" s="2">
        <v>2.8</v>
      </c>
      <c r="Y146" s="2">
        <v>0.64139999999999997</v>
      </c>
      <c r="Z146" t="s">
        <v>34</v>
      </c>
    </row>
    <row r="147" spans="1:28" x14ac:dyDescent="0.3">
      <c r="A147" t="s">
        <v>215</v>
      </c>
      <c r="B147" t="s">
        <v>38</v>
      </c>
      <c r="C147" s="7" t="s">
        <v>34</v>
      </c>
      <c r="D147" s="8">
        <v>19.100000000000001</v>
      </c>
      <c r="E147" s="9" t="s">
        <v>39</v>
      </c>
      <c r="F147" s="10" t="s">
        <v>54</v>
      </c>
      <c r="G147" s="11">
        <v>44453</v>
      </c>
      <c r="H147" s="11">
        <v>44477</v>
      </c>
      <c r="I147">
        <v>12</v>
      </c>
      <c r="J147" t="s">
        <v>33</v>
      </c>
      <c r="K147" t="s">
        <v>36</v>
      </c>
      <c r="L147" s="2" t="s">
        <v>44</v>
      </c>
      <c r="M147" t="s">
        <v>45</v>
      </c>
      <c r="N147" s="2">
        <v>3.5</v>
      </c>
      <c r="O147" s="5" t="s">
        <v>216</v>
      </c>
      <c r="P147" t="s">
        <v>36</v>
      </c>
      <c r="Q147" t="s">
        <v>35</v>
      </c>
      <c r="R147" t="s">
        <v>36</v>
      </c>
      <c r="S147" s="2">
        <v>3.2120000000000002</v>
      </c>
      <c r="T147" s="2">
        <v>6.7601000000000004</v>
      </c>
      <c r="U147" t="s">
        <v>36</v>
      </c>
      <c r="V147" s="2">
        <v>71.797200000000004</v>
      </c>
      <c r="W147" t="s">
        <v>36</v>
      </c>
      <c r="X147" s="2">
        <v>2.8039999999999998</v>
      </c>
      <c r="Y147" s="2" t="s">
        <v>217</v>
      </c>
      <c r="Z147" t="s">
        <v>36</v>
      </c>
    </row>
    <row r="148" spans="1:28" x14ac:dyDescent="0.3">
      <c r="A148" t="s">
        <v>218</v>
      </c>
      <c r="B148" t="s">
        <v>436</v>
      </c>
      <c r="C148" s="7" t="s">
        <v>34</v>
      </c>
      <c r="D148" s="8">
        <v>27</v>
      </c>
      <c r="E148" s="9" t="s">
        <v>31</v>
      </c>
      <c r="F148" s="10" t="s">
        <v>54</v>
      </c>
      <c r="G148" s="11">
        <v>44454</v>
      </c>
      <c r="H148" s="11">
        <v>44476</v>
      </c>
      <c r="I148">
        <v>15</v>
      </c>
      <c r="J148" t="s">
        <v>43</v>
      </c>
      <c r="K148" t="s">
        <v>36</v>
      </c>
      <c r="L148" s="2" t="s">
        <v>44</v>
      </c>
      <c r="M148" t="s">
        <v>45</v>
      </c>
      <c r="N148" s="2">
        <v>3.5</v>
      </c>
      <c r="O148" s="5">
        <v>1.2378</v>
      </c>
      <c r="P148" t="s">
        <v>36</v>
      </c>
      <c r="Q148">
        <v>17.9251</v>
      </c>
      <c r="R148" t="s">
        <v>36</v>
      </c>
      <c r="S148" s="2">
        <v>3.5</v>
      </c>
      <c r="T148" s="2">
        <v>0.85870000000000002</v>
      </c>
      <c r="U148" t="s">
        <v>34</v>
      </c>
      <c r="V148" s="2" t="s">
        <v>35</v>
      </c>
      <c r="W148" t="s">
        <v>36</v>
      </c>
      <c r="X148" s="2">
        <v>2.8340000000000001</v>
      </c>
      <c r="Y148" s="2">
        <v>5.4090999999999996</v>
      </c>
      <c r="Z148" t="s">
        <v>36</v>
      </c>
    </row>
    <row r="149" spans="1:28" x14ac:dyDescent="0.3">
      <c r="A149" t="s">
        <v>219</v>
      </c>
      <c r="B149" t="s">
        <v>38</v>
      </c>
      <c r="C149" s="7" t="s">
        <v>34</v>
      </c>
      <c r="D149" s="8">
        <v>25.5</v>
      </c>
      <c r="E149" s="9" t="s">
        <v>47</v>
      </c>
      <c r="F149" s="10" t="s">
        <v>54</v>
      </c>
      <c r="G149" s="11">
        <v>44453</v>
      </c>
      <c r="H149" s="11">
        <v>44495</v>
      </c>
      <c r="I149">
        <v>12</v>
      </c>
      <c r="J149" t="s">
        <v>33</v>
      </c>
      <c r="K149" t="s">
        <v>36</v>
      </c>
      <c r="L149" s="2" t="s">
        <v>44</v>
      </c>
      <c r="M149" t="s">
        <v>45</v>
      </c>
      <c r="N149" s="2">
        <v>3.5</v>
      </c>
      <c r="O149" s="5">
        <v>0.10290000000000001</v>
      </c>
      <c r="P149" t="s">
        <v>34</v>
      </c>
      <c r="Q149" t="s">
        <v>44</v>
      </c>
      <c r="R149" t="s">
        <v>45</v>
      </c>
      <c r="S149" s="2">
        <v>3.23</v>
      </c>
      <c r="T149" s="2">
        <v>1.4397</v>
      </c>
      <c r="U149" t="s">
        <v>36</v>
      </c>
      <c r="V149" s="2" t="s">
        <v>35</v>
      </c>
      <c r="W149" t="s">
        <v>36</v>
      </c>
      <c r="X149" s="2">
        <v>2.85</v>
      </c>
      <c r="Y149" s="2">
        <v>0.75160000000000005</v>
      </c>
      <c r="Z149" t="s">
        <v>34</v>
      </c>
      <c r="AA149">
        <v>210</v>
      </c>
      <c r="AB149">
        <v>0</v>
      </c>
    </row>
    <row r="150" spans="1:28" x14ac:dyDescent="0.3">
      <c r="A150" t="s">
        <v>220</v>
      </c>
      <c r="B150" t="s">
        <v>436</v>
      </c>
      <c r="C150" s="7" t="s">
        <v>34</v>
      </c>
      <c r="D150" s="8">
        <v>27.3</v>
      </c>
      <c r="E150" s="9" t="s">
        <v>31</v>
      </c>
      <c r="F150" s="10" t="s">
        <v>54</v>
      </c>
      <c r="G150" s="11">
        <v>44454</v>
      </c>
      <c r="H150" s="11">
        <v>44476</v>
      </c>
      <c r="I150">
        <v>15</v>
      </c>
      <c r="J150" t="s">
        <v>43</v>
      </c>
      <c r="K150" t="s">
        <v>36</v>
      </c>
      <c r="L150" s="2" t="s">
        <v>44</v>
      </c>
      <c r="M150" t="s">
        <v>45</v>
      </c>
      <c r="N150" s="2">
        <v>3.5</v>
      </c>
      <c r="O150" s="5">
        <v>0.38929999999999998</v>
      </c>
      <c r="P150" t="s">
        <v>34</v>
      </c>
      <c r="Q150" t="s">
        <v>44</v>
      </c>
      <c r="R150" t="s">
        <v>45</v>
      </c>
      <c r="S150" s="2">
        <v>3.0649999999999999</v>
      </c>
      <c r="T150" s="2">
        <v>1.7656000000000001</v>
      </c>
      <c r="U150" t="s">
        <v>36</v>
      </c>
      <c r="V150" s="2" t="s">
        <v>44</v>
      </c>
      <c r="W150" t="s">
        <v>45</v>
      </c>
      <c r="X150" s="2">
        <v>2.8580000000000001</v>
      </c>
      <c r="Y150" s="2">
        <v>1.0586</v>
      </c>
      <c r="Z150" t="s">
        <v>34</v>
      </c>
      <c r="AA150">
        <v>210</v>
      </c>
      <c r="AB150">
        <v>0</v>
      </c>
    </row>
    <row r="151" spans="1:28" x14ac:dyDescent="0.3">
      <c r="A151" t="s">
        <v>221</v>
      </c>
      <c r="B151" t="s">
        <v>436</v>
      </c>
      <c r="C151" s="7" t="s">
        <v>30</v>
      </c>
      <c r="D151" s="8">
        <v>17.8</v>
      </c>
      <c r="E151" s="9" t="s">
        <v>39</v>
      </c>
      <c r="F151" s="10" t="s">
        <v>54</v>
      </c>
      <c r="G151" s="11">
        <v>44453</v>
      </c>
      <c r="H151" s="11">
        <v>44476</v>
      </c>
      <c r="I151">
        <v>12</v>
      </c>
      <c r="J151" t="s">
        <v>33</v>
      </c>
      <c r="K151" t="s">
        <v>36</v>
      </c>
      <c r="L151" s="2" t="s">
        <v>44</v>
      </c>
      <c r="M151" t="s">
        <v>45</v>
      </c>
      <c r="N151" s="2">
        <v>3.5</v>
      </c>
      <c r="O151" s="5">
        <v>1.4786999999999999</v>
      </c>
      <c r="P151" t="s">
        <v>36</v>
      </c>
      <c r="Q151" t="s">
        <v>35</v>
      </c>
      <c r="R151" t="s">
        <v>36</v>
      </c>
      <c r="S151" s="2">
        <v>3.0880000000000001</v>
      </c>
      <c r="T151" s="2">
        <v>6.1246999999999998</v>
      </c>
      <c r="U151" t="s">
        <v>36</v>
      </c>
      <c r="V151" s="2" t="s">
        <v>35</v>
      </c>
      <c r="W151" t="s">
        <v>36</v>
      </c>
      <c r="X151" s="2">
        <v>2.863</v>
      </c>
      <c r="Y151" s="2">
        <v>3.2433000000000001</v>
      </c>
      <c r="Z151" t="s">
        <v>36</v>
      </c>
      <c r="AA151">
        <v>210</v>
      </c>
      <c r="AB151">
        <v>0</v>
      </c>
    </row>
    <row r="152" spans="1:28" x14ac:dyDescent="0.3">
      <c r="A152" t="s">
        <v>222</v>
      </c>
      <c r="B152" t="s">
        <v>38</v>
      </c>
      <c r="C152" s="7" t="s">
        <v>34</v>
      </c>
      <c r="D152" s="8">
        <v>17.100000000000001</v>
      </c>
      <c r="E152" s="9" t="s">
        <v>39</v>
      </c>
      <c r="F152" s="10" t="s">
        <v>54</v>
      </c>
      <c r="G152" s="11">
        <v>44453</v>
      </c>
      <c r="H152" s="11">
        <v>44476</v>
      </c>
      <c r="I152">
        <v>12</v>
      </c>
      <c r="J152" t="s">
        <v>33</v>
      </c>
      <c r="K152" t="s">
        <v>36</v>
      </c>
      <c r="L152" s="2" t="s">
        <v>44</v>
      </c>
      <c r="M152" t="s">
        <v>45</v>
      </c>
      <c r="N152" s="2">
        <v>3.5</v>
      </c>
      <c r="O152" s="5">
        <v>2.9620000000000002</v>
      </c>
      <c r="P152" t="s">
        <v>36</v>
      </c>
      <c r="Q152" t="s">
        <v>35</v>
      </c>
      <c r="R152" t="s">
        <v>36</v>
      </c>
      <c r="S152" s="2">
        <v>3.2370000000000001</v>
      </c>
      <c r="T152" s="2">
        <v>0.97670000000000001</v>
      </c>
      <c r="U152" t="s">
        <v>34</v>
      </c>
      <c r="V152" s="2" t="s">
        <v>35</v>
      </c>
      <c r="W152" t="s">
        <v>36</v>
      </c>
      <c r="X152" s="2">
        <v>2.867</v>
      </c>
      <c r="Y152" s="2">
        <v>0.4531</v>
      </c>
      <c r="Z152" t="s">
        <v>34</v>
      </c>
      <c r="AA152">
        <v>210</v>
      </c>
      <c r="AB152">
        <v>0</v>
      </c>
    </row>
    <row r="153" spans="1:28" x14ac:dyDescent="0.3">
      <c r="A153" t="s">
        <v>223</v>
      </c>
      <c r="B153" t="s">
        <v>38</v>
      </c>
      <c r="C153" s="7" t="s">
        <v>30</v>
      </c>
      <c r="D153" s="8">
        <v>12.4</v>
      </c>
      <c r="E153" s="9" t="s">
        <v>41</v>
      </c>
      <c r="F153" s="10" t="s">
        <v>54</v>
      </c>
      <c r="G153" s="11">
        <v>44453</v>
      </c>
      <c r="H153" s="11">
        <v>44477</v>
      </c>
      <c r="I153">
        <v>12</v>
      </c>
      <c r="J153" t="s">
        <v>33</v>
      </c>
      <c r="K153" t="s">
        <v>34</v>
      </c>
      <c r="L153" s="2" t="s">
        <v>44</v>
      </c>
      <c r="M153" s="2" t="s">
        <v>45</v>
      </c>
      <c r="N153" s="2">
        <v>3.5</v>
      </c>
      <c r="O153" s="5">
        <v>0.19</v>
      </c>
      <c r="P153" t="s">
        <v>34</v>
      </c>
      <c r="Q153" t="s">
        <v>44</v>
      </c>
      <c r="R153" t="s">
        <v>45</v>
      </c>
      <c r="S153" s="2">
        <v>3.218</v>
      </c>
      <c r="T153" s="2">
        <v>2.3283999999999998</v>
      </c>
      <c r="U153" t="s">
        <v>36</v>
      </c>
      <c r="V153" s="2" t="s">
        <v>35</v>
      </c>
      <c r="W153" t="s">
        <v>36</v>
      </c>
      <c r="X153" s="2">
        <v>2.8679999999999999</v>
      </c>
      <c r="Y153" s="2">
        <v>1.1503000000000001</v>
      </c>
      <c r="Z153" t="s">
        <v>36</v>
      </c>
      <c r="AA153">
        <v>210</v>
      </c>
      <c r="AB153">
        <v>0</v>
      </c>
    </row>
    <row r="154" spans="1:28" x14ac:dyDescent="0.3">
      <c r="A154" t="s">
        <v>224</v>
      </c>
      <c r="B154" t="s">
        <v>436</v>
      </c>
      <c r="C154" s="12" t="s">
        <v>34</v>
      </c>
      <c r="D154" s="8">
        <v>19.399999999999999</v>
      </c>
      <c r="E154" s="9" t="s">
        <v>39</v>
      </c>
      <c r="F154" s="10" t="s">
        <v>54</v>
      </c>
      <c r="G154" s="11">
        <v>44453</v>
      </c>
      <c r="H154" s="11">
        <v>44477</v>
      </c>
      <c r="I154">
        <v>12</v>
      </c>
      <c r="J154" t="s">
        <v>33</v>
      </c>
      <c r="K154" t="s">
        <v>34</v>
      </c>
      <c r="L154" s="2" t="s">
        <v>44</v>
      </c>
      <c r="M154" t="s">
        <v>45</v>
      </c>
      <c r="N154" s="2">
        <v>3.5</v>
      </c>
      <c r="O154" s="5">
        <v>8.9499999999999996E-2</v>
      </c>
      <c r="P154" t="s">
        <v>34</v>
      </c>
      <c r="Q154" t="s">
        <v>35</v>
      </c>
      <c r="R154" t="s">
        <v>36</v>
      </c>
      <c r="S154" s="2">
        <v>3.5</v>
      </c>
      <c r="T154" s="2">
        <v>1.5792999999999999</v>
      </c>
      <c r="U154" t="s">
        <v>36</v>
      </c>
      <c r="V154" s="2" t="s">
        <v>35</v>
      </c>
      <c r="W154" t="s">
        <v>36</v>
      </c>
      <c r="X154" s="2">
        <v>2.8679999999999999</v>
      </c>
      <c r="Y154" s="2">
        <v>1.0134000000000001</v>
      </c>
      <c r="Z154" t="s">
        <v>34</v>
      </c>
      <c r="AA154">
        <v>210</v>
      </c>
      <c r="AB154">
        <v>0</v>
      </c>
    </row>
    <row r="155" spans="1:28" x14ac:dyDescent="0.3">
      <c r="A155" t="s">
        <v>225</v>
      </c>
      <c r="B155" t="s">
        <v>436</v>
      </c>
      <c r="C155" s="7" t="s">
        <v>30</v>
      </c>
      <c r="D155" s="8">
        <v>32.799999999999997</v>
      </c>
      <c r="E155" s="9" t="s">
        <v>47</v>
      </c>
      <c r="F155" s="10" t="s">
        <v>54</v>
      </c>
      <c r="G155" s="11">
        <v>44453</v>
      </c>
      <c r="H155" s="11">
        <v>44476</v>
      </c>
      <c r="I155">
        <v>15</v>
      </c>
      <c r="J155" t="s">
        <v>43</v>
      </c>
      <c r="K155" t="s">
        <v>34</v>
      </c>
      <c r="L155" s="2" t="s">
        <v>44</v>
      </c>
      <c r="M155" t="s">
        <v>45</v>
      </c>
      <c r="N155" s="2">
        <v>3.5</v>
      </c>
      <c r="O155" s="5">
        <v>0.46589999999999998</v>
      </c>
      <c r="P155" t="s">
        <v>34</v>
      </c>
      <c r="Q155" t="s">
        <v>35</v>
      </c>
      <c r="R155" t="s">
        <v>36</v>
      </c>
      <c r="S155" s="2">
        <v>3.1850000000000001</v>
      </c>
      <c r="T155" s="2">
        <v>6.8182</v>
      </c>
      <c r="U155" t="s">
        <v>36</v>
      </c>
      <c r="V155" s="2">
        <v>71.869399999999999</v>
      </c>
      <c r="W155" t="s">
        <v>36</v>
      </c>
      <c r="X155" s="2">
        <v>2.8690000000000002</v>
      </c>
      <c r="Y155" s="2">
        <v>3.5512000000000001</v>
      </c>
      <c r="Z155" t="s">
        <v>34</v>
      </c>
    </row>
    <row r="156" spans="1:28" x14ac:dyDescent="0.3">
      <c r="A156" t="s">
        <v>226</v>
      </c>
      <c r="B156" t="s">
        <v>436</v>
      </c>
      <c r="C156" s="7" t="s">
        <v>34</v>
      </c>
      <c r="D156" s="8">
        <v>28.6</v>
      </c>
      <c r="E156" s="9" t="s">
        <v>47</v>
      </c>
      <c r="F156" s="10" t="s">
        <v>54</v>
      </c>
      <c r="G156" s="11">
        <v>44453</v>
      </c>
      <c r="H156" s="11">
        <v>44477</v>
      </c>
      <c r="I156">
        <v>12</v>
      </c>
      <c r="J156" t="s">
        <v>33</v>
      </c>
      <c r="K156" t="s">
        <v>34</v>
      </c>
      <c r="L156" s="2" t="s">
        <v>44</v>
      </c>
      <c r="M156" t="s">
        <v>45</v>
      </c>
      <c r="N156" s="2">
        <v>3.5</v>
      </c>
      <c r="O156" s="5" t="s">
        <v>227</v>
      </c>
      <c r="P156" t="s">
        <v>34</v>
      </c>
      <c r="Q156" t="s">
        <v>35</v>
      </c>
      <c r="R156" t="s">
        <v>36</v>
      </c>
      <c r="S156" s="2">
        <v>3.3889999999999998</v>
      </c>
      <c r="T156" s="2">
        <v>0.33410000000000001</v>
      </c>
      <c r="U156" t="s">
        <v>34</v>
      </c>
      <c r="V156" s="2" t="s">
        <v>35</v>
      </c>
      <c r="W156" t="s">
        <v>36</v>
      </c>
      <c r="X156" s="2">
        <v>2.8690000000000002</v>
      </c>
      <c r="Y156" s="2">
        <v>0.2046</v>
      </c>
      <c r="Z156" t="s">
        <v>34</v>
      </c>
      <c r="AA156">
        <v>210</v>
      </c>
      <c r="AB156">
        <v>0</v>
      </c>
    </row>
    <row r="157" spans="1:28" x14ac:dyDescent="0.3">
      <c r="A157" t="s">
        <v>228</v>
      </c>
      <c r="B157" t="s">
        <v>436</v>
      </c>
      <c r="C157" s="7" t="s">
        <v>34</v>
      </c>
      <c r="D157" s="8">
        <v>24.9</v>
      </c>
      <c r="E157" s="9" t="s">
        <v>31</v>
      </c>
      <c r="F157" s="10" t="s">
        <v>54</v>
      </c>
      <c r="G157" s="11">
        <v>44453</v>
      </c>
      <c r="H157" s="11">
        <v>44477</v>
      </c>
      <c r="I157">
        <v>12</v>
      </c>
      <c r="J157" t="s">
        <v>33</v>
      </c>
      <c r="K157" t="s">
        <v>36</v>
      </c>
      <c r="L157" s="2" t="s">
        <v>44</v>
      </c>
      <c r="M157" t="s">
        <v>45</v>
      </c>
      <c r="N157" s="2">
        <v>3.5</v>
      </c>
      <c r="O157" s="5">
        <v>1.3241000000000001</v>
      </c>
      <c r="P157" t="s">
        <v>36</v>
      </c>
      <c r="Q157">
        <v>30.3657</v>
      </c>
      <c r="R157" t="s">
        <v>36</v>
      </c>
      <c r="S157" s="2">
        <v>3.2440000000000002</v>
      </c>
      <c r="T157" s="2">
        <v>1.1075999999999999</v>
      </c>
      <c r="U157" t="s">
        <v>36</v>
      </c>
      <c r="V157" s="2" t="s">
        <v>35</v>
      </c>
      <c r="W157" t="s">
        <v>36</v>
      </c>
      <c r="X157" s="2">
        <v>2.871</v>
      </c>
      <c r="Y157" s="2">
        <v>5.4690000000000003</v>
      </c>
      <c r="Z157" t="s">
        <v>36</v>
      </c>
    </row>
    <row r="158" spans="1:28" x14ac:dyDescent="0.3">
      <c r="A158" t="s">
        <v>229</v>
      </c>
      <c r="B158" t="s">
        <v>436</v>
      </c>
      <c r="C158" s="7" t="s">
        <v>30</v>
      </c>
      <c r="D158" s="8">
        <v>32.1</v>
      </c>
      <c r="E158" s="9" t="s">
        <v>47</v>
      </c>
      <c r="F158" s="10" t="s">
        <v>54</v>
      </c>
      <c r="G158" s="11">
        <v>44454</v>
      </c>
      <c r="H158" s="11">
        <v>44476</v>
      </c>
      <c r="I158">
        <v>15</v>
      </c>
      <c r="J158" t="s">
        <v>43</v>
      </c>
      <c r="K158" t="s">
        <v>34</v>
      </c>
      <c r="L158" s="2" t="s">
        <v>44</v>
      </c>
      <c r="M158" s="2" t="s">
        <v>45</v>
      </c>
      <c r="N158" s="2">
        <v>3.5</v>
      </c>
      <c r="O158" s="5">
        <v>0.22819999999999999</v>
      </c>
      <c r="P158" t="s">
        <v>34</v>
      </c>
      <c r="Q158" t="s">
        <v>35</v>
      </c>
      <c r="R158" t="s">
        <v>36</v>
      </c>
      <c r="S158" s="2">
        <v>2.923</v>
      </c>
      <c r="T158" s="2">
        <v>0.16700000000000001</v>
      </c>
      <c r="U158" t="s">
        <v>34</v>
      </c>
      <c r="V158" s="2">
        <v>72.949299999999994</v>
      </c>
      <c r="W158" t="s">
        <v>36</v>
      </c>
      <c r="X158" s="2">
        <v>2.8940000000000001</v>
      </c>
      <c r="Y158" s="2">
        <v>0.20039999999999999</v>
      </c>
      <c r="Z158" t="s">
        <v>34</v>
      </c>
      <c r="AA158">
        <v>182</v>
      </c>
      <c r="AB158">
        <v>1</v>
      </c>
    </row>
    <row r="159" spans="1:28" x14ac:dyDescent="0.3">
      <c r="A159" t="s">
        <v>230</v>
      </c>
      <c r="B159" t="s">
        <v>436</v>
      </c>
      <c r="C159" s="7" t="s">
        <v>49</v>
      </c>
      <c r="D159" s="8">
        <v>18.5</v>
      </c>
      <c r="E159" s="9" t="s">
        <v>39</v>
      </c>
      <c r="F159" s="10" t="s">
        <v>54</v>
      </c>
      <c r="G159" s="11">
        <v>44454</v>
      </c>
      <c r="H159" s="11">
        <v>44476</v>
      </c>
      <c r="I159">
        <v>15</v>
      </c>
      <c r="J159" t="s">
        <v>43</v>
      </c>
      <c r="K159" t="s">
        <v>36</v>
      </c>
      <c r="L159" s="2" t="s">
        <v>44</v>
      </c>
      <c r="M159" t="s">
        <v>45</v>
      </c>
      <c r="N159" s="2">
        <v>3.5</v>
      </c>
      <c r="O159" s="5">
        <v>0.13320000000000001</v>
      </c>
      <c r="P159" t="s">
        <v>34</v>
      </c>
      <c r="Q159">
        <v>70.463200000000001</v>
      </c>
      <c r="R159" t="s">
        <v>36</v>
      </c>
      <c r="S159" s="2">
        <v>3.3069999999999999</v>
      </c>
      <c r="T159" s="2">
        <v>3.9799000000000002</v>
      </c>
      <c r="U159" t="s">
        <v>34</v>
      </c>
      <c r="V159" s="2">
        <v>61.159100000000002</v>
      </c>
      <c r="W159" t="s">
        <v>36</v>
      </c>
      <c r="X159" s="2">
        <v>2.8980000000000001</v>
      </c>
      <c r="Y159" s="2">
        <v>2.0499999999999998</v>
      </c>
      <c r="Z159" t="s">
        <v>36</v>
      </c>
    </row>
    <row r="160" spans="1:28" x14ac:dyDescent="0.3">
      <c r="A160" t="s">
        <v>231</v>
      </c>
      <c r="B160" t="s">
        <v>436</v>
      </c>
      <c r="C160" s="12" t="s">
        <v>49</v>
      </c>
      <c r="D160" s="8">
        <v>22.9</v>
      </c>
      <c r="E160" s="9" t="s">
        <v>39</v>
      </c>
      <c r="F160" s="10" t="s">
        <v>54</v>
      </c>
      <c r="G160" s="11">
        <v>44453</v>
      </c>
      <c r="H160" s="11">
        <v>44476</v>
      </c>
      <c r="I160">
        <v>14</v>
      </c>
      <c r="J160" t="s">
        <v>43</v>
      </c>
      <c r="K160" t="s">
        <v>34</v>
      </c>
      <c r="L160" s="2" t="s">
        <v>44</v>
      </c>
      <c r="M160" t="s">
        <v>45</v>
      </c>
      <c r="N160" s="2">
        <v>3.5</v>
      </c>
      <c r="O160" s="5">
        <v>0.1956</v>
      </c>
      <c r="P160" t="s">
        <v>34</v>
      </c>
      <c r="Q160" s="2" t="s">
        <v>35</v>
      </c>
      <c r="R160" t="s">
        <v>36</v>
      </c>
      <c r="S160" s="2">
        <v>3.0129999999999999</v>
      </c>
      <c r="T160" s="2">
        <v>4.4200000000000003E-2</v>
      </c>
      <c r="U160" t="s">
        <v>34</v>
      </c>
      <c r="V160" s="2" t="s">
        <v>35</v>
      </c>
      <c r="W160" t="s">
        <v>36</v>
      </c>
      <c r="X160" s="2">
        <v>2.9260000000000002</v>
      </c>
      <c r="Y160" s="2">
        <v>8.6099999999999996E-2</v>
      </c>
      <c r="Z160" t="s">
        <v>34</v>
      </c>
      <c r="AA160">
        <v>210</v>
      </c>
      <c r="AB160">
        <v>0</v>
      </c>
    </row>
    <row r="161" spans="1:28" x14ac:dyDescent="0.3">
      <c r="A161" t="s">
        <v>232</v>
      </c>
      <c r="B161" t="s">
        <v>38</v>
      </c>
      <c r="C161" s="7" t="s">
        <v>30</v>
      </c>
      <c r="D161" s="8">
        <v>18.3</v>
      </c>
      <c r="E161" s="9" t="s">
        <v>39</v>
      </c>
      <c r="F161" s="10" t="s">
        <v>54</v>
      </c>
      <c r="G161" s="11">
        <v>44453</v>
      </c>
      <c r="H161" s="11">
        <v>44476</v>
      </c>
      <c r="I161">
        <v>12</v>
      </c>
      <c r="J161" t="s">
        <v>33</v>
      </c>
      <c r="K161" t="s">
        <v>34</v>
      </c>
      <c r="L161" s="2" t="s">
        <v>44</v>
      </c>
      <c r="M161" t="s">
        <v>45</v>
      </c>
      <c r="N161" s="2">
        <v>3.5</v>
      </c>
      <c r="O161" s="5">
        <v>2.5301999999999998</v>
      </c>
      <c r="P161" t="s">
        <v>36</v>
      </c>
      <c r="Q161">
        <v>25.5944</v>
      </c>
      <c r="R161" t="s">
        <v>36</v>
      </c>
      <c r="S161" s="2">
        <v>3.1850000000000001</v>
      </c>
      <c r="T161" s="2">
        <v>0.85619999999999996</v>
      </c>
      <c r="U161" t="s">
        <v>34</v>
      </c>
      <c r="V161" s="2">
        <v>18.806799999999999</v>
      </c>
      <c r="W161" t="s">
        <v>36</v>
      </c>
      <c r="X161" s="2">
        <v>2.94</v>
      </c>
      <c r="Y161" s="2">
        <v>0.41070000000000001</v>
      </c>
      <c r="Z161" t="s">
        <v>34</v>
      </c>
    </row>
    <row r="162" spans="1:28" ht="15.6" x14ac:dyDescent="0.3">
      <c r="A162" t="s">
        <v>233</v>
      </c>
      <c r="B162" t="s">
        <v>436</v>
      </c>
      <c r="C162" s="7" t="s">
        <v>30</v>
      </c>
      <c r="D162" s="8">
        <v>33.5</v>
      </c>
      <c r="E162" s="9" t="s">
        <v>47</v>
      </c>
      <c r="F162" s="10" t="s">
        <v>54</v>
      </c>
      <c r="G162" s="11">
        <v>44460</v>
      </c>
      <c r="H162" s="11">
        <v>44481</v>
      </c>
      <c r="I162">
        <v>12</v>
      </c>
      <c r="J162" t="s">
        <v>33</v>
      </c>
      <c r="K162" t="s">
        <v>34</v>
      </c>
      <c r="L162" s="2" t="s">
        <v>44</v>
      </c>
      <c r="M162" t="s">
        <v>45</v>
      </c>
      <c r="N162" s="2">
        <v>3.5</v>
      </c>
      <c r="O162" s="5">
        <v>9.01E-2</v>
      </c>
      <c r="P162" t="s">
        <v>34</v>
      </c>
      <c r="Q162" s="13" t="s">
        <v>35</v>
      </c>
      <c r="R162" s="13" t="s">
        <v>36</v>
      </c>
      <c r="S162" s="2">
        <v>3.5</v>
      </c>
      <c r="T162" s="14">
        <v>0.25829999999999997</v>
      </c>
      <c r="U162" s="13" t="s">
        <v>34</v>
      </c>
      <c r="V162" s="2" t="s">
        <v>35</v>
      </c>
      <c r="W162" t="s">
        <v>36</v>
      </c>
      <c r="X162" s="2">
        <v>2.9430000000000001</v>
      </c>
      <c r="Y162" s="2">
        <v>0.22539999999999999</v>
      </c>
      <c r="Z162" t="s">
        <v>34</v>
      </c>
      <c r="AA162">
        <v>210</v>
      </c>
      <c r="AB162">
        <v>0</v>
      </c>
    </row>
    <row r="163" spans="1:28" x14ac:dyDescent="0.3">
      <c r="A163" t="s">
        <v>234</v>
      </c>
      <c r="B163" t="s">
        <v>436</v>
      </c>
      <c r="C163" s="7" t="s">
        <v>49</v>
      </c>
      <c r="D163" s="8">
        <v>16.600000000000001</v>
      </c>
      <c r="E163" s="9" t="s">
        <v>39</v>
      </c>
      <c r="F163" s="10" t="s">
        <v>54</v>
      </c>
      <c r="G163" s="11">
        <v>44453</v>
      </c>
      <c r="H163" s="11">
        <v>44477</v>
      </c>
      <c r="I163">
        <v>12</v>
      </c>
      <c r="J163" t="s">
        <v>33</v>
      </c>
      <c r="K163" t="s">
        <v>34</v>
      </c>
      <c r="L163" s="2" t="s">
        <v>44</v>
      </c>
      <c r="M163" t="s">
        <v>45</v>
      </c>
      <c r="N163" s="2">
        <v>3.5</v>
      </c>
      <c r="O163" s="5">
        <v>2.0455999999999999</v>
      </c>
      <c r="P163" t="s">
        <v>36</v>
      </c>
      <c r="Q163" t="s">
        <v>44</v>
      </c>
      <c r="R163" t="s">
        <v>45</v>
      </c>
      <c r="S163" s="2">
        <v>3.198</v>
      </c>
      <c r="T163" s="2">
        <v>1.2759</v>
      </c>
      <c r="U163" t="s">
        <v>36</v>
      </c>
      <c r="V163" s="2" t="s">
        <v>35</v>
      </c>
      <c r="W163" t="s">
        <v>36</v>
      </c>
      <c r="X163" s="2">
        <v>2.9550000000000001</v>
      </c>
      <c r="Y163" s="2" t="s">
        <v>235</v>
      </c>
      <c r="Z163" t="s">
        <v>34</v>
      </c>
      <c r="AA163">
        <v>210</v>
      </c>
      <c r="AB163">
        <v>0</v>
      </c>
    </row>
    <row r="164" spans="1:28" x14ac:dyDescent="0.3">
      <c r="A164" t="s">
        <v>236</v>
      </c>
      <c r="B164" t="s">
        <v>436</v>
      </c>
      <c r="C164" s="12" t="s">
        <v>34</v>
      </c>
      <c r="D164" s="8">
        <v>16.899999999999999</v>
      </c>
      <c r="E164" s="9" t="s">
        <v>39</v>
      </c>
      <c r="F164" s="10" t="s">
        <v>54</v>
      </c>
      <c r="G164" s="11">
        <v>44453</v>
      </c>
      <c r="H164" s="11">
        <v>44482</v>
      </c>
      <c r="I164">
        <v>15</v>
      </c>
      <c r="J164" t="s">
        <v>43</v>
      </c>
      <c r="K164" t="s">
        <v>34</v>
      </c>
      <c r="L164" s="2" t="s">
        <v>44</v>
      </c>
      <c r="M164" t="s">
        <v>45</v>
      </c>
      <c r="N164" s="2">
        <v>3.5</v>
      </c>
      <c r="O164" s="5">
        <v>0.21759999999999999</v>
      </c>
      <c r="P164" t="s">
        <v>34</v>
      </c>
      <c r="Q164">
        <v>0.36170000000000002</v>
      </c>
      <c r="R164" t="s">
        <v>34</v>
      </c>
      <c r="S164" s="2">
        <v>3.5</v>
      </c>
      <c r="T164" s="2">
        <v>8.1699999999999995E-2</v>
      </c>
      <c r="U164" t="s">
        <v>34</v>
      </c>
      <c r="V164" s="2">
        <v>0.16220000000000001</v>
      </c>
      <c r="W164" t="s">
        <v>34</v>
      </c>
      <c r="X164" s="2">
        <v>2.9550000000000001</v>
      </c>
      <c r="Y164" s="2">
        <v>7.5800000000000006E-2</v>
      </c>
      <c r="Z164" t="s">
        <v>34</v>
      </c>
    </row>
    <row r="165" spans="1:28" x14ac:dyDescent="0.3">
      <c r="A165" t="s">
        <v>237</v>
      </c>
      <c r="B165" t="s">
        <v>436</v>
      </c>
      <c r="C165" s="7" t="s">
        <v>34</v>
      </c>
      <c r="D165" s="8">
        <v>36.5</v>
      </c>
      <c r="E165" s="9" t="s">
        <v>47</v>
      </c>
      <c r="F165" s="10" t="s">
        <v>54</v>
      </c>
      <c r="G165" s="11">
        <v>44453</v>
      </c>
      <c r="H165" s="11">
        <v>44477</v>
      </c>
      <c r="I165">
        <v>15</v>
      </c>
      <c r="J165" t="s">
        <v>43</v>
      </c>
      <c r="K165" t="s">
        <v>34</v>
      </c>
      <c r="L165" s="2" t="s">
        <v>44</v>
      </c>
      <c r="M165" t="s">
        <v>45</v>
      </c>
      <c r="N165" s="2">
        <v>3.5</v>
      </c>
      <c r="O165" s="5">
        <v>7.3800000000000004E-2</v>
      </c>
      <c r="P165" t="s">
        <v>34</v>
      </c>
      <c r="Q165">
        <v>22.245999999999999</v>
      </c>
      <c r="R165" t="s">
        <v>36</v>
      </c>
      <c r="S165" s="2">
        <v>3.262</v>
      </c>
      <c r="T165" s="2">
        <v>2.8273999999999999</v>
      </c>
      <c r="U165" t="s">
        <v>36</v>
      </c>
      <c r="V165" s="2">
        <v>8.2134</v>
      </c>
      <c r="W165" t="s">
        <v>85</v>
      </c>
      <c r="X165" s="2">
        <v>2.964</v>
      </c>
      <c r="Y165" s="2">
        <v>0.90610000000000002</v>
      </c>
      <c r="Z165" t="s">
        <v>34</v>
      </c>
    </row>
    <row r="166" spans="1:28" x14ac:dyDescent="0.3">
      <c r="A166" t="s">
        <v>238</v>
      </c>
      <c r="B166" t="s">
        <v>436</v>
      </c>
      <c r="C166" s="12" t="s">
        <v>34</v>
      </c>
      <c r="D166" s="8">
        <v>18.899999999999999</v>
      </c>
      <c r="E166" s="9" t="s">
        <v>39</v>
      </c>
      <c r="F166" s="10" t="s">
        <v>54</v>
      </c>
      <c r="G166" s="11">
        <v>44453</v>
      </c>
      <c r="H166" s="11">
        <v>44477</v>
      </c>
      <c r="I166">
        <v>12</v>
      </c>
      <c r="J166" t="s">
        <v>33</v>
      </c>
      <c r="K166" t="s">
        <v>34</v>
      </c>
      <c r="L166" s="2" t="s">
        <v>44</v>
      </c>
      <c r="M166" t="s">
        <v>45</v>
      </c>
      <c r="N166" s="2">
        <v>3.5</v>
      </c>
      <c r="O166" s="5">
        <v>0.14169999999999999</v>
      </c>
      <c r="P166" t="s">
        <v>34</v>
      </c>
      <c r="Q166" t="s">
        <v>44</v>
      </c>
      <c r="R166" t="s">
        <v>45</v>
      </c>
      <c r="S166" s="2">
        <v>3.468</v>
      </c>
      <c r="T166" s="2">
        <v>3.6998000000000002</v>
      </c>
      <c r="U166" t="s">
        <v>36</v>
      </c>
      <c r="V166" s="2" t="s">
        <v>35</v>
      </c>
      <c r="W166" t="s">
        <v>36</v>
      </c>
      <c r="X166" s="2">
        <v>2.9710000000000001</v>
      </c>
      <c r="Y166" s="2" t="s">
        <v>239</v>
      </c>
      <c r="Z166" t="s">
        <v>36</v>
      </c>
      <c r="AA166">
        <v>210</v>
      </c>
      <c r="AB166">
        <v>0</v>
      </c>
    </row>
    <row r="167" spans="1:28" x14ac:dyDescent="0.3">
      <c r="A167" t="s">
        <v>240</v>
      </c>
      <c r="B167" t="s">
        <v>436</v>
      </c>
      <c r="C167" s="12" t="s">
        <v>34</v>
      </c>
      <c r="D167" s="8">
        <v>17.899999999999999</v>
      </c>
      <c r="E167" s="9" t="s">
        <v>39</v>
      </c>
      <c r="F167" s="10" t="s">
        <v>54</v>
      </c>
      <c r="G167" s="11">
        <v>44453</v>
      </c>
      <c r="H167" s="11">
        <v>44482</v>
      </c>
      <c r="I167">
        <v>15</v>
      </c>
      <c r="J167" t="s">
        <v>43</v>
      </c>
      <c r="K167" t="s">
        <v>36</v>
      </c>
      <c r="L167" s="2" t="s">
        <v>44</v>
      </c>
      <c r="M167" t="s">
        <v>45</v>
      </c>
      <c r="N167" s="2">
        <v>3.5</v>
      </c>
      <c r="O167" s="5">
        <v>7.0000000000000007E-2</v>
      </c>
      <c r="P167" t="s">
        <v>34</v>
      </c>
      <c r="Q167" t="s">
        <v>35</v>
      </c>
      <c r="R167" t="s">
        <v>36</v>
      </c>
      <c r="S167" s="2">
        <v>3.1240000000000001</v>
      </c>
      <c r="T167" s="2">
        <v>-0.1166</v>
      </c>
      <c r="U167" t="s">
        <v>34</v>
      </c>
      <c r="V167" s="2" t="s">
        <v>44</v>
      </c>
      <c r="W167" t="s">
        <v>45</v>
      </c>
      <c r="X167" s="2">
        <v>2.972</v>
      </c>
      <c r="Y167" s="2">
        <v>2.8967000000000001</v>
      </c>
      <c r="Z167" t="s">
        <v>36</v>
      </c>
      <c r="AA167">
        <v>210</v>
      </c>
      <c r="AB167">
        <v>0</v>
      </c>
    </row>
    <row r="168" spans="1:28" x14ac:dyDescent="0.3">
      <c r="A168" t="s">
        <v>241</v>
      </c>
      <c r="B168" t="s">
        <v>436</v>
      </c>
      <c r="C168" s="7" t="s">
        <v>30</v>
      </c>
      <c r="D168" s="8">
        <v>16.3</v>
      </c>
      <c r="E168" s="9" t="s">
        <v>39</v>
      </c>
      <c r="F168" s="10" t="s">
        <v>54</v>
      </c>
      <c r="G168" s="11">
        <v>44454</v>
      </c>
      <c r="H168" s="11">
        <v>44477</v>
      </c>
      <c r="I168">
        <v>12</v>
      </c>
      <c r="J168" t="s">
        <v>33</v>
      </c>
      <c r="K168" t="s">
        <v>36</v>
      </c>
      <c r="L168" s="2" t="s">
        <v>44</v>
      </c>
      <c r="M168" t="s">
        <v>45</v>
      </c>
      <c r="N168" s="2">
        <v>3.5</v>
      </c>
      <c r="O168" s="5">
        <v>1.5553999999999999</v>
      </c>
      <c r="P168" t="s">
        <v>36</v>
      </c>
      <c r="Q168" t="s">
        <v>35</v>
      </c>
      <c r="R168" t="s">
        <v>36</v>
      </c>
      <c r="S168" s="2">
        <v>3.4929999999999999</v>
      </c>
      <c r="T168" s="2">
        <v>6.0716999999999999</v>
      </c>
      <c r="U168" t="s">
        <v>36</v>
      </c>
      <c r="V168" s="2" t="s">
        <v>44</v>
      </c>
      <c r="W168" t="s">
        <v>45</v>
      </c>
      <c r="X168" s="2">
        <v>2.9780000000000002</v>
      </c>
      <c r="Y168" s="2">
        <v>3.093</v>
      </c>
      <c r="Z168" t="s">
        <v>36</v>
      </c>
      <c r="AA168">
        <v>210</v>
      </c>
      <c r="AB168">
        <v>0</v>
      </c>
    </row>
    <row r="169" spans="1:28" x14ac:dyDescent="0.3">
      <c r="A169" t="s">
        <v>242</v>
      </c>
      <c r="B169" t="s">
        <v>436</v>
      </c>
      <c r="C169" s="7" t="s">
        <v>49</v>
      </c>
      <c r="D169" s="8">
        <v>18.5</v>
      </c>
      <c r="E169" s="9" t="s">
        <v>39</v>
      </c>
      <c r="F169" s="10" t="s">
        <v>54</v>
      </c>
      <c r="G169" s="11">
        <v>44453</v>
      </c>
      <c r="H169" s="11">
        <v>44480</v>
      </c>
      <c r="I169">
        <v>12</v>
      </c>
      <c r="J169" t="s">
        <v>33</v>
      </c>
      <c r="K169" t="s">
        <v>34</v>
      </c>
      <c r="L169" s="2" t="s">
        <v>44</v>
      </c>
      <c r="M169" t="s">
        <v>45</v>
      </c>
      <c r="N169" s="2">
        <v>3.5</v>
      </c>
      <c r="O169" s="5">
        <v>0.99550000000000005</v>
      </c>
      <c r="P169" t="s">
        <v>34</v>
      </c>
      <c r="Q169" t="s">
        <v>35</v>
      </c>
      <c r="R169" t="s">
        <v>36</v>
      </c>
      <c r="S169" s="2">
        <v>3.5</v>
      </c>
      <c r="T169" s="2">
        <v>6.7610999999999999</v>
      </c>
      <c r="U169" t="s">
        <v>36</v>
      </c>
      <c r="V169" s="2" t="s">
        <v>35</v>
      </c>
      <c r="W169" t="s">
        <v>36</v>
      </c>
      <c r="X169" s="2">
        <v>2.9820000000000002</v>
      </c>
      <c r="Y169" s="2">
        <v>3.1183000000000001</v>
      </c>
      <c r="Z169" t="s">
        <v>36</v>
      </c>
      <c r="AA169">
        <v>210</v>
      </c>
      <c r="AB169">
        <v>0</v>
      </c>
    </row>
    <row r="170" spans="1:28" x14ac:dyDescent="0.3">
      <c r="A170" t="s">
        <v>243</v>
      </c>
      <c r="B170" t="s">
        <v>38</v>
      </c>
      <c r="C170" s="7" t="s">
        <v>49</v>
      </c>
      <c r="D170" s="8">
        <v>15.7</v>
      </c>
      <c r="E170" s="9" t="s">
        <v>41</v>
      </c>
      <c r="F170" s="10" t="s">
        <v>54</v>
      </c>
      <c r="G170" s="11">
        <v>44454</v>
      </c>
      <c r="H170" s="11">
        <v>44476</v>
      </c>
      <c r="I170">
        <v>15</v>
      </c>
      <c r="J170" t="s">
        <v>43</v>
      </c>
      <c r="K170" t="s">
        <v>34</v>
      </c>
      <c r="L170" s="2" t="s">
        <v>44</v>
      </c>
      <c r="M170" t="s">
        <v>45</v>
      </c>
      <c r="N170" s="2">
        <v>3.5</v>
      </c>
      <c r="O170" s="5">
        <v>5.9200000000000003E-2</v>
      </c>
      <c r="P170" t="s">
        <v>34</v>
      </c>
      <c r="Q170">
        <v>0.65569999999999995</v>
      </c>
      <c r="R170" t="s">
        <v>34</v>
      </c>
      <c r="S170" s="2">
        <v>3.5</v>
      </c>
      <c r="T170" s="2">
        <v>7.1400000000000005E-2</v>
      </c>
      <c r="U170" t="s">
        <v>34</v>
      </c>
      <c r="V170" s="2">
        <v>1.2967</v>
      </c>
      <c r="W170" t="s">
        <v>34</v>
      </c>
      <c r="X170" s="2">
        <v>2.984</v>
      </c>
      <c r="Y170" s="2">
        <v>-5.1999999999999998E-3</v>
      </c>
      <c r="Z170" t="s">
        <v>34</v>
      </c>
    </row>
    <row r="171" spans="1:28" x14ac:dyDescent="0.3">
      <c r="A171" t="s">
        <v>244</v>
      </c>
      <c r="B171" t="s">
        <v>38</v>
      </c>
      <c r="C171" s="7" t="s">
        <v>30</v>
      </c>
      <c r="D171" s="8">
        <v>21.8</v>
      </c>
      <c r="E171" s="9" t="s">
        <v>31</v>
      </c>
      <c r="F171" s="10" t="s">
        <v>54</v>
      </c>
      <c r="G171" s="11">
        <v>44453</v>
      </c>
      <c r="H171" s="11">
        <v>44477</v>
      </c>
      <c r="I171">
        <v>12</v>
      </c>
      <c r="J171" t="s">
        <v>33</v>
      </c>
      <c r="K171" t="s">
        <v>34</v>
      </c>
      <c r="L171" s="2" t="s">
        <v>44</v>
      </c>
      <c r="M171" t="s">
        <v>45</v>
      </c>
      <c r="N171" s="2">
        <v>3.5</v>
      </c>
      <c r="O171" s="5" t="s">
        <v>245</v>
      </c>
      <c r="P171" t="s">
        <v>36</v>
      </c>
      <c r="Q171" t="s">
        <v>44</v>
      </c>
      <c r="R171" t="s">
        <v>45</v>
      </c>
      <c r="S171" s="2">
        <v>3.42</v>
      </c>
      <c r="T171" s="2">
        <v>0.96860000000000002</v>
      </c>
      <c r="U171" t="s">
        <v>34</v>
      </c>
      <c r="V171" s="2" t="s">
        <v>35</v>
      </c>
      <c r="W171" t="s">
        <v>36</v>
      </c>
      <c r="X171" s="2">
        <v>2.99</v>
      </c>
      <c r="Y171" s="2" t="s">
        <v>246</v>
      </c>
      <c r="Z171" t="s">
        <v>36</v>
      </c>
      <c r="AA171">
        <v>210</v>
      </c>
      <c r="AB171">
        <v>0</v>
      </c>
    </row>
    <row r="172" spans="1:28" x14ac:dyDescent="0.3">
      <c r="A172" t="s">
        <v>247</v>
      </c>
      <c r="B172" t="s">
        <v>38</v>
      </c>
      <c r="C172" s="7" t="s">
        <v>30</v>
      </c>
      <c r="D172" s="8">
        <v>20.2</v>
      </c>
      <c r="E172" s="9" t="s">
        <v>39</v>
      </c>
      <c r="F172" s="10" t="s">
        <v>54</v>
      </c>
      <c r="G172" s="11">
        <v>44454</v>
      </c>
      <c r="H172" s="11">
        <v>44476</v>
      </c>
      <c r="I172">
        <v>15</v>
      </c>
      <c r="J172" t="s">
        <v>43</v>
      </c>
      <c r="K172" t="s">
        <v>34</v>
      </c>
      <c r="L172" s="2" t="s">
        <v>44</v>
      </c>
      <c r="M172" t="s">
        <v>45</v>
      </c>
      <c r="N172" s="2">
        <v>3.5</v>
      </c>
      <c r="O172" s="5">
        <v>8.6699999999999999E-2</v>
      </c>
      <c r="P172" t="s">
        <v>34</v>
      </c>
      <c r="Q172" t="s">
        <v>35</v>
      </c>
      <c r="R172" t="s">
        <v>36</v>
      </c>
      <c r="S172" s="2">
        <v>3.4529999999999998</v>
      </c>
      <c r="T172" s="2">
        <v>5.3600000000000002E-2</v>
      </c>
      <c r="U172" t="s">
        <v>34</v>
      </c>
      <c r="V172" s="2" t="s">
        <v>44</v>
      </c>
      <c r="W172" t="s">
        <v>45</v>
      </c>
      <c r="X172" s="2">
        <v>2.9910000000000001</v>
      </c>
      <c r="Y172" s="2">
        <v>2.419</v>
      </c>
      <c r="Z172" t="s">
        <v>36</v>
      </c>
      <c r="AA172">
        <v>210</v>
      </c>
      <c r="AB172">
        <v>0</v>
      </c>
    </row>
    <row r="173" spans="1:28" x14ac:dyDescent="0.3">
      <c r="A173" t="s">
        <v>248</v>
      </c>
      <c r="B173" t="s">
        <v>38</v>
      </c>
      <c r="C173" s="12" t="s">
        <v>30</v>
      </c>
      <c r="D173" s="8">
        <v>18</v>
      </c>
      <c r="E173" s="9" t="s">
        <v>39</v>
      </c>
      <c r="F173" s="10" t="s">
        <v>54</v>
      </c>
      <c r="G173" s="11">
        <v>44453</v>
      </c>
      <c r="H173" s="11">
        <v>44477</v>
      </c>
      <c r="I173">
        <v>12</v>
      </c>
      <c r="J173" t="s">
        <v>33</v>
      </c>
      <c r="K173" t="s">
        <v>34</v>
      </c>
      <c r="L173" s="2" t="s">
        <v>44</v>
      </c>
      <c r="M173" s="3" t="s">
        <v>45</v>
      </c>
      <c r="N173" s="2">
        <v>3.5</v>
      </c>
      <c r="O173" s="5">
        <v>9.9299999999999999E-2</v>
      </c>
      <c r="P173" t="s">
        <v>34</v>
      </c>
      <c r="Q173" t="s">
        <v>44</v>
      </c>
      <c r="R173" t="s">
        <v>45</v>
      </c>
      <c r="S173" s="2">
        <v>2.3149999999999999</v>
      </c>
      <c r="T173" s="2">
        <v>0.5605</v>
      </c>
      <c r="U173" t="s">
        <v>34</v>
      </c>
      <c r="V173" t="s">
        <v>35</v>
      </c>
      <c r="W173" t="s">
        <v>36</v>
      </c>
      <c r="X173" s="2">
        <v>2.9969999999999999</v>
      </c>
      <c r="Y173" s="2">
        <v>1.2273000000000001</v>
      </c>
      <c r="Z173" t="s">
        <v>36</v>
      </c>
      <c r="AA173">
        <v>210</v>
      </c>
      <c r="AB173">
        <v>0</v>
      </c>
    </row>
    <row r="174" spans="1:28" x14ac:dyDescent="0.3">
      <c r="A174" t="s">
        <v>249</v>
      </c>
      <c r="B174" t="s">
        <v>436</v>
      </c>
      <c r="C174" s="7" t="s">
        <v>49</v>
      </c>
      <c r="D174" s="8">
        <v>23.8</v>
      </c>
      <c r="E174" s="9" t="s">
        <v>31</v>
      </c>
      <c r="F174" s="10" t="s">
        <v>54</v>
      </c>
      <c r="G174" s="11">
        <v>44453</v>
      </c>
      <c r="H174" s="11">
        <v>44477</v>
      </c>
      <c r="I174">
        <v>12</v>
      </c>
      <c r="J174" t="s">
        <v>33</v>
      </c>
      <c r="K174" t="s">
        <v>36</v>
      </c>
      <c r="L174" s="2" t="s">
        <v>44</v>
      </c>
      <c r="M174" t="s">
        <v>45</v>
      </c>
      <c r="N174" s="2">
        <v>3.5</v>
      </c>
      <c r="O174" s="2">
        <v>1.296</v>
      </c>
      <c r="P174" s="2" t="s">
        <v>36</v>
      </c>
      <c r="Q174" t="s">
        <v>35</v>
      </c>
      <c r="R174" t="s">
        <v>36</v>
      </c>
      <c r="S174" s="2">
        <v>3.5</v>
      </c>
      <c r="T174" s="2">
        <v>0.8</v>
      </c>
      <c r="U174" t="s">
        <v>34</v>
      </c>
      <c r="V174" s="2" t="s">
        <v>35</v>
      </c>
      <c r="W174" t="s">
        <v>36</v>
      </c>
      <c r="X174" s="2">
        <v>3</v>
      </c>
      <c r="Y174" s="2">
        <v>6.1169000000000002</v>
      </c>
      <c r="Z174" t="s">
        <v>36</v>
      </c>
      <c r="AA174">
        <v>210</v>
      </c>
      <c r="AB174">
        <v>0</v>
      </c>
    </row>
    <row r="175" spans="1:28" x14ac:dyDescent="0.3">
      <c r="A175" t="s">
        <v>250</v>
      </c>
      <c r="B175" t="s">
        <v>436</v>
      </c>
      <c r="C175" s="12" t="s">
        <v>30</v>
      </c>
      <c r="D175" s="8">
        <v>16.8</v>
      </c>
      <c r="E175" s="9" t="s">
        <v>39</v>
      </c>
      <c r="F175" s="10" t="s">
        <v>54</v>
      </c>
      <c r="G175" s="11">
        <v>44453</v>
      </c>
      <c r="H175" s="11">
        <v>44477</v>
      </c>
      <c r="I175">
        <v>12</v>
      </c>
      <c r="J175" t="s">
        <v>33</v>
      </c>
      <c r="K175" t="s">
        <v>34</v>
      </c>
      <c r="L175" s="2" t="s">
        <v>44</v>
      </c>
      <c r="M175" t="s">
        <v>45</v>
      </c>
      <c r="N175" s="2">
        <v>3.5</v>
      </c>
      <c r="O175" s="5">
        <v>0.48370000000000002</v>
      </c>
      <c r="P175" t="s">
        <v>34</v>
      </c>
      <c r="Q175" t="s">
        <v>35</v>
      </c>
      <c r="R175" t="s">
        <v>36</v>
      </c>
      <c r="S175" s="2">
        <v>3.294</v>
      </c>
      <c r="T175" s="2">
        <v>0.32290000000000002</v>
      </c>
      <c r="U175" t="s">
        <v>34</v>
      </c>
      <c r="V175">
        <v>76.87</v>
      </c>
      <c r="W175" t="s">
        <v>36</v>
      </c>
      <c r="X175" s="2">
        <v>3.004</v>
      </c>
      <c r="Y175" s="2">
        <v>0.15290000000000001</v>
      </c>
      <c r="Z175" t="s">
        <v>34</v>
      </c>
      <c r="AA175">
        <v>182</v>
      </c>
      <c r="AB175">
        <v>1</v>
      </c>
    </row>
    <row r="176" spans="1:28" x14ac:dyDescent="0.3">
      <c r="A176" t="s">
        <v>251</v>
      </c>
      <c r="B176" t="s">
        <v>436</v>
      </c>
      <c r="C176" s="12" t="s">
        <v>30</v>
      </c>
      <c r="D176" s="8">
        <v>18.7</v>
      </c>
      <c r="E176" s="9" t="s">
        <v>39</v>
      </c>
      <c r="F176" s="10" t="s">
        <v>54</v>
      </c>
      <c r="G176" s="11">
        <v>44453</v>
      </c>
      <c r="H176" s="11">
        <v>44482</v>
      </c>
      <c r="I176">
        <v>15</v>
      </c>
      <c r="J176" t="s">
        <v>43</v>
      </c>
      <c r="K176" t="s">
        <v>34</v>
      </c>
      <c r="L176" s="2" t="s">
        <v>44</v>
      </c>
      <c r="M176" t="s">
        <v>45</v>
      </c>
      <c r="N176" s="2">
        <v>3.5</v>
      </c>
      <c r="O176" s="5">
        <v>7.9799999999999996E-2</v>
      </c>
      <c r="P176" t="s">
        <v>34</v>
      </c>
      <c r="Q176" t="s">
        <v>35</v>
      </c>
      <c r="R176" t="s">
        <v>36</v>
      </c>
      <c r="S176" s="2">
        <v>3.464</v>
      </c>
      <c r="T176" s="2">
        <v>0.11210000000000001</v>
      </c>
      <c r="U176" t="s">
        <v>34</v>
      </c>
      <c r="V176" s="2" t="s">
        <v>44</v>
      </c>
      <c r="W176" t="s">
        <v>45</v>
      </c>
      <c r="X176" s="2">
        <v>3.004</v>
      </c>
      <c r="Y176" s="2">
        <v>2.5806</v>
      </c>
      <c r="Z176" t="s">
        <v>36</v>
      </c>
      <c r="AA176">
        <v>210</v>
      </c>
      <c r="AB176">
        <v>0</v>
      </c>
    </row>
    <row r="177" spans="1:1024" x14ac:dyDescent="0.3">
      <c r="A177" t="s">
        <v>252</v>
      </c>
      <c r="B177" t="s">
        <v>436</v>
      </c>
      <c r="C177" s="7" t="s">
        <v>49</v>
      </c>
      <c r="D177" s="8">
        <v>19.8</v>
      </c>
      <c r="E177" s="9" t="s">
        <v>39</v>
      </c>
      <c r="F177" s="10" t="s">
        <v>54</v>
      </c>
      <c r="G177" s="11">
        <v>44453</v>
      </c>
      <c r="H177" s="11">
        <v>44477</v>
      </c>
      <c r="I177">
        <v>12</v>
      </c>
      <c r="J177" t="s">
        <v>33</v>
      </c>
      <c r="K177" t="s">
        <v>34</v>
      </c>
      <c r="L177" s="2" t="s">
        <v>44</v>
      </c>
      <c r="M177" t="s">
        <v>45</v>
      </c>
      <c r="N177" s="2">
        <v>3.5</v>
      </c>
      <c r="O177" s="5">
        <v>0.90990000000000004</v>
      </c>
      <c r="P177" t="s">
        <v>36</v>
      </c>
      <c r="Q177" t="s">
        <v>35</v>
      </c>
      <c r="R177" t="s">
        <v>36</v>
      </c>
      <c r="S177" s="2">
        <v>2.9359999999999999</v>
      </c>
      <c r="T177" s="2">
        <v>0.59409999999999996</v>
      </c>
      <c r="U177" t="s">
        <v>34</v>
      </c>
      <c r="V177" s="2" t="s">
        <v>35</v>
      </c>
      <c r="W177" t="s">
        <v>36</v>
      </c>
      <c r="X177" s="2">
        <v>3.0049999999999999</v>
      </c>
      <c r="Y177" s="2">
        <v>4.0190000000000001</v>
      </c>
      <c r="Z177" t="s">
        <v>36</v>
      </c>
      <c r="AA177">
        <v>210</v>
      </c>
      <c r="AB177">
        <v>0</v>
      </c>
    </row>
    <row r="178" spans="1:1024" x14ac:dyDescent="0.3">
      <c r="A178" t="s">
        <v>253</v>
      </c>
      <c r="B178" t="s">
        <v>436</v>
      </c>
      <c r="C178" s="7" t="s">
        <v>30</v>
      </c>
      <c r="D178" s="8">
        <v>24.8</v>
      </c>
      <c r="E178" s="9" t="s">
        <v>31</v>
      </c>
      <c r="F178" s="10" t="s">
        <v>54</v>
      </c>
      <c r="G178" s="11">
        <v>44453</v>
      </c>
      <c r="H178" s="11">
        <v>44477</v>
      </c>
      <c r="I178">
        <v>12</v>
      </c>
      <c r="J178" t="s">
        <v>33</v>
      </c>
      <c r="K178" t="s">
        <v>34</v>
      </c>
      <c r="L178" s="2" t="s">
        <v>44</v>
      </c>
      <c r="M178" t="s">
        <v>45</v>
      </c>
      <c r="N178" s="2">
        <v>3.5</v>
      </c>
      <c r="O178" s="5">
        <v>0.1096</v>
      </c>
      <c r="P178" t="s">
        <v>34</v>
      </c>
      <c r="Q178">
        <v>99.099100000000007</v>
      </c>
      <c r="R178" t="s">
        <v>36</v>
      </c>
      <c r="S178" s="2">
        <v>3.3530000000000002</v>
      </c>
      <c r="T178" s="2">
        <v>0.1205</v>
      </c>
      <c r="U178" t="s">
        <v>34</v>
      </c>
      <c r="V178" s="2">
        <v>49.769599999999997</v>
      </c>
      <c r="W178" t="s">
        <v>36</v>
      </c>
      <c r="X178" s="2">
        <v>3.008</v>
      </c>
      <c r="Y178" s="2">
        <v>0.1211</v>
      </c>
      <c r="Z178" t="s">
        <v>34</v>
      </c>
      <c r="AA178">
        <v>92</v>
      </c>
      <c r="AB178">
        <v>1</v>
      </c>
    </row>
    <row r="179" spans="1:1024" x14ac:dyDescent="0.3">
      <c r="A179" t="s">
        <v>254</v>
      </c>
      <c r="B179" t="s">
        <v>436</v>
      </c>
      <c r="C179" s="7" t="s">
        <v>34</v>
      </c>
      <c r="D179" s="8">
        <v>29.2</v>
      </c>
      <c r="E179" s="9" t="s">
        <v>47</v>
      </c>
      <c r="F179" s="10" t="s">
        <v>54</v>
      </c>
      <c r="G179" s="11">
        <v>44453</v>
      </c>
      <c r="H179" s="11">
        <v>44477</v>
      </c>
      <c r="I179">
        <v>12</v>
      </c>
      <c r="J179" t="s">
        <v>33</v>
      </c>
      <c r="K179" t="s">
        <v>36</v>
      </c>
      <c r="L179" s="2" t="s">
        <v>44</v>
      </c>
      <c r="M179" t="s">
        <v>45</v>
      </c>
      <c r="N179" s="2">
        <v>3.5</v>
      </c>
      <c r="O179" s="5">
        <v>1.1384000000000001</v>
      </c>
      <c r="P179" t="s">
        <v>36</v>
      </c>
      <c r="Q179" t="s">
        <v>35</v>
      </c>
      <c r="R179" t="s">
        <v>36</v>
      </c>
      <c r="S179" s="2">
        <v>3.3420000000000001</v>
      </c>
      <c r="T179" s="2">
        <v>0.81169999999999998</v>
      </c>
      <c r="U179" t="s">
        <v>34</v>
      </c>
      <c r="V179" s="2" t="s">
        <v>35</v>
      </c>
      <c r="W179" t="s">
        <v>36</v>
      </c>
      <c r="X179" s="2">
        <v>3.0110000000000001</v>
      </c>
      <c r="Y179" s="2">
        <v>0.39460000000000001</v>
      </c>
      <c r="Z179" t="s">
        <v>34</v>
      </c>
      <c r="AA179">
        <v>210</v>
      </c>
      <c r="AB179">
        <v>0</v>
      </c>
      <c r="AC179" s="18"/>
    </row>
    <row r="180" spans="1:1024" x14ac:dyDescent="0.3">
      <c r="A180" t="s">
        <v>255</v>
      </c>
      <c r="B180" t="s">
        <v>436</v>
      </c>
      <c r="C180" s="7" t="s">
        <v>30</v>
      </c>
      <c r="D180" s="8">
        <v>31.9</v>
      </c>
      <c r="E180" s="9" t="s">
        <v>47</v>
      </c>
      <c r="F180" s="10" t="s">
        <v>54</v>
      </c>
      <c r="G180" s="11">
        <v>44454</v>
      </c>
      <c r="H180" s="11">
        <v>44476</v>
      </c>
      <c r="I180">
        <v>15</v>
      </c>
      <c r="J180" t="s">
        <v>43</v>
      </c>
      <c r="K180" t="s">
        <v>36</v>
      </c>
      <c r="L180" s="2" t="s">
        <v>44</v>
      </c>
      <c r="M180" t="s">
        <v>45</v>
      </c>
      <c r="N180" s="2">
        <v>3.5</v>
      </c>
      <c r="O180" s="5">
        <v>2.7622</v>
      </c>
      <c r="P180" t="s">
        <v>36</v>
      </c>
      <c r="Q180" t="s">
        <v>35</v>
      </c>
      <c r="R180" t="s">
        <v>36</v>
      </c>
      <c r="S180" s="2">
        <v>3.1930000000000001</v>
      </c>
      <c r="T180" s="2">
        <v>6.9573999999999998</v>
      </c>
      <c r="U180" t="s">
        <v>36</v>
      </c>
      <c r="V180" s="2" t="s">
        <v>35</v>
      </c>
      <c r="W180" t="s">
        <v>36</v>
      </c>
      <c r="X180" s="2">
        <v>3.03</v>
      </c>
      <c r="Y180" s="2">
        <v>4.2954999999999997</v>
      </c>
      <c r="Z180" t="s">
        <v>36</v>
      </c>
    </row>
    <row r="181" spans="1:1024" x14ac:dyDescent="0.3">
      <c r="A181" t="s">
        <v>256</v>
      </c>
      <c r="B181" t="s">
        <v>38</v>
      </c>
      <c r="C181" s="12" t="s">
        <v>34</v>
      </c>
      <c r="D181" s="8">
        <v>27.5</v>
      </c>
      <c r="E181" s="9" t="s">
        <v>47</v>
      </c>
      <c r="F181" s="10" t="s">
        <v>54</v>
      </c>
      <c r="G181" s="11">
        <v>44453</v>
      </c>
      <c r="H181" s="11">
        <v>44476</v>
      </c>
      <c r="I181">
        <v>15</v>
      </c>
      <c r="J181" t="s">
        <v>43</v>
      </c>
      <c r="K181" t="s">
        <v>34</v>
      </c>
      <c r="L181" s="2" t="s">
        <v>44</v>
      </c>
      <c r="M181" t="s">
        <v>45</v>
      </c>
      <c r="N181" s="2">
        <v>3.5</v>
      </c>
      <c r="O181" s="5">
        <v>0.79479999999999995</v>
      </c>
      <c r="P181" t="s">
        <v>34</v>
      </c>
      <c r="Q181" t="s">
        <v>35</v>
      </c>
      <c r="R181" t="s">
        <v>36</v>
      </c>
      <c r="S181" s="2">
        <v>3.419</v>
      </c>
      <c r="T181" s="2">
        <v>0.65249999999999997</v>
      </c>
      <c r="U181" t="s">
        <v>34</v>
      </c>
      <c r="V181" s="2" t="s">
        <v>35</v>
      </c>
      <c r="W181" t="s">
        <v>36</v>
      </c>
      <c r="X181" s="2">
        <v>3.052</v>
      </c>
      <c r="Y181" s="2">
        <v>2.1507999999999998</v>
      </c>
      <c r="Z181" t="s">
        <v>36</v>
      </c>
      <c r="AA181">
        <v>210</v>
      </c>
      <c r="AB181">
        <v>0</v>
      </c>
    </row>
    <row r="182" spans="1:1024" x14ac:dyDescent="0.3">
      <c r="A182" t="s">
        <v>257</v>
      </c>
      <c r="B182" t="s">
        <v>436</v>
      </c>
      <c r="C182" s="7" t="s">
        <v>30</v>
      </c>
      <c r="D182" s="8">
        <v>15.8</v>
      </c>
      <c r="E182" s="9" t="s">
        <v>41</v>
      </c>
      <c r="F182" s="10" t="s">
        <v>54</v>
      </c>
      <c r="G182" s="11">
        <v>44454</v>
      </c>
      <c r="H182" s="11">
        <v>44476</v>
      </c>
      <c r="I182">
        <v>15</v>
      </c>
      <c r="J182" t="s">
        <v>43</v>
      </c>
      <c r="K182" t="s">
        <v>36</v>
      </c>
      <c r="L182" s="2" t="s">
        <v>44</v>
      </c>
      <c r="M182" t="s">
        <v>45</v>
      </c>
      <c r="N182" s="2">
        <v>3.5</v>
      </c>
      <c r="O182" s="5">
        <v>0.1633</v>
      </c>
      <c r="P182" t="s">
        <v>34</v>
      </c>
      <c r="Q182" t="s">
        <v>44</v>
      </c>
      <c r="R182" t="s">
        <v>45</v>
      </c>
      <c r="S182" s="2">
        <v>3.5</v>
      </c>
      <c r="T182" s="2">
        <v>1.9554</v>
      </c>
      <c r="U182" t="s">
        <v>34</v>
      </c>
      <c r="V182" s="2" t="s">
        <v>44</v>
      </c>
      <c r="W182" t="s">
        <v>45</v>
      </c>
      <c r="X182" s="2">
        <v>3.0539999999999998</v>
      </c>
      <c r="Y182" s="2">
        <v>0.85170000000000001</v>
      </c>
      <c r="Z182" t="s">
        <v>34</v>
      </c>
      <c r="AA182">
        <v>210</v>
      </c>
      <c r="AB182">
        <v>0</v>
      </c>
    </row>
    <row r="183" spans="1:1024" s="18" customFormat="1" x14ac:dyDescent="0.3">
      <c r="A183" s="18" t="s">
        <v>258</v>
      </c>
      <c r="B183" t="s">
        <v>436</v>
      </c>
      <c r="C183" s="7" t="s">
        <v>34</v>
      </c>
      <c r="D183" s="8">
        <v>16.100000000000001</v>
      </c>
      <c r="E183" s="9" t="s">
        <v>39</v>
      </c>
      <c r="F183" s="10" t="s">
        <v>54</v>
      </c>
      <c r="G183" s="11">
        <v>44453</v>
      </c>
      <c r="H183" s="11">
        <v>44477</v>
      </c>
      <c r="I183" s="18">
        <v>12</v>
      </c>
      <c r="J183" s="18" t="s">
        <v>33</v>
      </c>
      <c r="K183" s="18" t="s">
        <v>34</v>
      </c>
      <c r="L183" s="2" t="s">
        <v>44</v>
      </c>
      <c r="M183" s="18" t="s">
        <v>45</v>
      </c>
      <c r="N183" s="2">
        <v>3.5</v>
      </c>
      <c r="O183" s="5">
        <v>2.222</v>
      </c>
      <c r="P183" s="18" t="s">
        <v>36</v>
      </c>
      <c r="Q183" s="18" t="s">
        <v>44</v>
      </c>
      <c r="R183" s="18" t="s">
        <v>45</v>
      </c>
      <c r="S183" s="2">
        <v>3.105</v>
      </c>
      <c r="T183" s="2">
        <v>1.4614</v>
      </c>
      <c r="U183" s="18" t="s">
        <v>36</v>
      </c>
      <c r="V183" s="2" t="s">
        <v>35</v>
      </c>
      <c r="W183" s="18" t="s">
        <v>36</v>
      </c>
      <c r="X183" s="2">
        <v>3.0569999999999999</v>
      </c>
      <c r="Y183" s="2">
        <v>0.94059999999999999</v>
      </c>
      <c r="Z183" s="18" t="s">
        <v>34</v>
      </c>
      <c r="AA183">
        <v>210</v>
      </c>
      <c r="AB183" s="18">
        <v>0</v>
      </c>
      <c r="AMH183"/>
      <c r="AMI183"/>
      <c r="AMJ183"/>
    </row>
    <row r="184" spans="1:1024" x14ac:dyDescent="0.3">
      <c r="A184" t="s">
        <v>259</v>
      </c>
      <c r="B184" t="s">
        <v>436</v>
      </c>
      <c r="C184" s="7" t="s">
        <v>30</v>
      </c>
      <c r="D184" s="8">
        <v>17.8</v>
      </c>
      <c r="E184" s="9" t="s">
        <v>39</v>
      </c>
      <c r="F184" s="10" t="s">
        <v>54</v>
      </c>
      <c r="G184" s="11">
        <v>44454</v>
      </c>
      <c r="H184" s="11">
        <v>44476</v>
      </c>
      <c r="I184">
        <v>15</v>
      </c>
      <c r="J184" t="s">
        <v>43</v>
      </c>
      <c r="K184" t="s">
        <v>34</v>
      </c>
      <c r="L184" s="2" t="s">
        <v>44</v>
      </c>
      <c r="M184" t="s">
        <v>45</v>
      </c>
      <c r="N184" s="2">
        <v>3.5</v>
      </c>
      <c r="O184" s="5">
        <v>0.45639999999999997</v>
      </c>
      <c r="P184" t="s">
        <v>34</v>
      </c>
      <c r="Q184" t="s">
        <v>35</v>
      </c>
      <c r="R184" t="s">
        <v>36</v>
      </c>
      <c r="S184" s="2">
        <v>3.5</v>
      </c>
      <c r="T184" s="2">
        <v>6.0067000000000004</v>
      </c>
      <c r="U184" t="s">
        <v>36</v>
      </c>
      <c r="V184" s="2" t="s">
        <v>35</v>
      </c>
      <c r="W184" t="s">
        <v>36</v>
      </c>
      <c r="X184" s="2">
        <v>3.0630000000000002</v>
      </c>
      <c r="Y184" s="2">
        <v>1.9759</v>
      </c>
      <c r="Z184" t="s">
        <v>36</v>
      </c>
      <c r="AA184">
        <v>210</v>
      </c>
      <c r="AB184">
        <v>0</v>
      </c>
    </row>
    <row r="185" spans="1:1024" x14ac:dyDescent="0.3">
      <c r="A185" t="s">
        <v>260</v>
      </c>
      <c r="B185" t="s">
        <v>38</v>
      </c>
      <c r="C185" s="7" t="s">
        <v>34</v>
      </c>
      <c r="D185" s="8">
        <v>19.2</v>
      </c>
      <c r="E185" s="9" t="s">
        <v>39</v>
      </c>
      <c r="F185" s="10" t="s">
        <v>54</v>
      </c>
      <c r="G185" s="11">
        <v>44453</v>
      </c>
      <c r="H185" s="11">
        <v>44477</v>
      </c>
      <c r="I185">
        <v>11</v>
      </c>
      <c r="J185" t="s">
        <v>33</v>
      </c>
      <c r="K185" t="s">
        <v>34</v>
      </c>
      <c r="L185" s="2" t="s">
        <v>44</v>
      </c>
      <c r="M185" t="s">
        <v>45</v>
      </c>
      <c r="N185" s="2">
        <v>3.5</v>
      </c>
      <c r="O185" s="5">
        <v>2.1173000000000002</v>
      </c>
      <c r="P185" t="s">
        <v>36</v>
      </c>
      <c r="Q185" t="s">
        <v>44</v>
      </c>
      <c r="R185" t="s">
        <v>45</v>
      </c>
      <c r="S185" s="2">
        <v>3.5</v>
      </c>
      <c r="T185" s="2">
        <v>1.9095</v>
      </c>
      <c r="U185" t="s">
        <v>36</v>
      </c>
      <c r="V185" s="2" t="s">
        <v>44</v>
      </c>
      <c r="W185" t="s">
        <v>45</v>
      </c>
      <c r="X185" s="2">
        <v>3.089</v>
      </c>
      <c r="Y185" s="2" t="s">
        <v>261</v>
      </c>
      <c r="Z185" t="s">
        <v>36</v>
      </c>
      <c r="AA185">
        <v>210</v>
      </c>
      <c r="AB185">
        <v>0</v>
      </c>
    </row>
    <row r="186" spans="1:1024" x14ac:dyDescent="0.3">
      <c r="A186" t="s">
        <v>262</v>
      </c>
      <c r="B186" t="s">
        <v>436</v>
      </c>
      <c r="C186" s="12" t="s">
        <v>34</v>
      </c>
      <c r="D186" s="8">
        <v>25.9</v>
      </c>
      <c r="E186" s="9" t="s">
        <v>47</v>
      </c>
      <c r="F186" s="10" t="s">
        <v>54</v>
      </c>
      <c r="G186" s="11">
        <v>44453</v>
      </c>
      <c r="H186" s="11">
        <v>44504</v>
      </c>
      <c r="I186">
        <v>12</v>
      </c>
      <c r="J186" t="s">
        <v>33</v>
      </c>
      <c r="K186" t="s">
        <v>34</v>
      </c>
      <c r="L186" s="2" t="s">
        <v>44</v>
      </c>
      <c r="M186" t="s">
        <v>45</v>
      </c>
      <c r="N186" s="2">
        <v>3.5</v>
      </c>
      <c r="O186" s="5">
        <v>9.1200000000000003E-2</v>
      </c>
      <c r="P186" t="s">
        <v>34</v>
      </c>
      <c r="Q186" t="s">
        <v>44</v>
      </c>
      <c r="R186" t="s">
        <v>45</v>
      </c>
      <c r="S186" s="2">
        <v>3.5</v>
      </c>
      <c r="T186" s="2">
        <v>2.3094000000000001</v>
      </c>
      <c r="U186" t="s">
        <v>36</v>
      </c>
      <c r="V186" s="2" t="s">
        <v>35</v>
      </c>
      <c r="W186" t="s">
        <v>36</v>
      </c>
      <c r="X186" s="2">
        <v>3.0910000000000002</v>
      </c>
      <c r="Y186" s="2">
        <v>0.70040000000000002</v>
      </c>
      <c r="Z186" t="s">
        <v>34</v>
      </c>
      <c r="AA186">
        <v>210</v>
      </c>
      <c r="AB186">
        <v>0</v>
      </c>
    </row>
    <row r="187" spans="1:1024" x14ac:dyDescent="0.3">
      <c r="A187" t="s">
        <v>263</v>
      </c>
      <c r="B187" t="s">
        <v>38</v>
      </c>
      <c r="C187" s="7" t="s">
        <v>30</v>
      </c>
      <c r="D187" s="8">
        <v>15.5</v>
      </c>
      <c r="E187" s="9" t="s">
        <v>41</v>
      </c>
      <c r="F187" s="10" t="s">
        <v>54</v>
      </c>
      <c r="G187" s="11">
        <v>44453</v>
      </c>
      <c r="H187" s="11">
        <v>44477</v>
      </c>
      <c r="I187">
        <v>14</v>
      </c>
      <c r="J187" t="s">
        <v>43</v>
      </c>
      <c r="K187" t="s">
        <v>34</v>
      </c>
      <c r="L187" s="2" t="s">
        <v>44</v>
      </c>
      <c r="M187" t="s">
        <v>45</v>
      </c>
      <c r="N187" s="2">
        <v>3.5</v>
      </c>
      <c r="O187" s="5">
        <v>0.54949999999999999</v>
      </c>
      <c r="P187" t="s">
        <v>34</v>
      </c>
      <c r="Q187" t="s">
        <v>35</v>
      </c>
      <c r="R187" t="s">
        <v>36</v>
      </c>
      <c r="S187" s="2">
        <v>3.3879999999999999</v>
      </c>
      <c r="T187" s="2">
        <v>5.2141000000000002</v>
      </c>
      <c r="U187" t="s">
        <v>36</v>
      </c>
      <c r="V187" s="2" t="s">
        <v>35</v>
      </c>
      <c r="W187" t="s">
        <v>36</v>
      </c>
      <c r="X187" s="2">
        <v>3.1030000000000002</v>
      </c>
      <c r="Y187" s="2">
        <v>2.4384999999999999</v>
      </c>
      <c r="Z187" t="s">
        <v>36</v>
      </c>
    </row>
    <row r="188" spans="1:1024" x14ac:dyDescent="0.3">
      <c r="A188" t="s">
        <v>264</v>
      </c>
      <c r="B188" t="s">
        <v>436</v>
      </c>
      <c r="C188" s="7" t="s">
        <v>34</v>
      </c>
      <c r="D188" s="8">
        <v>23.1</v>
      </c>
      <c r="E188" s="9" t="s">
        <v>31</v>
      </c>
      <c r="F188" s="10" t="s">
        <v>54</v>
      </c>
      <c r="G188" s="11">
        <v>44453</v>
      </c>
      <c r="H188" s="11">
        <v>44477</v>
      </c>
      <c r="I188">
        <v>12</v>
      </c>
      <c r="J188" t="s">
        <v>33</v>
      </c>
      <c r="K188" t="s">
        <v>36</v>
      </c>
      <c r="L188" s="2" t="s">
        <v>44</v>
      </c>
      <c r="M188" t="s">
        <v>45</v>
      </c>
      <c r="N188" s="2">
        <v>3.5</v>
      </c>
      <c r="O188" s="5">
        <v>1.0403</v>
      </c>
      <c r="P188" t="s">
        <v>34</v>
      </c>
      <c r="Q188">
        <v>5.2971000000000004</v>
      </c>
      <c r="R188" t="s">
        <v>34</v>
      </c>
      <c r="S188" s="2">
        <v>3.4660000000000002</v>
      </c>
      <c r="T188" s="2">
        <v>0.40210000000000001</v>
      </c>
      <c r="U188" t="s">
        <v>34</v>
      </c>
      <c r="V188" s="2">
        <v>57.926299999999998</v>
      </c>
      <c r="W188" t="s">
        <v>36</v>
      </c>
      <c r="X188" s="2">
        <v>3.109</v>
      </c>
      <c r="Y188" s="2">
        <v>2.8809999999999998</v>
      </c>
      <c r="Z188" t="s">
        <v>36</v>
      </c>
    </row>
    <row r="189" spans="1:1024" x14ac:dyDescent="0.3">
      <c r="A189" t="s">
        <v>265</v>
      </c>
      <c r="B189" t="s">
        <v>38</v>
      </c>
      <c r="C189" s="12" t="s">
        <v>30</v>
      </c>
      <c r="D189" s="8">
        <v>16.7</v>
      </c>
      <c r="E189" s="9" t="s">
        <v>39</v>
      </c>
      <c r="F189" s="10" t="s">
        <v>54</v>
      </c>
      <c r="G189" s="11">
        <v>44453</v>
      </c>
      <c r="H189" s="11">
        <v>44477</v>
      </c>
      <c r="I189">
        <v>12</v>
      </c>
      <c r="J189" t="s">
        <v>33</v>
      </c>
      <c r="K189" t="s">
        <v>34</v>
      </c>
      <c r="L189" s="2" t="s">
        <v>44</v>
      </c>
      <c r="M189" t="s">
        <v>45</v>
      </c>
      <c r="N189" s="2">
        <v>3.5</v>
      </c>
      <c r="O189" s="5">
        <v>0.38900000000000001</v>
      </c>
      <c r="P189" t="s">
        <v>34</v>
      </c>
      <c r="Q189" t="s">
        <v>35</v>
      </c>
      <c r="R189" t="s">
        <v>36</v>
      </c>
      <c r="S189" s="2">
        <v>3.1560000000000001</v>
      </c>
      <c r="T189" s="2">
        <v>2.9668999999999999</v>
      </c>
      <c r="U189" t="s">
        <v>36</v>
      </c>
      <c r="V189" s="2" t="s">
        <v>35</v>
      </c>
      <c r="W189" t="s">
        <v>36</v>
      </c>
      <c r="X189" s="2">
        <v>3.1190000000000002</v>
      </c>
      <c r="Y189" s="2">
        <v>1.0102</v>
      </c>
      <c r="Z189" t="s">
        <v>34</v>
      </c>
      <c r="AA189">
        <v>210</v>
      </c>
      <c r="AB189">
        <v>0</v>
      </c>
    </row>
    <row r="190" spans="1:1024" x14ac:dyDescent="0.3">
      <c r="A190" t="s">
        <v>266</v>
      </c>
      <c r="B190" t="s">
        <v>38</v>
      </c>
      <c r="C190" s="7" t="s">
        <v>34</v>
      </c>
      <c r="D190" s="8">
        <v>20.9</v>
      </c>
      <c r="E190" s="9" t="s">
        <v>39</v>
      </c>
      <c r="F190" s="10" t="s">
        <v>54</v>
      </c>
      <c r="G190" s="11">
        <v>44453</v>
      </c>
      <c r="H190" s="11">
        <v>44476</v>
      </c>
      <c r="I190">
        <v>12</v>
      </c>
      <c r="J190" t="s">
        <v>33</v>
      </c>
      <c r="K190" t="s">
        <v>34</v>
      </c>
      <c r="L190" s="2" t="s">
        <v>44</v>
      </c>
      <c r="M190" t="s">
        <v>45</v>
      </c>
      <c r="N190" s="2">
        <v>3.5</v>
      </c>
      <c r="O190" s="5">
        <v>2.6465000000000001</v>
      </c>
      <c r="P190" t="s">
        <v>36</v>
      </c>
      <c r="Q190" t="s">
        <v>35</v>
      </c>
      <c r="R190" t="s">
        <v>36</v>
      </c>
      <c r="S190" s="2">
        <v>3.5</v>
      </c>
      <c r="T190" s="2">
        <v>5.1473000000000004</v>
      </c>
      <c r="U190" t="s">
        <v>34</v>
      </c>
      <c r="V190" s="2">
        <v>99.094999999999999</v>
      </c>
      <c r="W190" t="s">
        <v>36</v>
      </c>
      <c r="X190" s="2">
        <v>3.133</v>
      </c>
      <c r="Y190" s="2">
        <v>1.8448</v>
      </c>
      <c r="Z190" t="s">
        <v>36</v>
      </c>
    </row>
    <row r="191" spans="1:1024" x14ac:dyDescent="0.3">
      <c r="A191" t="s">
        <v>267</v>
      </c>
      <c r="B191" t="s">
        <v>38</v>
      </c>
      <c r="C191" s="7" t="s">
        <v>30</v>
      </c>
      <c r="D191" s="8">
        <v>27.2</v>
      </c>
      <c r="E191" s="9" t="s">
        <v>47</v>
      </c>
      <c r="F191" s="10" t="s">
        <v>54</v>
      </c>
      <c r="G191" s="11">
        <v>44453</v>
      </c>
      <c r="H191" s="11">
        <v>44476</v>
      </c>
      <c r="I191">
        <v>11</v>
      </c>
      <c r="J191" t="s">
        <v>33</v>
      </c>
      <c r="K191" t="s">
        <v>36</v>
      </c>
      <c r="L191" s="2" t="s">
        <v>44</v>
      </c>
      <c r="M191" t="s">
        <v>45</v>
      </c>
      <c r="N191" s="2">
        <v>3.5</v>
      </c>
      <c r="O191" s="5">
        <v>1.5189999999999999</v>
      </c>
      <c r="P191" t="s">
        <v>36</v>
      </c>
      <c r="Q191" t="s">
        <v>35</v>
      </c>
      <c r="R191" t="s">
        <v>36</v>
      </c>
      <c r="S191" s="2">
        <v>2.9689999999999999</v>
      </c>
      <c r="T191" s="2">
        <v>0.73880000000000001</v>
      </c>
      <c r="U191" t="s">
        <v>34</v>
      </c>
      <c r="V191" s="2" t="s">
        <v>137</v>
      </c>
      <c r="W191" t="s">
        <v>36</v>
      </c>
      <c r="X191" s="2">
        <v>3.1339999999999999</v>
      </c>
      <c r="Y191" s="2">
        <v>0.4259</v>
      </c>
      <c r="Z191" t="s">
        <v>34</v>
      </c>
      <c r="AA191">
        <v>210</v>
      </c>
      <c r="AB191">
        <v>0</v>
      </c>
    </row>
    <row r="192" spans="1:1024" x14ac:dyDescent="0.3">
      <c r="A192" t="s">
        <v>268</v>
      </c>
      <c r="B192" t="s">
        <v>436</v>
      </c>
      <c r="C192" s="12" t="s">
        <v>34</v>
      </c>
      <c r="D192" s="8">
        <v>22.2</v>
      </c>
      <c r="E192" s="9" t="s">
        <v>31</v>
      </c>
      <c r="F192" s="10" t="s">
        <v>54</v>
      </c>
      <c r="G192" s="11">
        <v>44453</v>
      </c>
      <c r="H192" s="11">
        <v>44477</v>
      </c>
      <c r="I192">
        <v>12</v>
      </c>
      <c r="J192" t="s">
        <v>33</v>
      </c>
      <c r="K192" t="s">
        <v>36</v>
      </c>
      <c r="L192" s="2" t="s">
        <v>44</v>
      </c>
      <c r="M192" t="s">
        <v>45</v>
      </c>
      <c r="N192" s="2">
        <v>3.5</v>
      </c>
      <c r="O192" s="5">
        <v>0.1384</v>
      </c>
      <c r="P192" t="s">
        <v>34</v>
      </c>
      <c r="Q192">
        <v>23.499099999999999</v>
      </c>
      <c r="R192" t="s">
        <v>36</v>
      </c>
      <c r="S192" s="2">
        <v>2.9359999999999999</v>
      </c>
      <c r="T192" s="2">
        <v>1.3273999999999999</v>
      </c>
      <c r="U192" t="s">
        <v>36</v>
      </c>
      <c r="V192" t="s">
        <v>44</v>
      </c>
      <c r="W192" t="s">
        <v>45</v>
      </c>
      <c r="X192" s="2">
        <v>3.145</v>
      </c>
      <c r="Y192" s="2">
        <v>0.74380000000000002</v>
      </c>
      <c r="Z192" t="s">
        <v>34</v>
      </c>
    </row>
    <row r="193" spans="1:29" x14ac:dyDescent="0.3">
      <c r="A193" t="s">
        <v>269</v>
      </c>
      <c r="B193" t="s">
        <v>436</v>
      </c>
      <c r="C193" s="7" t="s">
        <v>30</v>
      </c>
      <c r="D193" s="8">
        <v>26.5</v>
      </c>
      <c r="E193" s="9" t="s">
        <v>47</v>
      </c>
      <c r="F193" s="10" t="s">
        <v>54</v>
      </c>
      <c r="G193" s="11">
        <v>44453</v>
      </c>
      <c r="H193" s="11">
        <v>44477</v>
      </c>
      <c r="I193">
        <v>12</v>
      </c>
      <c r="J193" t="s">
        <v>33</v>
      </c>
      <c r="K193" t="s">
        <v>36</v>
      </c>
      <c r="L193" s="2" t="s">
        <v>44</v>
      </c>
      <c r="M193" t="s">
        <v>45</v>
      </c>
      <c r="N193" s="2">
        <v>3.5</v>
      </c>
      <c r="O193" s="5">
        <v>1.3404</v>
      </c>
      <c r="P193" t="s">
        <v>36</v>
      </c>
      <c r="Q193" t="s">
        <v>35</v>
      </c>
      <c r="R193" t="s">
        <v>36</v>
      </c>
      <c r="S193" s="2">
        <v>3.3410000000000002</v>
      </c>
      <c r="T193" s="2">
        <v>5.8722000000000003</v>
      </c>
      <c r="U193" t="s">
        <v>36</v>
      </c>
      <c r="V193" t="s">
        <v>35</v>
      </c>
      <c r="W193" t="s">
        <v>36</v>
      </c>
      <c r="X193" s="2">
        <v>3.1459999999999999</v>
      </c>
      <c r="Y193" s="2">
        <v>2.5868000000000002</v>
      </c>
      <c r="Z193" t="s">
        <v>36</v>
      </c>
    </row>
    <row r="194" spans="1:29" x14ac:dyDescent="0.3">
      <c r="A194" t="s">
        <v>270</v>
      </c>
      <c r="B194" t="s">
        <v>436</v>
      </c>
      <c r="C194" s="7" t="s">
        <v>34</v>
      </c>
      <c r="D194" s="8">
        <v>30</v>
      </c>
      <c r="E194" s="9" t="s">
        <v>47</v>
      </c>
      <c r="F194" s="10" t="s">
        <v>54</v>
      </c>
      <c r="G194" s="11">
        <v>44458</v>
      </c>
      <c r="H194" s="11">
        <v>44477</v>
      </c>
      <c r="I194">
        <v>16</v>
      </c>
      <c r="J194" t="s">
        <v>43</v>
      </c>
      <c r="K194" t="s">
        <v>36</v>
      </c>
      <c r="L194" s="2" t="s">
        <v>44</v>
      </c>
      <c r="M194" t="s">
        <v>45</v>
      </c>
      <c r="N194" s="2">
        <v>3.5</v>
      </c>
      <c r="O194" s="5">
        <v>9.01E-2</v>
      </c>
      <c r="P194" t="s">
        <v>34</v>
      </c>
      <c r="Q194" t="s">
        <v>35</v>
      </c>
      <c r="R194" t="s">
        <v>36</v>
      </c>
      <c r="S194" s="2">
        <v>3.3889999999999998</v>
      </c>
      <c r="T194" s="2">
        <v>9.9299999999999999E-2</v>
      </c>
      <c r="U194" t="s">
        <v>34</v>
      </c>
      <c r="V194" s="2" t="s">
        <v>35</v>
      </c>
      <c r="W194" t="s">
        <v>36</v>
      </c>
      <c r="X194" s="2">
        <v>3.1840000000000002</v>
      </c>
      <c r="Y194" s="2" t="s">
        <v>271</v>
      </c>
      <c r="Z194" t="s">
        <v>34</v>
      </c>
      <c r="AA194">
        <v>210</v>
      </c>
      <c r="AB194">
        <v>0</v>
      </c>
    </row>
    <row r="195" spans="1:29" x14ac:dyDescent="0.3">
      <c r="A195" t="s">
        <v>272</v>
      </c>
      <c r="B195" t="s">
        <v>436</v>
      </c>
      <c r="C195" s="7" t="s">
        <v>49</v>
      </c>
      <c r="D195" s="8">
        <v>21.7</v>
      </c>
      <c r="E195" s="9" t="s">
        <v>39</v>
      </c>
      <c r="F195" s="10" t="s">
        <v>54</v>
      </c>
      <c r="G195" s="11">
        <v>44453</v>
      </c>
      <c r="H195" s="11">
        <v>44477</v>
      </c>
      <c r="I195">
        <v>12</v>
      </c>
      <c r="J195" t="s">
        <v>33</v>
      </c>
      <c r="K195" t="s">
        <v>34</v>
      </c>
      <c r="L195" s="2" t="s">
        <v>35</v>
      </c>
      <c r="M195" t="s">
        <v>36</v>
      </c>
      <c r="N195" s="2">
        <v>3.5</v>
      </c>
      <c r="O195" s="5">
        <v>0.79779999999999995</v>
      </c>
      <c r="P195" t="s">
        <v>34</v>
      </c>
      <c r="Q195">
        <v>95.549300000000002</v>
      </c>
      <c r="R195" t="s">
        <v>36</v>
      </c>
      <c r="S195" s="2">
        <v>3.5</v>
      </c>
      <c r="T195" s="2">
        <v>5.4569999999999999</v>
      </c>
      <c r="U195" t="s">
        <v>36</v>
      </c>
      <c r="V195" s="2">
        <v>36.521700000000003</v>
      </c>
      <c r="W195" t="s">
        <v>36</v>
      </c>
      <c r="X195" s="2">
        <v>3.1850000000000001</v>
      </c>
      <c r="Y195" s="2">
        <v>2.2684000000000002</v>
      </c>
      <c r="Z195" t="s">
        <v>36</v>
      </c>
      <c r="AA195" s="18"/>
      <c r="AB195" s="18"/>
      <c r="AC195" s="18"/>
    </row>
    <row r="196" spans="1:29" x14ac:dyDescent="0.3">
      <c r="A196" t="s">
        <v>273</v>
      </c>
      <c r="B196" t="s">
        <v>436</v>
      </c>
      <c r="C196" s="12" t="s">
        <v>34</v>
      </c>
      <c r="D196" s="8">
        <v>15.5</v>
      </c>
      <c r="E196" s="9" t="s">
        <v>39</v>
      </c>
      <c r="F196" s="10" t="s">
        <v>54</v>
      </c>
      <c r="G196" s="11">
        <v>44453</v>
      </c>
      <c r="H196" s="11">
        <v>44477</v>
      </c>
      <c r="I196">
        <v>12</v>
      </c>
      <c r="J196" t="s">
        <v>33</v>
      </c>
      <c r="K196" t="s">
        <v>34</v>
      </c>
      <c r="L196" s="2" t="s">
        <v>44</v>
      </c>
      <c r="M196" t="s">
        <v>45</v>
      </c>
      <c r="N196" s="2">
        <v>3.5</v>
      </c>
      <c r="O196" s="5">
        <v>9.1200000000000003E-2</v>
      </c>
      <c r="P196" t="s">
        <v>34</v>
      </c>
      <c r="Q196" t="s">
        <v>44</v>
      </c>
      <c r="R196" t="s">
        <v>45</v>
      </c>
      <c r="S196" s="2">
        <v>3.3490000000000002</v>
      </c>
      <c r="T196" s="2">
        <v>1.7108000000000001</v>
      </c>
      <c r="U196" t="s">
        <v>36</v>
      </c>
      <c r="V196" s="2" t="s">
        <v>35</v>
      </c>
      <c r="W196" t="s">
        <v>36</v>
      </c>
      <c r="X196" s="2">
        <v>3.194</v>
      </c>
      <c r="Y196" s="2">
        <v>0.89049999999999996</v>
      </c>
      <c r="Z196" t="s">
        <v>34</v>
      </c>
      <c r="AA196">
        <v>210</v>
      </c>
      <c r="AB196">
        <v>0</v>
      </c>
    </row>
    <row r="197" spans="1:29" x14ac:dyDescent="0.3">
      <c r="A197" t="s">
        <v>274</v>
      </c>
      <c r="B197" t="s">
        <v>436</v>
      </c>
      <c r="C197" s="7" t="s">
        <v>30</v>
      </c>
      <c r="D197" s="8">
        <v>32.799999999999997</v>
      </c>
      <c r="E197" s="9" t="s">
        <v>47</v>
      </c>
      <c r="F197" s="10" t="s">
        <v>54</v>
      </c>
      <c r="G197" s="11">
        <v>44453</v>
      </c>
      <c r="H197" s="11">
        <v>44477</v>
      </c>
      <c r="I197">
        <v>15</v>
      </c>
      <c r="J197" t="s">
        <v>43</v>
      </c>
      <c r="K197" t="s">
        <v>36</v>
      </c>
      <c r="L197" s="2" t="s">
        <v>44</v>
      </c>
      <c r="M197" t="s">
        <v>45</v>
      </c>
      <c r="N197" s="2">
        <v>3.5</v>
      </c>
      <c r="O197" s="5">
        <v>0.23269999999999999</v>
      </c>
      <c r="P197" t="s">
        <v>34</v>
      </c>
      <c r="Q197" t="s">
        <v>35</v>
      </c>
      <c r="R197" t="s">
        <v>36</v>
      </c>
      <c r="S197" s="2">
        <v>3.2989999999999999</v>
      </c>
      <c r="T197" t="s">
        <v>275</v>
      </c>
      <c r="U197" t="s">
        <v>34</v>
      </c>
      <c r="V197" s="2" t="s">
        <v>44</v>
      </c>
      <c r="W197" t="s">
        <v>45</v>
      </c>
      <c r="X197" s="2">
        <v>3.2010000000000001</v>
      </c>
      <c r="Y197" s="2">
        <v>4.1920999999999999</v>
      </c>
      <c r="Z197" t="s">
        <v>36</v>
      </c>
      <c r="AA197">
        <v>210</v>
      </c>
      <c r="AB197">
        <v>0</v>
      </c>
    </row>
    <row r="198" spans="1:29" x14ac:dyDescent="0.3">
      <c r="A198" t="s">
        <v>276</v>
      </c>
      <c r="B198" t="s">
        <v>436</v>
      </c>
      <c r="C198" s="7" t="s">
        <v>30</v>
      </c>
      <c r="D198" s="8">
        <v>21.5</v>
      </c>
      <c r="E198" s="9" t="s">
        <v>39</v>
      </c>
      <c r="F198" s="10" t="s">
        <v>54</v>
      </c>
      <c r="G198" s="11">
        <v>44458</v>
      </c>
      <c r="H198" s="11">
        <v>44477</v>
      </c>
      <c r="I198">
        <v>15</v>
      </c>
      <c r="J198" t="s">
        <v>43</v>
      </c>
      <c r="K198" t="s">
        <v>36</v>
      </c>
      <c r="L198" s="2" t="s">
        <v>44</v>
      </c>
      <c r="M198" t="s">
        <v>45</v>
      </c>
      <c r="N198" s="2">
        <v>3.5</v>
      </c>
      <c r="O198" s="5">
        <v>0.32440000000000002</v>
      </c>
      <c r="P198" t="s">
        <v>34</v>
      </c>
      <c r="Q198">
        <v>0.79490000000000005</v>
      </c>
      <c r="R198" t="s">
        <v>34</v>
      </c>
      <c r="S198" s="2">
        <v>3.1150000000000002</v>
      </c>
      <c r="T198" s="2">
        <v>0.2389</v>
      </c>
      <c r="U198" t="s">
        <v>34</v>
      </c>
      <c r="V198" s="2">
        <v>1.0491999999999999</v>
      </c>
      <c r="W198" t="s">
        <v>34</v>
      </c>
      <c r="X198" s="2">
        <v>3.2160000000000002</v>
      </c>
      <c r="Y198" s="2">
        <v>0.26790000000000003</v>
      </c>
      <c r="Z198" t="s">
        <v>34</v>
      </c>
    </row>
    <row r="199" spans="1:29" x14ac:dyDescent="0.3">
      <c r="A199" t="s">
        <v>277</v>
      </c>
      <c r="B199" t="s">
        <v>436</v>
      </c>
      <c r="C199" s="7" t="s">
        <v>34</v>
      </c>
      <c r="D199" s="8">
        <v>20.399999999999999</v>
      </c>
      <c r="E199" s="9" t="s">
        <v>39</v>
      </c>
      <c r="F199" s="10" t="s">
        <v>54</v>
      </c>
      <c r="G199" s="11">
        <v>44453</v>
      </c>
      <c r="H199" s="11">
        <v>44476</v>
      </c>
      <c r="I199">
        <v>12</v>
      </c>
      <c r="J199" t="s">
        <v>33</v>
      </c>
      <c r="K199" t="s">
        <v>36</v>
      </c>
      <c r="L199" s="2" t="s">
        <v>44</v>
      </c>
      <c r="M199" t="s">
        <v>45</v>
      </c>
      <c r="N199" s="2">
        <v>3.5</v>
      </c>
      <c r="O199" s="5">
        <v>3.4116</v>
      </c>
      <c r="P199" t="s">
        <v>36</v>
      </c>
      <c r="Q199" t="s">
        <v>35</v>
      </c>
      <c r="R199" t="s">
        <v>36</v>
      </c>
      <c r="S199" s="2">
        <v>3.3610000000000002</v>
      </c>
      <c r="T199" s="2">
        <v>5.7590000000000003</v>
      </c>
      <c r="U199" t="s">
        <v>36</v>
      </c>
      <c r="V199" s="2" t="s">
        <v>35</v>
      </c>
      <c r="W199" t="s">
        <v>36</v>
      </c>
      <c r="X199" s="2">
        <v>3.222</v>
      </c>
      <c r="Y199" s="2">
        <v>4.7253999999999996</v>
      </c>
      <c r="Z199" t="s">
        <v>36</v>
      </c>
      <c r="AA199">
        <v>210</v>
      </c>
      <c r="AB199">
        <v>0</v>
      </c>
    </row>
    <row r="200" spans="1:29" x14ac:dyDescent="0.3">
      <c r="A200" t="s">
        <v>278</v>
      </c>
      <c r="B200" t="s">
        <v>38</v>
      </c>
      <c r="C200" s="7" t="s">
        <v>34</v>
      </c>
      <c r="D200" s="8">
        <v>20.8</v>
      </c>
      <c r="E200" s="9" t="s">
        <v>39</v>
      </c>
      <c r="F200" s="10" t="s">
        <v>54</v>
      </c>
      <c r="G200" s="11">
        <v>44453</v>
      </c>
      <c r="H200" s="11">
        <v>44477</v>
      </c>
      <c r="I200">
        <v>12</v>
      </c>
      <c r="J200" t="s">
        <v>33</v>
      </c>
      <c r="K200" t="s">
        <v>36</v>
      </c>
      <c r="L200" s="2" t="s">
        <v>44</v>
      </c>
      <c r="M200" s="2" t="s">
        <v>45</v>
      </c>
      <c r="N200" s="2">
        <v>3.5</v>
      </c>
      <c r="O200" s="5">
        <v>0.25330000000000003</v>
      </c>
      <c r="P200" t="s">
        <v>34</v>
      </c>
      <c r="Q200" t="s">
        <v>44</v>
      </c>
      <c r="R200" t="s">
        <v>45</v>
      </c>
      <c r="S200" s="2">
        <v>3.4780000000000002</v>
      </c>
      <c r="T200" s="2">
        <v>1.4632000000000001</v>
      </c>
      <c r="U200" t="s">
        <v>36</v>
      </c>
      <c r="V200" s="2" t="s">
        <v>35</v>
      </c>
      <c r="W200" t="s">
        <v>36</v>
      </c>
      <c r="X200" s="2">
        <v>3.222</v>
      </c>
      <c r="Y200" s="2">
        <v>0.4551</v>
      </c>
      <c r="Z200" t="s">
        <v>34</v>
      </c>
      <c r="AA200">
        <v>210</v>
      </c>
      <c r="AB200">
        <v>0</v>
      </c>
    </row>
    <row r="201" spans="1:29" x14ac:dyDescent="0.3">
      <c r="A201" t="s">
        <v>279</v>
      </c>
      <c r="B201" t="s">
        <v>38</v>
      </c>
      <c r="C201" s="7" t="s">
        <v>34</v>
      </c>
      <c r="D201" s="8">
        <v>16.399999999999999</v>
      </c>
      <c r="E201" s="9" t="s">
        <v>39</v>
      </c>
      <c r="F201" s="10" t="s">
        <v>54</v>
      </c>
      <c r="G201" s="11">
        <v>44453</v>
      </c>
      <c r="H201" s="11">
        <v>44477</v>
      </c>
      <c r="I201">
        <v>12</v>
      </c>
      <c r="J201" t="s">
        <v>33</v>
      </c>
      <c r="K201" t="s">
        <v>34</v>
      </c>
      <c r="L201" s="2" t="s">
        <v>44</v>
      </c>
      <c r="M201" t="s">
        <v>45</v>
      </c>
      <c r="N201" s="2">
        <v>3.5</v>
      </c>
      <c r="O201" s="5">
        <v>0.1288</v>
      </c>
      <c r="P201" t="s">
        <v>34</v>
      </c>
      <c r="Q201" t="s">
        <v>44</v>
      </c>
      <c r="R201" t="s">
        <v>45</v>
      </c>
      <c r="S201" s="2">
        <v>3.5</v>
      </c>
      <c r="T201" s="2">
        <v>1.3158000000000001</v>
      </c>
      <c r="U201" t="s">
        <v>36</v>
      </c>
      <c r="V201" s="2" t="s">
        <v>35</v>
      </c>
      <c r="W201" t="s">
        <v>36</v>
      </c>
      <c r="X201" s="2">
        <v>3.2240000000000002</v>
      </c>
      <c r="Y201" s="2">
        <v>0.12939999999999999</v>
      </c>
      <c r="Z201" t="s">
        <v>34</v>
      </c>
      <c r="AA201">
        <v>210</v>
      </c>
      <c r="AB201">
        <v>0</v>
      </c>
    </row>
    <row r="202" spans="1:29" x14ac:dyDescent="0.3">
      <c r="A202" t="s">
        <v>280</v>
      </c>
      <c r="B202" t="s">
        <v>436</v>
      </c>
      <c r="C202" s="7" t="s">
        <v>34</v>
      </c>
      <c r="D202" s="8">
        <v>29.5</v>
      </c>
      <c r="E202" s="9" t="s">
        <v>47</v>
      </c>
      <c r="F202" s="10" t="s">
        <v>54</v>
      </c>
      <c r="G202" s="11">
        <v>44453</v>
      </c>
      <c r="H202" s="11">
        <v>44477</v>
      </c>
      <c r="I202">
        <v>12</v>
      </c>
      <c r="J202" t="s">
        <v>33</v>
      </c>
      <c r="K202" t="s">
        <v>36</v>
      </c>
      <c r="L202" s="2" t="s">
        <v>44</v>
      </c>
      <c r="M202" t="s">
        <v>45</v>
      </c>
      <c r="N202" s="2">
        <v>3.5</v>
      </c>
      <c r="O202" s="5" t="s">
        <v>281</v>
      </c>
      <c r="P202" t="s">
        <v>34</v>
      </c>
      <c r="Q202">
        <v>1.9149</v>
      </c>
      <c r="R202" t="s">
        <v>34</v>
      </c>
      <c r="S202" s="2">
        <v>3.5</v>
      </c>
      <c r="T202" s="2">
        <v>0.3841</v>
      </c>
      <c r="U202" t="s">
        <v>34</v>
      </c>
      <c r="V202" s="2">
        <v>2.6995</v>
      </c>
      <c r="W202" t="s">
        <v>34</v>
      </c>
      <c r="X202" s="2">
        <v>3.2250000000000001</v>
      </c>
      <c r="Y202" s="2">
        <v>0.57169999999999999</v>
      </c>
      <c r="Z202" t="s">
        <v>34</v>
      </c>
    </row>
    <row r="203" spans="1:29" x14ac:dyDescent="0.3">
      <c r="A203" t="s">
        <v>282</v>
      </c>
      <c r="B203" t="s">
        <v>436</v>
      </c>
      <c r="C203" s="7" t="s">
        <v>30</v>
      </c>
      <c r="D203" s="8">
        <v>19.100000000000001</v>
      </c>
      <c r="E203" s="9" t="s">
        <v>39</v>
      </c>
      <c r="F203" s="10" t="s">
        <v>54</v>
      </c>
      <c r="G203" s="11">
        <v>44454</v>
      </c>
      <c r="H203" s="11">
        <v>44476</v>
      </c>
      <c r="I203">
        <v>15</v>
      </c>
      <c r="J203" t="s">
        <v>43</v>
      </c>
      <c r="K203" t="s">
        <v>34</v>
      </c>
      <c r="L203" s="2" t="s">
        <v>44</v>
      </c>
      <c r="M203" t="s">
        <v>45</v>
      </c>
      <c r="N203" s="2">
        <v>3.5</v>
      </c>
      <c r="O203" s="5">
        <v>0.1966</v>
      </c>
      <c r="P203" t="s">
        <v>34</v>
      </c>
      <c r="Q203" t="s">
        <v>44</v>
      </c>
      <c r="R203" t="s">
        <v>45</v>
      </c>
      <c r="S203" s="2">
        <v>3.5</v>
      </c>
      <c r="T203" s="2">
        <v>3.2522000000000002</v>
      </c>
      <c r="U203" t="s">
        <v>36</v>
      </c>
      <c r="V203" s="2" t="s">
        <v>35</v>
      </c>
      <c r="W203" t="s">
        <v>36</v>
      </c>
      <c r="X203" s="2">
        <v>3.2250000000000001</v>
      </c>
      <c r="Y203" s="2">
        <v>0.57410000000000005</v>
      </c>
      <c r="Z203" t="s">
        <v>34</v>
      </c>
      <c r="AA203">
        <v>210</v>
      </c>
      <c r="AB203">
        <v>0</v>
      </c>
    </row>
    <row r="204" spans="1:29" x14ac:dyDescent="0.3">
      <c r="A204" t="s">
        <v>283</v>
      </c>
      <c r="B204" t="s">
        <v>38</v>
      </c>
      <c r="C204" s="7" t="s">
        <v>30</v>
      </c>
      <c r="D204" s="8">
        <v>21.6</v>
      </c>
      <c r="E204" s="9" t="s">
        <v>39</v>
      </c>
      <c r="F204" s="10" t="s">
        <v>54</v>
      </c>
      <c r="G204" s="11">
        <v>44453</v>
      </c>
      <c r="H204" s="11">
        <v>44476</v>
      </c>
      <c r="I204">
        <v>15</v>
      </c>
      <c r="J204" t="s">
        <v>43</v>
      </c>
      <c r="K204" t="s">
        <v>34</v>
      </c>
      <c r="L204" s="2" t="s">
        <v>44</v>
      </c>
      <c r="M204" t="s">
        <v>45</v>
      </c>
      <c r="N204" s="2">
        <v>3.5</v>
      </c>
      <c r="O204" s="5">
        <v>0.23960000000000001</v>
      </c>
      <c r="P204" t="s">
        <v>34</v>
      </c>
      <c r="Q204" t="s">
        <v>35</v>
      </c>
      <c r="R204" t="s">
        <v>36</v>
      </c>
      <c r="S204" s="2">
        <v>3.2109999999999999</v>
      </c>
      <c r="T204" s="2">
        <v>0.10150000000000001</v>
      </c>
      <c r="U204" t="s">
        <v>34</v>
      </c>
      <c r="V204" s="2">
        <v>95.959599999999995</v>
      </c>
      <c r="W204" t="s">
        <v>36</v>
      </c>
      <c r="X204" s="2">
        <v>3.226</v>
      </c>
      <c r="Y204" s="2">
        <v>9.0200000000000002E-2</v>
      </c>
      <c r="Z204" t="s">
        <v>34</v>
      </c>
      <c r="AA204" s="18">
        <v>182</v>
      </c>
      <c r="AB204" s="18">
        <v>1</v>
      </c>
      <c r="AC204" s="18"/>
    </row>
    <row r="205" spans="1:29" x14ac:dyDescent="0.3">
      <c r="A205" t="s">
        <v>284</v>
      </c>
      <c r="B205" t="s">
        <v>436</v>
      </c>
      <c r="C205" s="12" t="s">
        <v>34</v>
      </c>
      <c r="D205" s="8">
        <v>16.8</v>
      </c>
      <c r="E205" s="9" t="s">
        <v>39</v>
      </c>
      <c r="F205" s="10" t="s">
        <v>54</v>
      </c>
      <c r="G205" s="11">
        <v>44453</v>
      </c>
      <c r="H205" s="11">
        <v>44477</v>
      </c>
      <c r="I205">
        <v>12</v>
      </c>
      <c r="J205" t="s">
        <v>33</v>
      </c>
      <c r="K205" t="s">
        <v>34</v>
      </c>
      <c r="L205" s="2" t="s">
        <v>44</v>
      </c>
      <c r="M205" t="s">
        <v>45</v>
      </c>
      <c r="N205" s="2">
        <v>3.5</v>
      </c>
      <c r="O205" s="5">
        <v>0.1091</v>
      </c>
      <c r="P205" t="s">
        <v>34</v>
      </c>
      <c r="Q205" t="s">
        <v>44</v>
      </c>
      <c r="R205" t="s">
        <v>45</v>
      </c>
      <c r="S205" s="2">
        <v>3.5</v>
      </c>
      <c r="T205" s="2" t="s">
        <v>285</v>
      </c>
      <c r="U205" t="s">
        <v>36</v>
      </c>
      <c r="V205" s="2" t="s">
        <v>35</v>
      </c>
      <c r="W205" t="s">
        <v>36</v>
      </c>
      <c r="X205" s="2">
        <v>3.234</v>
      </c>
      <c r="Y205" s="2">
        <v>0.42359999999999998</v>
      </c>
      <c r="Z205" t="s">
        <v>34</v>
      </c>
      <c r="AA205">
        <v>210</v>
      </c>
      <c r="AB205">
        <v>0</v>
      </c>
    </row>
    <row r="206" spans="1:29" x14ac:dyDescent="0.3">
      <c r="A206" t="s">
        <v>286</v>
      </c>
      <c r="B206" t="s">
        <v>436</v>
      </c>
      <c r="C206" s="12" t="s">
        <v>34</v>
      </c>
      <c r="D206" s="8">
        <v>20.5</v>
      </c>
      <c r="E206" s="9" t="s">
        <v>39</v>
      </c>
      <c r="F206" s="10" t="s">
        <v>54</v>
      </c>
      <c r="G206" s="11">
        <v>44453</v>
      </c>
      <c r="H206" s="11">
        <v>44477</v>
      </c>
      <c r="I206">
        <v>12</v>
      </c>
      <c r="J206" t="s">
        <v>33</v>
      </c>
      <c r="K206" t="s">
        <v>34</v>
      </c>
      <c r="L206" s="2" t="s">
        <v>44</v>
      </c>
      <c r="M206" t="s">
        <v>45</v>
      </c>
      <c r="N206" s="2">
        <v>3.5</v>
      </c>
      <c r="O206" s="5">
        <v>0.3795</v>
      </c>
      <c r="P206" t="s">
        <v>34</v>
      </c>
      <c r="Q206" t="s">
        <v>44</v>
      </c>
      <c r="R206" t="s">
        <v>45</v>
      </c>
      <c r="S206" s="2">
        <v>3.3719999999999999</v>
      </c>
      <c r="T206" s="2">
        <v>6.532</v>
      </c>
      <c r="U206" t="s">
        <v>36</v>
      </c>
      <c r="V206" s="2">
        <v>80.679400000000001</v>
      </c>
      <c r="W206" t="s">
        <v>36</v>
      </c>
      <c r="X206" s="2">
        <v>3.2549999999999999</v>
      </c>
      <c r="Y206" s="2">
        <v>2.8780999999999999</v>
      </c>
      <c r="Z206" t="s">
        <v>36</v>
      </c>
    </row>
    <row r="207" spans="1:29" x14ac:dyDescent="0.3">
      <c r="A207" t="s">
        <v>287</v>
      </c>
      <c r="B207" t="s">
        <v>436</v>
      </c>
      <c r="C207" s="7" t="s">
        <v>49</v>
      </c>
      <c r="D207" s="8">
        <v>16.5</v>
      </c>
      <c r="E207" s="9" t="s">
        <v>39</v>
      </c>
      <c r="F207" s="10" t="s">
        <v>54</v>
      </c>
      <c r="G207" s="11">
        <v>44453</v>
      </c>
      <c r="H207" s="11">
        <v>44477</v>
      </c>
      <c r="I207">
        <v>12</v>
      </c>
      <c r="J207" t="s">
        <v>33</v>
      </c>
      <c r="K207" t="s">
        <v>34</v>
      </c>
      <c r="L207" s="2" t="s">
        <v>44</v>
      </c>
      <c r="M207" t="s">
        <v>45</v>
      </c>
      <c r="N207" s="2">
        <v>3.5</v>
      </c>
      <c r="O207" s="5">
        <v>1.7476</v>
      </c>
      <c r="P207" t="s">
        <v>36</v>
      </c>
      <c r="Q207" t="s">
        <v>44</v>
      </c>
      <c r="R207" t="s">
        <v>45</v>
      </c>
      <c r="S207" s="2">
        <v>2.81</v>
      </c>
      <c r="T207" s="2">
        <v>1.0873999999999999</v>
      </c>
      <c r="U207" t="s">
        <v>34</v>
      </c>
      <c r="V207" s="2" t="s">
        <v>44</v>
      </c>
      <c r="W207" t="s">
        <v>45</v>
      </c>
      <c r="X207" s="2">
        <v>3.2570000000000001</v>
      </c>
      <c r="Y207" s="2">
        <v>6.0620000000000003</v>
      </c>
      <c r="Z207" t="s">
        <v>36</v>
      </c>
      <c r="AA207">
        <v>210</v>
      </c>
      <c r="AB207">
        <v>0</v>
      </c>
    </row>
    <row r="208" spans="1:29" x14ac:dyDescent="0.3">
      <c r="A208" t="s">
        <v>288</v>
      </c>
      <c r="B208" t="s">
        <v>436</v>
      </c>
      <c r="C208" s="7" t="s">
        <v>49</v>
      </c>
      <c r="D208" s="8">
        <v>15.4</v>
      </c>
      <c r="E208" s="9" t="s">
        <v>39</v>
      </c>
      <c r="F208" s="10" t="s">
        <v>54</v>
      </c>
      <c r="G208" s="11">
        <v>44453</v>
      </c>
      <c r="H208" s="11">
        <v>44476</v>
      </c>
      <c r="I208">
        <v>12</v>
      </c>
      <c r="J208" t="s">
        <v>33</v>
      </c>
      <c r="K208" t="s">
        <v>34</v>
      </c>
      <c r="L208" s="2" t="s">
        <v>44</v>
      </c>
      <c r="M208" t="s">
        <v>45</v>
      </c>
      <c r="N208" s="2">
        <v>3.5</v>
      </c>
      <c r="O208" s="5">
        <v>1.5682</v>
      </c>
      <c r="P208" t="s">
        <v>36</v>
      </c>
      <c r="Q208" t="s">
        <v>35</v>
      </c>
      <c r="R208" t="s">
        <v>36</v>
      </c>
      <c r="S208" s="2">
        <v>3.5</v>
      </c>
      <c r="T208" s="2">
        <v>4.3192000000000004</v>
      </c>
      <c r="U208" t="s">
        <v>34</v>
      </c>
      <c r="V208" s="2">
        <v>38.280900000000003</v>
      </c>
      <c r="W208" t="s">
        <v>36</v>
      </c>
      <c r="X208" s="2">
        <v>3.2629999999999999</v>
      </c>
      <c r="Y208" s="2">
        <v>1.5741000000000001</v>
      </c>
      <c r="Z208" t="s">
        <v>36</v>
      </c>
    </row>
    <row r="209" spans="1:28" x14ac:dyDescent="0.3">
      <c r="A209" t="s">
        <v>289</v>
      </c>
      <c r="B209" t="s">
        <v>38</v>
      </c>
      <c r="C209" s="12" t="s">
        <v>30</v>
      </c>
      <c r="D209" s="8">
        <v>31.8</v>
      </c>
      <c r="E209" s="9" t="s">
        <v>47</v>
      </c>
      <c r="F209" s="10" t="s">
        <v>54</v>
      </c>
      <c r="G209" s="11">
        <v>44453</v>
      </c>
      <c r="H209" s="11">
        <v>44477</v>
      </c>
      <c r="I209">
        <v>12</v>
      </c>
      <c r="J209" t="s">
        <v>33</v>
      </c>
      <c r="K209" t="s">
        <v>36</v>
      </c>
      <c r="L209" s="2" t="s">
        <v>44</v>
      </c>
      <c r="M209" t="s">
        <v>45</v>
      </c>
      <c r="N209" s="2">
        <v>3.5</v>
      </c>
      <c r="O209" s="5">
        <v>0.30549999999999999</v>
      </c>
      <c r="P209" t="s">
        <v>34</v>
      </c>
      <c r="Q209">
        <v>2.2128000000000001</v>
      </c>
      <c r="R209" t="s">
        <v>34</v>
      </c>
      <c r="S209" s="2">
        <v>3.4590000000000001</v>
      </c>
      <c r="T209" s="2">
        <v>0.54300000000000004</v>
      </c>
      <c r="U209" t="s">
        <v>34</v>
      </c>
      <c r="V209" s="2">
        <v>2.7951999999999999</v>
      </c>
      <c r="W209" t="s">
        <v>34</v>
      </c>
      <c r="X209" s="2">
        <v>3.266</v>
      </c>
      <c r="Y209" s="2">
        <v>0.30120000000000002</v>
      </c>
      <c r="Z209" t="s">
        <v>34</v>
      </c>
    </row>
    <row r="210" spans="1:28" x14ac:dyDescent="0.3">
      <c r="A210" t="s">
        <v>290</v>
      </c>
      <c r="B210" t="s">
        <v>436</v>
      </c>
      <c r="C210" s="7" t="s">
        <v>30</v>
      </c>
      <c r="D210" s="8">
        <v>32.5</v>
      </c>
      <c r="E210" s="9" t="s">
        <v>47</v>
      </c>
      <c r="F210" s="10" t="s">
        <v>54</v>
      </c>
      <c r="G210" s="11">
        <v>44453</v>
      </c>
      <c r="H210" s="11">
        <v>44477</v>
      </c>
      <c r="I210">
        <v>11</v>
      </c>
      <c r="J210" t="s">
        <v>33</v>
      </c>
      <c r="K210" t="s">
        <v>34</v>
      </c>
      <c r="L210" s="2" t="s">
        <v>44</v>
      </c>
      <c r="M210" t="s">
        <v>45</v>
      </c>
      <c r="N210" s="2">
        <v>3.5</v>
      </c>
      <c r="O210" s="5">
        <v>0.81399999999999995</v>
      </c>
      <c r="P210" t="s">
        <v>34</v>
      </c>
      <c r="Q210" t="s">
        <v>35</v>
      </c>
      <c r="R210" t="s">
        <v>36</v>
      </c>
      <c r="S210" s="2">
        <v>3.5</v>
      </c>
      <c r="T210" s="2">
        <v>0.375</v>
      </c>
      <c r="U210" t="s">
        <v>34</v>
      </c>
      <c r="V210" s="2" t="s">
        <v>35</v>
      </c>
      <c r="W210" t="s">
        <v>36</v>
      </c>
      <c r="X210" s="2">
        <v>3.27</v>
      </c>
      <c r="Y210" s="2">
        <v>0.1638</v>
      </c>
      <c r="Z210" t="s">
        <v>34</v>
      </c>
      <c r="AA210">
        <v>210</v>
      </c>
      <c r="AB210">
        <v>0</v>
      </c>
    </row>
    <row r="211" spans="1:28" x14ac:dyDescent="0.3">
      <c r="A211" t="s">
        <v>291</v>
      </c>
      <c r="B211" t="s">
        <v>436</v>
      </c>
      <c r="C211" s="7" t="s">
        <v>34</v>
      </c>
      <c r="D211" s="8">
        <v>17.3</v>
      </c>
      <c r="E211" s="9" t="s">
        <v>39</v>
      </c>
      <c r="F211" s="10" t="s">
        <v>54</v>
      </c>
      <c r="G211" s="11">
        <v>44452</v>
      </c>
      <c r="H211" s="11">
        <v>44476</v>
      </c>
      <c r="I211">
        <v>15</v>
      </c>
      <c r="J211" t="s">
        <v>43</v>
      </c>
      <c r="K211" t="s">
        <v>34</v>
      </c>
      <c r="L211" s="2" t="s">
        <v>44</v>
      </c>
      <c r="M211" t="s">
        <v>45</v>
      </c>
      <c r="N211" s="2">
        <v>3.5</v>
      </c>
      <c r="O211" s="5">
        <v>6.4899999999999999E-2</v>
      </c>
      <c r="P211" t="s">
        <v>34</v>
      </c>
      <c r="Q211" t="s">
        <v>35</v>
      </c>
      <c r="R211" t="s">
        <v>36</v>
      </c>
      <c r="S211" s="2">
        <v>3.5</v>
      </c>
      <c r="T211" s="2">
        <v>1.2365999999999999</v>
      </c>
      <c r="U211" t="s">
        <v>36</v>
      </c>
      <c r="V211" s="2" t="s">
        <v>292</v>
      </c>
      <c r="W211" t="s">
        <v>36</v>
      </c>
      <c r="X211" s="2">
        <v>3.2709999999999999</v>
      </c>
      <c r="Y211" s="2">
        <v>4.5845000000000002</v>
      </c>
      <c r="Z211" t="s">
        <v>36</v>
      </c>
      <c r="AA211">
        <v>210</v>
      </c>
      <c r="AB211">
        <v>0</v>
      </c>
    </row>
    <row r="212" spans="1:28" x14ac:dyDescent="0.3">
      <c r="A212" t="s">
        <v>293</v>
      </c>
      <c r="B212" t="s">
        <v>436</v>
      </c>
      <c r="C212" s="12" t="s">
        <v>34</v>
      </c>
      <c r="D212" s="8">
        <v>15.6</v>
      </c>
      <c r="E212" s="9" t="s">
        <v>39</v>
      </c>
      <c r="F212" s="10" t="s">
        <v>54</v>
      </c>
      <c r="G212" s="11">
        <v>44453</v>
      </c>
      <c r="H212" s="11">
        <v>44477</v>
      </c>
      <c r="I212">
        <v>12</v>
      </c>
      <c r="J212" t="s">
        <v>33</v>
      </c>
      <c r="K212" t="s">
        <v>36</v>
      </c>
      <c r="L212" s="2" t="s">
        <v>44</v>
      </c>
      <c r="M212" t="s">
        <v>45</v>
      </c>
      <c r="N212" s="2">
        <v>3.5</v>
      </c>
      <c r="O212" s="5">
        <v>0.14319999999999999</v>
      </c>
      <c r="P212" t="s">
        <v>34</v>
      </c>
      <c r="Q212" t="s">
        <v>35</v>
      </c>
      <c r="R212" t="s">
        <v>36</v>
      </c>
      <c r="S212" s="2">
        <v>3.5</v>
      </c>
      <c r="T212" s="2">
        <v>9.2999999999999999E-2</v>
      </c>
      <c r="U212" t="s">
        <v>34</v>
      </c>
      <c r="V212" s="2" t="s">
        <v>35</v>
      </c>
      <c r="W212" t="s">
        <v>36</v>
      </c>
      <c r="X212" s="2">
        <v>3.2749999999999999</v>
      </c>
      <c r="Y212" s="2">
        <v>8.2600000000000007E-2</v>
      </c>
      <c r="Z212" t="s">
        <v>34</v>
      </c>
      <c r="AA212">
        <v>210</v>
      </c>
      <c r="AB212">
        <v>0</v>
      </c>
    </row>
    <row r="213" spans="1:28" x14ac:dyDescent="0.3">
      <c r="A213" t="s">
        <v>294</v>
      </c>
      <c r="B213" t="s">
        <v>436</v>
      </c>
      <c r="C213" s="7" t="s">
        <v>34</v>
      </c>
      <c r="D213" s="8">
        <v>21.2</v>
      </c>
      <c r="E213" s="9" t="s">
        <v>39</v>
      </c>
      <c r="F213" s="10" t="s">
        <v>54</v>
      </c>
      <c r="G213" s="11">
        <v>44453</v>
      </c>
      <c r="H213" s="11">
        <v>44477</v>
      </c>
      <c r="I213">
        <v>12</v>
      </c>
      <c r="J213" t="s">
        <v>33</v>
      </c>
      <c r="K213" t="s">
        <v>34</v>
      </c>
      <c r="L213" s="2" t="s">
        <v>44</v>
      </c>
      <c r="M213" t="s">
        <v>45</v>
      </c>
      <c r="N213" s="2">
        <v>3.5</v>
      </c>
      <c r="O213" s="5">
        <v>1.0033000000000001</v>
      </c>
      <c r="P213" t="s">
        <v>34</v>
      </c>
      <c r="Q213">
        <v>104.1315</v>
      </c>
      <c r="R213" t="s">
        <v>36</v>
      </c>
      <c r="S213" s="2">
        <v>3.5</v>
      </c>
      <c r="T213" s="2">
        <v>0.99550000000000005</v>
      </c>
      <c r="U213" t="s">
        <v>34</v>
      </c>
      <c r="V213" s="2" t="s">
        <v>35</v>
      </c>
      <c r="W213" t="s">
        <v>36</v>
      </c>
      <c r="X213" s="2">
        <v>3.2789999999999999</v>
      </c>
      <c r="Y213" s="2">
        <v>0.72929999999999995</v>
      </c>
      <c r="Z213" t="s">
        <v>34</v>
      </c>
      <c r="AA213">
        <v>92</v>
      </c>
      <c r="AB213">
        <v>1</v>
      </c>
    </row>
    <row r="214" spans="1:28" x14ac:dyDescent="0.3">
      <c r="A214" t="s">
        <v>295</v>
      </c>
      <c r="B214" t="s">
        <v>436</v>
      </c>
      <c r="C214" s="12" t="s">
        <v>30</v>
      </c>
      <c r="D214" s="8">
        <v>22.5</v>
      </c>
      <c r="E214" s="9" t="s">
        <v>31</v>
      </c>
      <c r="F214" s="10" t="s">
        <v>54</v>
      </c>
      <c r="G214" s="11">
        <v>44453</v>
      </c>
      <c r="H214" s="11">
        <v>44477</v>
      </c>
      <c r="I214">
        <v>11</v>
      </c>
      <c r="J214" t="s">
        <v>33</v>
      </c>
      <c r="K214" t="s">
        <v>36</v>
      </c>
      <c r="L214" s="2" t="s">
        <v>44</v>
      </c>
      <c r="M214" t="s">
        <v>45</v>
      </c>
      <c r="N214" s="2">
        <v>3.5</v>
      </c>
      <c r="O214" s="5">
        <v>0.61760000000000004</v>
      </c>
      <c r="P214" t="s">
        <v>34</v>
      </c>
      <c r="Q214" t="s">
        <v>35</v>
      </c>
      <c r="R214" t="s">
        <v>36</v>
      </c>
      <c r="S214" s="2">
        <v>3.5</v>
      </c>
      <c r="T214" s="2">
        <v>2.6821000000000002</v>
      </c>
      <c r="U214" t="s">
        <v>36</v>
      </c>
      <c r="V214" s="2" t="s">
        <v>35</v>
      </c>
      <c r="W214" t="s">
        <v>36</v>
      </c>
      <c r="X214" s="2">
        <v>3.2919999999999998</v>
      </c>
      <c r="Y214" s="2">
        <v>1.4734</v>
      </c>
      <c r="Z214" t="s">
        <v>36</v>
      </c>
      <c r="AA214">
        <v>210</v>
      </c>
      <c r="AB214">
        <v>0</v>
      </c>
    </row>
    <row r="215" spans="1:28" x14ac:dyDescent="0.3">
      <c r="A215" t="s">
        <v>296</v>
      </c>
      <c r="B215" t="s">
        <v>436</v>
      </c>
      <c r="C215" s="7" t="s">
        <v>34</v>
      </c>
      <c r="D215" s="8">
        <v>20.100000000000001</v>
      </c>
      <c r="E215" s="9" t="s">
        <v>39</v>
      </c>
      <c r="F215" s="10" t="s">
        <v>54</v>
      </c>
      <c r="G215" s="11">
        <v>44453</v>
      </c>
      <c r="H215" s="11">
        <v>44477</v>
      </c>
      <c r="I215">
        <v>15</v>
      </c>
      <c r="J215" t="s">
        <v>43</v>
      </c>
      <c r="K215" t="s">
        <v>34</v>
      </c>
      <c r="L215" s="2" t="s">
        <v>44</v>
      </c>
      <c r="M215" t="s">
        <v>45</v>
      </c>
      <c r="N215" s="2">
        <v>3.5</v>
      </c>
      <c r="O215" s="5">
        <v>8.2799999999999999E-2</v>
      </c>
      <c r="P215" t="s">
        <v>34</v>
      </c>
      <c r="Q215">
        <v>114.3424</v>
      </c>
      <c r="R215" t="s">
        <v>36</v>
      </c>
      <c r="S215" s="2">
        <v>3.5</v>
      </c>
      <c r="T215" s="2" t="s">
        <v>297</v>
      </c>
      <c r="U215" t="s">
        <v>34</v>
      </c>
      <c r="V215" s="2">
        <v>52.8065</v>
      </c>
      <c r="W215" t="s">
        <v>36</v>
      </c>
      <c r="X215" s="2">
        <v>3.2930000000000001</v>
      </c>
      <c r="Y215" s="2">
        <v>9.6000000000000002E-2</v>
      </c>
      <c r="Z215" t="s">
        <v>34</v>
      </c>
      <c r="AA215">
        <v>92</v>
      </c>
      <c r="AB215">
        <v>1</v>
      </c>
    </row>
    <row r="216" spans="1:28" x14ac:dyDescent="0.3">
      <c r="A216" t="s">
        <v>298</v>
      </c>
      <c r="B216" t="s">
        <v>436</v>
      </c>
      <c r="C216" s="12" t="s">
        <v>34</v>
      </c>
      <c r="D216" s="8">
        <v>19.3</v>
      </c>
      <c r="E216" s="9" t="s">
        <v>39</v>
      </c>
      <c r="F216" s="10" t="s">
        <v>54</v>
      </c>
      <c r="G216" s="11">
        <v>44453</v>
      </c>
      <c r="H216" s="11">
        <v>44477</v>
      </c>
      <c r="I216">
        <v>12</v>
      </c>
      <c r="J216" t="s">
        <v>33</v>
      </c>
      <c r="K216" t="s">
        <v>34</v>
      </c>
      <c r="L216" s="2" t="s">
        <v>44</v>
      </c>
      <c r="M216" t="s">
        <v>45</v>
      </c>
      <c r="N216" s="2">
        <v>3.5</v>
      </c>
      <c r="O216" s="2">
        <v>8.0299999999999996E-2</v>
      </c>
      <c r="P216" s="2" t="s">
        <v>34</v>
      </c>
      <c r="Q216" t="s">
        <v>44</v>
      </c>
      <c r="R216" t="s">
        <v>45</v>
      </c>
      <c r="S216" s="2">
        <v>3.5</v>
      </c>
      <c r="T216" s="2">
        <v>1.7645999999999999</v>
      </c>
      <c r="U216" t="s">
        <v>36</v>
      </c>
      <c r="V216" s="2" t="s">
        <v>44</v>
      </c>
      <c r="W216" t="s">
        <v>45</v>
      </c>
      <c r="X216" s="2">
        <v>3.294</v>
      </c>
      <c r="Y216" s="2" t="s">
        <v>299</v>
      </c>
      <c r="Z216" t="s">
        <v>36</v>
      </c>
      <c r="AA216">
        <v>210</v>
      </c>
      <c r="AB216">
        <v>0</v>
      </c>
    </row>
    <row r="217" spans="1:28" x14ac:dyDescent="0.3">
      <c r="A217" t="s">
        <v>300</v>
      </c>
      <c r="B217" t="s">
        <v>436</v>
      </c>
      <c r="C217" s="7" t="s">
        <v>34</v>
      </c>
      <c r="D217" s="8">
        <v>21.2</v>
      </c>
      <c r="E217" s="9" t="s">
        <v>39</v>
      </c>
      <c r="F217" s="10" t="s">
        <v>54</v>
      </c>
      <c r="G217" s="11">
        <v>44454</v>
      </c>
      <c r="H217" s="11">
        <v>44476</v>
      </c>
      <c r="I217">
        <v>15</v>
      </c>
      <c r="J217" t="s">
        <v>43</v>
      </c>
      <c r="K217" t="s">
        <v>36</v>
      </c>
      <c r="L217" s="2" t="s">
        <v>44</v>
      </c>
      <c r="M217" t="s">
        <v>45</v>
      </c>
      <c r="N217" s="2">
        <v>3.5</v>
      </c>
      <c r="O217" s="5">
        <v>2.9098999999999999</v>
      </c>
      <c r="P217" t="s">
        <v>36</v>
      </c>
      <c r="Q217" t="s">
        <v>35</v>
      </c>
      <c r="R217" t="s">
        <v>36</v>
      </c>
      <c r="S217" s="2">
        <v>3.206</v>
      </c>
      <c r="T217" s="2">
        <v>1.1325000000000001</v>
      </c>
      <c r="U217" t="s">
        <v>36</v>
      </c>
      <c r="V217" s="2" t="s">
        <v>35</v>
      </c>
      <c r="W217" t="s">
        <v>36</v>
      </c>
      <c r="X217" s="2">
        <v>3.2989999999999999</v>
      </c>
      <c r="Y217" s="2">
        <v>0.65159999999999996</v>
      </c>
      <c r="Z217" t="s">
        <v>34</v>
      </c>
      <c r="AA217">
        <v>210</v>
      </c>
      <c r="AB217">
        <v>0</v>
      </c>
    </row>
    <row r="218" spans="1:28" x14ac:dyDescent="0.3">
      <c r="A218" t="s">
        <v>301</v>
      </c>
      <c r="B218" t="s">
        <v>38</v>
      </c>
      <c r="C218" s="7" t="s">
        <v>49</v>
      </c>
      <c r="D218" s="8">
        <v>35.1</v>
      </c>
      <c r="E218" s="9" t="s">
        <v>47</v>
      </c>
      <c r="F218" s="10" t="s">
        <v>54</v>
      </c>
      <c r="G218" s="11">
        <v>44453</v>
      </c>
      <c r="H218" s="11">
        <v>44477</v>
      </c>
      <c r="I218">
        <v>12</v>
      </c>
      <c r="J218" t="s">
        <v>33</v>
      </c>
      <c r="K218" t="s">
        <v>34</v>
      </c>
      <c r="L218" s="2" t="s">
        <v>44</v>
      </c>
      <c r="M218" t="s">
        <v>45</v>
      </c>
      <c r="N218" s="2">
        <v>3.5</v>
      </c>
      <c r="O218" s="5">
        <v>3.1450999999999998</v>
      </c>
      <c r="P218" t="s">
        <v>36</v>
      </c>
      <c r="Q218" t="s">
        <v>35</v>
      </c>
      <c r="R218" t="s">
        <v>36</v>
      </c>
      <c r="S218" s="2">
        <v>3.4849999999999999</v>
      </c>
      <c r="T218" s="2">
        <v>2.2431000000000001</v>
      </c>
      <c r="U218" t="s">
        <v>36</v>
      </c>
      <c r="V218" s="2" t="s">
        <v>35</v>
      </c>
      <c r="W218" t="s">
        <v>36</v>
      </c>
      <c r="X218" s="2">
        <v>3.3010000000000002</v>
      </c>
      <c r="Y218" s="2">
        <v>1.627</v>
      </c>
      <c r="Z218" t="s">
        <v>36</v>
      </c>
      <c r="AA218">
        <v>210</v>
      </c>
      <c r="AB218">
        <v>0</v>
      </c>
    </row>
    <row r="219" spans="1:28" x14ac:dyDescent="0.3">
      <c r="A219" t="s">
        <v>302</v>
      </c>
      <c r="B219" t="s">
        <v>38</v>
      </c>
      <c r="C219" s="12" t="s">
        <v>34</v>
      </c>
      <c r="D219" s="8">
        <v>21.5</v>
      </c>
      <c r="E219" s="9" t="s">
        <v>39</v>
      </c>
      <c r="F219" s="10" t="s">
        <v>54</v>
      </c>
      <c r="G219" s="11">
        <v>44453</v>
      </c>
      <c r="H219" s="11">
        <v>44476</v>
      </c>
      <c r="I219">
        <v>15</v>
      </c>
      <c r="J219" t="s">
        <v>43</v>
      </c>
      <c r="K219" t="s">
        <v>34</v>
      </c>
      <c r="L219" s="2" t="s">
        <v>44</v>
      </c>
      <c r="M219" t="s">
        <v>45</v>
      </c>
      <c r="N219" s="2">
        <v>3.5</v>
      </c>
      <c r="O219" s="5">
        <v>0.40720000000000001</v>
      </c>
      <c r="P219" t="s">
        <v>34</v>
      </c>
      <c r="Q219" t="s">
        <v>35</v>
      </c>
      <c r="R219" t="s">
        <v>36</v>
      </c>
      <c r="S219" s="2">
        <v>3.444</v>
      </c>
      <c r="T219" s="2">
        <v>3.8071999999999999</v>
      </c>
      <c r="U219" t="s">
        <v>36</v>
      </c>
      <c r="V219" s="2" t="s">
        <v>35</v>
      </c>
      <c r="W219" t="s">
        <v>36</v>
      </c>
      <c r="X219" s="2">
        <v>3.3140000000000001</v>
      </c>
      <c r="Y219" s="2">
        <v>1.1302000000000001</v>
      </c>
      <c r="Z219" t="s">
        <v>36</v>
      </c>
      <c r="AA219">
        <v>210</v>
      </c>
      <c r="AB219">
        <v>0</v>
      </c>
    </row>
    <row r="220" spans="1:28" x14ac:dyDescent="0.3">
      <c r="A220" t="s">
        <v>303</v>
      </c>
      <c r="B220" t="s">
        <v>436</v>
      </c>
      <c r="C220" s="7" t="s">
        <v>30</v>
      </c>
      <c r="D220" s="8">
        <v>31.6</v>
      </c>
      <c r="E220" s="9" t="s">
        <v>47</v>
      </c>
      <c r="F220" s="10" t="s">
        <v>54</v>
      </c>
      <c r="G220" s="11">
        <v>44453</v>
      </c>
      <c r="H220" s="11">
        <v>44477</v>
      </c>
      <c r="I220">
        <v>12</v>
      </c>
      <c r="J220" t="s">
        <v>33</v>
      </c>
      <c r="K220" t="s">
        <v>34</v>
      </c>
      <c r="L220" s="2" t="s">
        <v>44</v>
      </c>
      <c r="M220" t="s">
        <v>45</v>
      </c>
      <c r="N220" s="2">
        <v>3.5</v>
      </c>
      <c r="O220" s="5">
        <v>2.2204999999999999</v>
      </c>
      <c r="P220" t="s">
        <v>36</v>
      </c>
      <c r="Q220" t="s">
        <v>35</v>
      </c>
      <c r="R220" t="s">
        <v>36</v>
      </c>
      <c r="S220" s="2">
        <v>3.4489999999999998</v>
      </c>
      <c r="T220" s="2">
        <v>6.4013</v>
      </c>
      <c r="U220" t="s">
        <v>36</v>
      </c>
      <c r="V220" s="2" t="s">
        <v>35</v>
      </c>
      <c r="W220" t="s">
        <v>36</v>
      </c>
      <c r="X220" s="2">
        <v>3.347</v>
      </c>
      <c r="Y220" s="2">
        <v>5.048</v>
      </c>
      <c r="Z220" t="s">
        <v>36</v>
      </c>
      <c r="AA220">
        <v>210</v>
      </c>
      <c r="AB220">
        <v>0</v>
      </c>
    </row>
    <row r="221" spans="1:28" x14ac:dyDescent="0.3">
      <c r="A221" t="s">
        <v>304</v>
      </c>
      <c r="B221" t="s">
        <v>38</v>
      </c>
      <c r="C221" s="7" t="s">
        <v>30</v>
      </c>
      <c r="D221" s="8">
        <v>18</v>
      </c>
      <c r="E221" s="9" t="s">
        <v>39</v>
      </c>
      <c r="F221" s="10" t="s">
        <v>54</v>
      </c>
      <c r="G221" s="11">
        <v>44453</v>
      </c>
      <c r="H221" s="11">
        <v>44477</v>
      </c>
      <c r="I221">
        <v>12</v>
      </c>
      <c r="J221" t="s">
        <v>33</v>
      </c>
      <c r="K221" t="s">
        <v>36</v>
      </c>
      <c r="L221" s="2" t="s">
        <v>44</v>
      </c>
      <c r="M221" t="s">
        <v>45</v>
      </c>
      <c r="N221" s="2">
        <v>3.5</v>
      </c>
      <c r="O221" s="5">
        <v>0.68340000000000001</v>
      </c>
      <c r="P221" t="s">
        <v>34</v>
      </c>
      <c r="Q221" t="s">
        <v>44</v>
      </c>
      <c r="R221" t="s">
        <v>45</v>
      </c>
      <c r="S221" s="2">
        <v>3.5</v>
      </c>
      <c r="T221" s="2">
        <v>2.9832000000000001</v>
      </c>
      <c r="U221" t="s">
        <v>36</v>
      </c>
      <c r="V221" s="2" t="s">
        <v>44</v>
      </c>
      <c r="W221" t="s">
        <v>45</v>
      </c>
      <c r="X221" s="2">
        <v>3.351</v>
      </c>
      <c r="Y221" s="2">
        <v>1.5427999999999999</v>
      </c>
      <c r="Z221" t="s">
        <v>36</v>
      </c>
      <c r="AA221">
        <v>210</v>
      </c>
      <c r="AB221">
        <v>0</v>
      </c>
    </row>
    <row r="222" spans="1:28" x14ac:dyDescent="0.3">
      <c r="A222" t="s">
        <v>305</v>
      </c>
      <c r="B222" t="s">
        <v>38</v>
      </c>
      <c r="C222" s="7" t="s">
        <v>34</v>
      </c>
      <c r="D222" s="8">
        <v>24.5</v>
      </c>
      <c r="E222" s="9" t="s">
        <v>31</v>
      </c>
      <c r="F222" s="10" t="s">
        <v>54</v>
      </c>
      <c r="G222" s="11">
        <v>44453</v>
      </c>
      <c r="H222" s="11">
        <v>44477</v>
      </c>
      <c r="I222">
        <v>12</v>
      </c>
      <c r="J222" t="s">
        <v>33</v>
      </c>
      <c r="K222" t="s">
        <v>34</v>
      </c>
      <c r="L222" s="2" t="s">
        <v>44</v>
      </c>
      <c r="M222" t="s">
        <v>45</v>
      </c>
      <c r="N222" s="2">
        <v>3.5</v>
      </c>
      <c r="O222" s="2" t="s">
        <v>306</v>
      </c>
      <c r="P222" s="2" t="s">
        <v>36</v>
      </c>
      <c r="Q222" t="s">
        <v>35</v>
      </c>
      <c r="R222" t="s">
        <v>36</v>
      </c>
      <c r="S222" s="2">
        <v>3.31</v>
      </c>
      <c r="T222" s="2">
        <v>0.87670000000000003</v>
      </c>
      <c r="U222" t="s">
        <v>34</v>
      </c>
      <c r="V222" t="s">
        <v>35</v>
      </c>
      <c r="W222" t="s">
        <v>36</v>
      </c>
      <c r="X222" s="2">
        <v>3.359</v>
      </c>
      <c r="Y222" s="2">
        <v>0.59299999999999997</v>
      </c>
      <c r="Z222" t="s">
        <v>34</v>
      </c>
      <c r="AA222">
        <v>210</v>
      </c>
      <c r="AB222">
        <v>0</v>
      </c>
    </row>
    <row r="223" spans="1:28" x14ac:dyDescent="0.3">
      <c r="A223" t="s">
        <v>307</v>
      </c>
      <c r="B223" t="s">
        <v>38</v>
      </c>
      <c r="C223" s="7" t="s">
        <v>34</v>
      </c>
      <c r="D223" s="8">
        <v>24.4</v>
      </c>
      <c r="E223" s="9" t="s">
        <v>31</v>
      </c>
      <c r="F223" s="10" t="s">
        <v>54</v>
      </c>
      <c r="G223" s="11">
        <v>44454</v>
      </c>
      <c r="H223" s="11">
        <v>44476</v>
      </c>
      <c r="I223">
        <v>15</v>
      </c>
      <c r="J223" t="s">
        <v>43</v>
      </c>
      <c r="K223" t="s">
        <v>36</v>
      </c>
      <c r="L223" s="2" t="s">
        <v>44</v>
      </c>
      <c r="M223" t="s">
        <v>45</v>
      </c>
      <c r="N223" s="2">
        <v>3.5</v>
      </c>
      <c r="O223" s="5">
        <v>0.15010000000000001</v>
      </c>
      <c r="P223" t="s">
        <v>34</v>
      </c>
      <c r="Q223" t="s">
        <v>44</v>
      </c>
      <c r="R223" t="s">
        <v>45</v>
      </c>
      <c r="S223" s="2">
        <v>3.4590000000000001</v>
      </c>
      <c r="T223" s="2">
        <v>0.71879999999999999</v>
      </c>
      <c r="U223" t="s">
        <v>34</v>
      </c>
      <c r="V223" s="2" t="s">
        <v>35</v>
      </c>
      <c r="W223" t="s">
        <v>36</v>
      </c>
      <c r="X223" s="2">
        <v>3.3690000000000002</v>
      </c>
      <c r="Y223" s="2">
        <v>0.25169999999999998</v>
      </c>
      <c r="Z223" t="s">
        <v>34</v>
      </c>
      <c r="AA223">
        <v>210</v>
      </c>
      <c r="AB223">
        <v>0</v>
      </c>
    </row>
    <row r="224" spans="1:28" x14ac:dyDescent="0.3">
      <c r="A224" t="s">
        <v>308</v>
      </c>
      <c r="B224" t="s">
        <v>38</v>
      </c>
      <c r="C224" s="7" t="s">
        <v>34</v>
      </c>
      <c r="D224" s="8">
        <v>18.100000000000001</v>
      </c>
      <c r="E224" s="9" t="s">
        <v>39</v>
      </c>
      <c r="F224" s="10" t="s">
        <v>54</v>
      </c>
      <c r="G224" s="11">
        <v>44453</v>
      </c>
      <c r="H224" s="11">
        <v>44477</v>
      </c>
      <c r="I224">
        <v>15</v>
      </c>
      <c r="J224" t="s">
        <v>43</v>
      </c>
      <c r="K224" t="s">
        <v>34</v>
      </c>
      <c r="L224" s="2" t="s">
        <v>44</v>
      </c>
      <c r="M224" t="s">
        <v>45</v>
      </c>
      <c r="N224" s="2">
        <v>3.5</v>
      </c>
      <c r="O224" s="5">
        <v>7.6399999999999996E-2</v>
      </c>
      <c r="P224" t="s">
        <v>34</v>
      </c>
      <c r="Q224" t="s">
        <v>44</v>
      </c>
      <c r="R224" t="s">
        <v>45</v>
      </c>
      <c r="S224" s="2">
        <v>3.5</v>
      </c>
      <c r="T224" s="2">
        <v>2.3744000000000001</v>
      </c>
      <c r="U224" t="s">
        <v>36</v>
      </c>
      <c r="V224" s="2" t="s">
        <v>35</v>
      </c>
      <c r="W224" t="s">
        <v>36</v>
      </c>
      <c r="X224" s="2">
        <v>3.3759999999999999</v>
      </c>
      <c r="Y224" s="2">
        <v>4.6284000000000001</v>
      </c>
      <c r="Z224" t="s">
        <v>36</v>
      </c>
      <c r="AA224">
        <v>210</v>
      </c>
      <c r="AB224">
        <v>0</v>
      </c>
    </row>
    <row r="225" spans="1:28" x14ac:dyDescent="0.3">
      <c r="A225" t="s">
        <v>309</v>
      </c>
      <c r="B225" t="s">
        <v>38</v>
      </c>
      <c r="C225" s="7" t="s">
        <v>30</v>
      </c>
      <c r="D225" s="8">
        <v>15.5</v>
      </c>
      <c r="E225" s="9" t="s">
        <v>39</v>
      </c>
      <c r="F225" s="10" t="s">
        <v>54</v>
      </c>
      <c r="G225" s="11">
        <v>44453</v>
      </c>
      <c r="H225" s="11">
        <v>44476</v>
      </c>
      <c r="I225">
        <v>12</v>
      </c>
      <c r="J225" t="s">
        <v>33</v>
      </c>
      <c r="K225" t="s">
        <v>36</v>
      </c>
      <c r="L225" s="2" t="s">
        <v>44</v>
      </c>
      <c r="M225" t="s">
        <v>45</v>
      </c>
      <c r="N225" s="2">
        <v>3.5</v>
      </c>
      <c r="O225" s="5">
        <v>1.4988999999999999</v>
      </c>
      <c r="P225" t="s">
        <v>36</v>
      </c>
      <c r="Q225" t="s">
        <v>35</v>
      </c>
      <c r="R225" t="s">
        <v>36</v>
      </c>
      <c r="S225" s="2">
        <v>2.9180000000000001</v>
      </c>
      <c r="T225" s="2">
        <v>0.76529999999999998</v>
      </c>
      <c r="U225" t="s">
        <v>34</v>
      </c>
      <c r="V225" s="2" t="s">
        <v>35</v>
      </c>
      <c r="W225" t="s">
        <v>36</v>
      </c>
      <c r="X225" s="2">
        <v>3.383</v>
      </c>
      <c r="Y225" s="2">
        <v>6.9623999999999997</v>
      </c>
      <c r="Z225" t="s">
        <v>36</v>
      </c>
      <c r="AA225">
        <v>210</v>
      </c>
      <c r="AB225">
        <v>0</v>
      </c>
    </row>
    <row r="226" spans="1:28" x14ac:dyDescent="0.3">
      <c r="A226" t="s">
        <v>310</v>
      </c>
      <c r="B226" t="s">
        <v>436</v>
      </c>
      <c r="C226" s="7" t="s">
        <v>30</v>
      </c>
      <c r="D226" s="8">
        <v>20.100000000000001</v>
      </c>
      <c r="E226" s="9" t="s">
        <v>39</v>
      </c>
      <c r="F226" s="10" t="s">
        <v>54</v>
      </c>
      <c r="G226" s="11">
        <v>44453</v>
      </c>
      <c r="H226" s="11">
        <v>44477</v>
      </c>
      <c r="I226">
        <v>14</v>
      </c>
      <c r="J226" t="s">
        <v>43</v>
      </c>
      <c r="K226" t="s">
        <v>34</v>
      </c>
      <c r="L226" s="2" t="s">
        <v>44</v>
      </c>
      <c r="M226" t="s">
        <v>45</v>
      </c>
      <c r="N226" s="2">
        <v>3.5</v>
      </c>
      <c r="O226" s="5">
        <v>0.46760000000000002</v>
      </c>
      <c r="P226" t="s">
        <v>34</v>
      </c>
      <c r="Q226" t="s">
        <v>35</v>
      </c>
      <c r="R226" t="s">
        <v>36</v>
      </c>
      <c r="S226" s="2">
        <v>3.3010000000000002</v>
      </c>
      <c r="T226" s="2">
        <v>6.7179000000000002</v>
      </c>
      <c r="U226" t="s">
        <v>36</v>
      </c>
      <c r="V226" s="2" t="s">
        <v>35</v>
      </c>
      <c r="W226" t="s">
        <v>36</v>
      </c>
      <c r="X226" s="2">
        <v>3.4</v>
      </c>
      <c r="Y226" s="2">
        <v>3.0731000000000002</v>
      </c>
      <c r="Z226" t="s">
        <v>36</v>
      </c>
      <c r="AA226">
        <v>210</v>
      </c>
      <c r="AB226">
        <v>0</v>
      </c>
    </row>
    <row r="227" spans="1:28" x14ac:dyDescent="0.3">
      <c r="A227" t="s">
        <v>311</v>
      </c>
      <c r="B227" t="s">
        <v>436</v>
      </c>
      <c r="C227" s="7" t="s">
        <v>30</v>
      </c>
      <c r="D227" s="8">
        <v>18.2</v>
      </c>
      <c r="E227" s="9" t="s">
        <v>39</v>
      </c>
      <c r="F227" s="10" t="s">
        <v>54</v>
      </c>
      <c r="G227" s="11">
        <v>44453</v>
      </c>
      <c r="H227" s="11">
        <v>44477</v>
      </c>
      <c r="I227">
        <v>12</v>
      </c>
      <c r="J227" t="s">
        <v>33</v>
      </c>
      <c r="K227" t="s">
        <v>34</v>
      </c>
      <c r="L227" s="2" t="s">
        <v>44</v>
      </c>
      <c r="M227" t="s">
        <v>45</v>
      </c>
      <c r="N227" s="2">
        <v>3.5</v>
      </c>
      <c r="O227" s="5">
        <v>1.2615000000000001</v>
      </c>
      <c r="P227" t="s">
        <v>36</v>
      </c>
      <c r="Q227" t="s">
        <v>35</v>
      </c>
      <c r="R227" t="s">
        <v>36</v>
      </c>
      <c r="S227" s="2">
        <v>3.5</v>
      </c>
      <c r="T227" s="2">
        <v>6.4702000000000002</v>
      </c>
      <c r="U227" t="s">
        <v>36</v>
      </c>
      <c r="V227" s="2">
        <v>107.0707</v>
      </c>
      <c r="W227" t="s">
        <v>36</v>
      </c>
      <c r="X227" s="2">
        <v>3.4049999999999998</v>
      </c>
      <c r="Y227" s="2">
        <v>3.7212999999999998</v>
      </c>
      <c r="Z227" t="s">
        <v>36</v>
      </c>
    </row>
    <row r="228" spans="1:28" x14ac:dyDescent="0.3">
      <c r="A228" t="s">
        <v>312</v>
      </c>
      <c r="B228" t="s">
        <v>38</v>
      </c>
      <c r="C228" s="7" t="s">
        <v>34</v>
      </c>
      <c r="D228" s="8">
        <v>15.6</v>
      </c>
      <c r="E228" s="9" t="s">
        <v>39</v>
      </c>
      <c r="F228" s="10" t="s">
        <v>54</v>
      </c>
      <c r="G228" s="11">
        <v>44453</v>
      </c>
      <c r="H228" s="11">
        <v>44477</v>
      </c>
      <c r="I228">
        <v>12</v>
      </c>
      <c r="J228" t="s">
        <v>33</v>
      </c>
      <c r="K228" t="s">
        <v>36</v>
      </c>
      <c r="L228" s="2" t="s">
        <v>44</v>
      </c>
      <c r="M228" t="s">
        <v>45</v>
      </c>
      <c r="N228" s="2">
        <v>3.5</v>
      </c>
      <c r="O228" s="5">
        <v>1.0168999999999999</v>
      </c>
      <c r="P228" t="s">
        <v>34</v>
      </c>
      <c r="Q228" t="s">
        <v>35</v>
      </c>
      <c r="R228" t="s">
        <v>36</v>
      </c>
      <c r="S228" s="2">
        <v>3.5</v>
      </c>
      <c r="T228" s="2">
        <v>5.9687999999999999</v>
      </c>
      <c r="U228" t="s">
        <v>36</v>
      </c>
      <c r="V228" s="2" t="s">
        <v>35</v>
      </c>
      <c r="W228" t="s">
        <v>36</v>
      </c>
      <c r="X228" s="2">
        <v>3.4129999999999998</v>
      </c>
      <c r="Y228" s="2">
        <v>2.0207000000000002</v>
      </c>
      <c r="Z228" t="s">
        <v>36</v>
      </c>
      <c r="AA228">
        <v>210</v>
      </c>
      <c r="AB228">
        <v>0</v>
      </c>
    </row>
    <row r="229" spans="1:28" x14ac:dyDescent="0.3">
      <c r="A229" t="s">
        <v>313</v>
      </c>
      <c r="B229" t="s">
        <v>436</v>
      </c>
      <c r="C229" s="7" t="s">
        <v>34</v>
      </c>
      <c r="D229" s="8">
        <v>21.2</v>
      </c>
      <c r="E229" s="9" t="s">
        <v>39</v>
      </c>
      <c r="F229" s="10" t="s">
        <v>54</v>
      </c>
      <c r="G229" s="11">
        <v>44453</v>
      </c>
      <c r="H229" s="11">
        <v>44477</v>
      </c>
      <c r="I229">
        <v>15</v>
      </c>
      <c r="J229" t="s">
        <v>43</v>
      </c>
      <c r="K229" t="s">
        <v>34</v>
      </c>
      <c r="L229" s="2" t="s">
        <v>44</v>
      </c>
      <c r="M229" t="s">
        <v>45</v>
      </c>
      <c r="N229" s="2">
        <v>3.5</v>
      </c>
      <c r="O229" s="5" t="s">
        <v>314</v>
      </c>
      <c r="P229" t="s">
        <v>34</v>
      </c>
      <c r="Q229" t="s">
        <v>44</v>
      </c>
      <c r="R229" t="s">
        <v>45</v>
      </c>
      <c r="S229" s="2">
        <v>3.355</v>
      </c>
      <c r="T229" s="2">
        <v>1.5642</v>
      </c>
      <c r="U229" t="s">
        <v>36</v>
      </c>
      <c r="V229" s="2" t="s">
        <v>35</v>
      </c>
      <c r="W229" t="s">
        <v>36</v>
      </c>
      <c r="X229" s="2">
        <v>3.4260000000000002</v>
      </c>
      <c r="Y229" s="2">
        <v>0.63880000000000003</v>
      </c>
      <c r="Z229" t="s">
        <v>34</v>
      </c>
      <c r="AA229">
        <v>210</v>
      </c>
      <c r="AB229">
        <v>0</v>
      </c>
    </row>
    <row r="230" spans="1:28" x14ac:dyDescent="0.3">
      <c r="A230" t="s">
        <v>315</v>
      </c>
      <c r="B230" t="s">
        <v>436</v>
      </c>
      <c r="C230" s="7" t="s">
        <v>34</v>
      </c>
      <c r="D230" s="8">
        <v>14.7</v>
      </c>
      <c r="E230" s="9" t="s">
        <v>41</v>
      </c>
      <c r="F230" s="10" t="s">
        <v>54</v>
      </c>
      <c r="G230" s="11">
        <v>44453</v>
      </c>
      <c r="H230" s="11">
        <v>44477</v>
      </c>
      <c r="I230">
        <v>12</v>
      </c>
      <c r="J230" t="s">
        <v>33</v>
      </c>
      <c r="K230" t="s">
        <v>34</v>
      </c>
      <c r="L230" s="2" t="s">
        <v>44</v>
      </c>
      <c r="M230" t="s">
        <v>45</v>
      </c>
      <c r="N230" s="2">
        <v>3.5</v>
      </c>
      <c r="O230" s="5">
        <v>2.7143000000000002</v>
      </c>
      <c r="P230" t="s">
        <v>36</v>
      </c>
      <c r="Q230" t="s">
        <v>35</v>
      </c>
      <c r="R230" t="s">
        <v>36</v>
      </c>
      <c r="S230" s="2">
        <v>3.5</v>
      </c>
      <c r="T230" s="2">
        <v>1.6424000000000001</v>
      </c>
      <c r="U230" t="s">
        <v>36</v>
      </c>
      <c r="V230" s="2" t="s">
        <v>35</v>
      </c>
      <c r="W230" t="s">
        <v>36</v>
      </c>
      <c r="X230" s="2">
        <v>3.4489999999999998</v>
      </c>
      <c r="Y230" s="2">
        <v>1.3320000000000001</v>
      </c>
      <c r="Z230" t="s">
        <v>36</v>
      </c>
      <c r="AA230">
        <v>210</v>
      </c>
      <c r="AB230">
        <v>0</v>
      </c>
    </row>
    <row r="231" spans="1:28" x14ac:dyDescent="0.3">
      <c r="A231" t="s">
        <v>316</v>
      </c>
      <c r="B231" t="s">
        <v>38</v>
      </c>
      <c r="C231" s="12" t="s">
        <v>34</v>
      </c>
      <c r="D231" s="8">
        <v>19.5</v>
      </c>
      <c r="E231" s="9" t="s">
        <v>39</v>
      </c>
      <c r="F231" s="10" t="s">
        <v>54</v>
      </c>
      <c r="G231" s="11">
        <v>44453</v>
      </c>
      <c r="H231" s="11">
        <v>44476</v>
      </c>
      <c r="I231">
        <v>15</v>
      </c>
      <c r="J231" t="s">
        <v>43</v>
      </c>
      <c r="K231" t="s">
        <v>36</v>
      </c>
      <c r="L231" s="2" t="s">
        <v>44</v>
      </c>
      <c r="M231" t="s">
        <v>45</v>
      </c>
      <c r="N231" s="2">
        <v>3.5</v>
      </c>
      <c r="O231" s="5">
        <v>0.71650000000000003</v>
      </c>
      <c r="P231" t="s">
        <v>34</v>
      </c>
      <c r="Q231" t="s">
        <v>44</v>
      </c>
      <c r="R231" t="s">
        <v>45</v>
      </c>
      <c r="S231" s="2">
        <v>3.3450000000000002</v>
      </c>
      <c r="T231" s="2">
        <v>2.8719999999999999</v>
      </c>
      <c r="U231" t="s">
        <v>36</v>
      </c>
      <c r="V231" s="2" t="s">
        <v>44</v>
      </c>
      <c r="W231" t="s">
        <v>45</v>
      </c>
      <c r="X231" s="2">
        <v>3.4580000000000002</v>
      </c>
      <c r="Y231" s="2">
        <v>1.5143</v>
      </c>
      <c r="Z231" t="s">
        <v>36</v>
      </c>
      <c r="AA231">
        <v>210</v>
      </c>
      <c r="AB231">
        <v>0</v>
      </c>
    </row>
    <row r="232" spans="1:28" x14ac:dyDescent="0.3">
      <c r="A232" t="s">
        <v>317</v>
      </c>
      <c r="B232" t="s">
        <v>436</v>
      </c>
      <c r="C232" s="7" t="s">
        <v>30</v>
      </c>
      <c r="D232" s="8">
        <v>18.100000000000001</v>
      </c>
      <c r="E232" s="9" t="s">
        <v>39</v>
      </c>
      <c r="F232" s="10" t="s">
        <v>54</v>
      </c>
      <c r="G232" s="11">
        <v>44453</v>
      </c>
      <c r="H232" s="11">
        <v>44489</v>
      </c>
      <c r="I232">
        <v>12</v>
      </c>
      <c r="J232" t="s">
        <v>33</v>
      </c>
      <c r="K232" t="s">
        <v>36</v>
      </c>
      <c r="L232" s="2" t="s">
        <v>44</v>
      </c>
      <c r="M232" t="s">
        <v>45</v>
      </c>
      <c r="N232" s="2">
        <v>3.5</v>
      </c>
      <c r="O232" s="5">
        <v>1.0725</v>
      </c>
      <c r="P232" t="s">
        <v>34</v>
      </c>
      <c r="Q232" t="s">
        <v>44</v>
      </c>
      <c r="R232" t="s">
        <v>45</v>
      </c>
      <c r="S232" s="2">
        <v>3.5</v>
      </c>
      <c r="T232" s="2">
        <v>7.1192000000000002</v>
      </c>
      <c r="U232" t="s">
        <v>36</v>
      </c>
      <c r="V232" s="2" t="s">
        <v>35</v>
      </c>
      <c r="W232" t="s">
        <v>36</v>
      </c>
      <c r="X232" s="2">
        <v>3.4580000000000002</v>
      </c>
      <c r="Y232" s="2">
        <v>3.7991999999999999</v>
      </c>
      <c r="Z232" t="s">
        <v>36</v>
      </c>
      <c r="AA232">
        <v>210</v>
      </c>
      <c r="AB232">
        <v>0</v>
      </c>
    </row>
    <row r="233" spans="1:28" x14ac:dyDescent="0.3">
      <c r="A233" t="s">
        <v>318</v>
      </c>
      <c r="B233" t="s">
        <v>436</v>
      </c>
      <c r="C233" s="7" t="s">
        <v>30</v>
      </c>
      <c r="D233" s="8">
        <v>17.5</v>
      </c>
      <c r="E233" s="9" t="s">
        <v>39</v>
      </c>
      <c r="F233" s="10" t="s">
        <v>54</v>
      </c>
      <c r="G233" s="11">
        <v>44453</v>
      </c>
      <c r="H233" s="11">
        <v>44477</v>
      </c>
      <c r="I233">
        <v>15</v>
      </c>
      <c r="J233" t="s">
        <v>43</v>
      </c>
      <c r="K233" t="s">
        <v>34</v>
      </c>
      <c r="L233" s="2" t="s">
        <v>44</v>
      </c>
      <c r="M233" t="s">
        <v>45</v>
      </c>
      <c r="N233" s="2">
        <v>3.5</v>
      </c>
      <c r="O233" s="5">
        <v>7.8600000000000003E-2</v>
      </c>
      <c r="P233" t="s">
        <v>34</v>
      </c>
      <c r="Q233" t="s">
        <v>35</v>
      </c>
      <c r="R233" t="s">
        <v>36</v>
      </c>
      <c r="S233" s="2">
        <v>3.5</v>
      </c>
      <c r="T233" s="2" t="s">
        <v>319</v>
      </c>
      <c r="U233" t="s">
        <v>36</v>
      </c>
      <c r="V233" s="2" t="s">
        <v>35</v>
      </c>
      <c r="W233" t="s">
        <v>36</v>
      </c>
      <c r="X233" s="2">
        <v>3.4590000000000001</v>
      </c>
      <c r="Y233" s="2">
        <v>2.8706</v>
      </c>
      <c r="Z233" t="s">
        <v>36</v>
      </c>
      <c r="AA233">
        <v>210</v>
      </c>
      <c r="AB233">
        <v>0</v>
      </c>
    </row>
    <row r="234" spans="1:28" x14ac:dyDescent="0.3">
      <c r="A234" t="s">
        <v>320</v>
      </c>
      <c r="B234" t="s">
        <v>38</v>
      </c>
      <c r="C234" s="7" t="s">
        <v>30</v>
      </c>
      <c r="D234" s="8">
        <v>15.7</v>
      </c>
      <c r="E234" s="9" t="s">
        <v>39</v>
      </c>
      <c r="F234" s="10" t="s">
        <v>54</v>
      </c>
      <c r="G234" s="11">
        <v>44453</v>
      </c>
      <c r="H234" s="11">
        <v>44491</v>
      </c>
      <c r="I234">
        <v>12</v>
      </c>
      <c r="J234" t="s">
        <v>33</v>
      </c>
      <c r="K234" t="s">
        <v>34</v>
      </c>
      <c r="L234" s="2" t="s">
        <v>44</v>
      </c>
      <c r="M234" t="s">
        <v>45</v>
      </c>
      <c r="N234" s="2">
        <v>3.5</v>
      </c>
      <c r="O234" s="5">
        <v>7.6399999999999996E-2</v>
      </c>
      <c r="P234" t="s">
        <v>34</v>
      </c>
      <c r="Q234">
        <v>0.57030000000000003</v>
      </c>
      <c r="R234" t="s">
        <v>34</v>
      </c>
      <c r="S234" s="2">
        <v>2.484</v>
      </c>
      <c r="T234" s="2">
        <v>8.4199999999999997E-2</v>
      </c>
      <c r="U234" t="s">
        <v>34</v>
      </c>
      <c r="V234" s="2">
        <v>0.50870000000000004</v>
      </c>
      <c r="W234" t="s">
        <v>34</v>
      </c>
      <c r="X234" s="2">
        <v>3.4660000000000002</v>
      </c>
      <c r="Y234" s="2">
        <v>6.4699999999999994E-2</v>
      </c>
      <c r="Z234" t="s">
        <v>34</v>
      </c>
    </row>
    <row r="235" spans="1:28" x14ac:dyDescent="0.3">
      <c r="A235" t="s">
        <v>321</v>
      </c>
      <c r="B235" t="s">
        <v>38</v>
      </c>
      <c r="C235" s="12" t="s">
        <v>34</v>
      </c>
      <c r="D235" s="8">
        <v>23.5</v>
      </c>
      <c r="E235" s="9" t="s">
        <v>31</v>
      </c>
      <c r="F235" s="10" t="s">
        <v>54</v>
      </c>
      <c r="G235" s="11">
        <v>44453</v>
      </c>
      <c r="H235" s="11">
        <v>44476</v>
      </c>
      <c r="I235">
        <v>12</v>
      </c>
      <c r="J235" t="s">
        <v>33</v>
      </c>
      <c r="K235" t="s">
        <v>34</v>
      </c>
      <c r="L235" s="2" t="s">
        <v>44</v>
      </c>
      <c r="M235" t="s">
        <v>45</v>
      </c>
      <c r="N235" s="2">
        <v>3.5</v>
      </c>
      <c r="O235" s="5">
        <v>0.15440000000000001</v>
      </c>
      <c r="P235" t="s">
        <v>34</v>
      </c>
      <c r="Q235" t="s">
        <v>44</v>
      </c>
      <c r="R235" t="s">
        <v>45</v>
      </c>
      <c r="S235" s="2">
        <v>3.5</v>
      </c>
      <c r="T235" s="2">
        <v>1.4715</v>
      </c>
      <c r="U235" t="s">
        <v>36</v>
      </c>
      <c r="V235" s="2" t="s">
        <v>35</v>
      </c>
      <c r="W235" t="s">
        <v>36</v>
      </c>
      <c r="X235" s="2">
        <v>3.4710000000000001</v>
      </c>
      <c r="Y235" s="2">
        <v>0.70760000000000001</v>
      </c>
      <c r="Z235" t="s">
        <v>34</v>
      </c>
      <c r="AA235">
        <v>210</v>
      </c>
      <c r="AB235">
        <v>0</v>
      </c>
    </row>
    <row r="236" spans="1:28" x14ac:dyDescent="0.3">
      <c r="A236" t="s">
        <v>322</v>
      </c>
      <c r="B236" t="s">
        <v>436</v>
      </c>
      <c r="C236" s="7" t="s">
        <v>49</v>
      </c>
      <c r="D236" s="8">
        <v>20.2</v>
      </c>
      <c r="E236" s="9" t="s">
        <v>39</v>
      </c>
      <c r="F236" s="10" t="s">
        <v>54</v>
      </c>
      <c r="G236" s="11">
        <v>44454</v>
      </c>
      <c r="H236" s="11">
        <v>44477</v>
      </c>
      <c r="I236">
        <v>12</v>
      </c>
      <c r="J236" t="s">
        <v>33</v>
      </c>
      <c r="K236" t="s">
        <v>34</v>
      </c>
      <c r="L236" s="2" t="s">
        <v>44</v>
      </c>
      <c r="M236" t="s">
        <v>45</v>
      </c>
      <c r="N236" s="2">
        <v>3.5</v>
      </c>
      <c r="O236" s="5">
        <v>1.6765000000000001</v>
      </c>
      <c r="P236" t="s">
        <v>36</v>
      </c>
      <c r="Q236" t="s">
        <v>35</v>
      </c>
      <c r="R236" t="s">
        <v>36</v>
      </c>
      <c r="S236" s="2">
        <v>2.9790000000000001</v>
      </c>
      <c r="T236" s="2">
        <v>5.2031000000000001</v>
      </c>
      <c r="U236" t="s">
        <v>34</v>
      </c>
      <c r="V236" s="2" t="s">
        <v>35</v>
      </c>
      <c r="W236" t="s">
        <v>36</v>
      </c>
      <c r="X236" s="2">
        <v>3.472</v>
      </c>
      <c r="Y236" s="2">
        <v>2.1172</v>
      </c>
      <c r="Z236" t="s">
        <v>36</v>
      </c>
      <c r="AA236">
        <v>210</v>
      </c>
      <c r="AB236">
        <v>0</v>
      </c>
    </row>
    <row r="237" spans="1:28" x14ac:dyDescent="0.3">
      <c r="A237" t="s">
        <v>323</v>
      </c>
      <c r="B237" t="s">
        <v>436</v>
      </c>
      <c r="C237" s="7" t="s">
        <v>34</v>
      </c>
      <c r="D237" s="8">
        <v>26.5</v>
      </c>
      <c r="E237" s="9" t="s">
        <v>31</v>
      </c>
      <c r="F237" s="10" t="s">
        <v>54</v>
      </c>
      <c r="G237" s="11">
        <v>44453</v>
      </c>
      <c r="H237" s="11">
        <v>44477</v>
      </c>
      <c r="I237">
        <v>15</v>
      </c>
      <c r="J237" t="s">
        <v>43</v>
      </c>
      <c r="K237" t="s">
        <v>34</v>
      </c>
      <c r="L237" s="2" t="s">
        <v>44</v>
      </c>
      <c r="M237" t="s">
        <v>45</v>
      </c>
      <c r="N237" s="2">
        <v>3.5</v>
      </c>
      <c r="O237" s="5">
        <v>0.11409999999999999</v>
      </c>
      <c r="P237" t="s">
        <v>34</v>
      </c>
      <c r="Q237">
        <v>31.6221</v>
      </c>
      <c r="R237" t="s">
        <v>36</v>
      </c>
      <c r="S237" s="2">
        <v>3.5</v>
      </c>
      <c r="T237" s="2">
        <v>1.8611</v>
      </c>
      <c r="U237" t="s">
        <v>36</v>
      </c>
      <c r="V237" s="2">
        <v>17.804200000000002</v>
      </c>
      <c r="W237" t="s">
        <v>36</v>
      </c>
      <c r="X237" s="2">
        <v>3.472</v>
      </c>
      <c r="Y237" s="2">
        <v>0.49480000000000002</v>
      </c>
      <c r="Z237" t="s">
        <v>34</v>
      </c>
    </row>
    <row r="238" spans="1:28" x14ac:dyDescent="0.3">
      <c r="A238" t="s">
        <v>324</v>
      </c>
      <c r="B238" t="s">
        <v>436</v>
      </c>
      <c r="C238" s="12" t="s">
        <v>34</v>
      </c>
      <c r="D238" s="8">
        <v>17.100000000000001</v>
      </c>
      <c r="E238" s="9" t="s">
        <v>39</v>
      </c>
      <c r="F238" s="10" t="s">
        <v>54</v>
      </c>
      <c r="G238" s="11">
        <v>44453</v>
      </c>
      <c r="H238" s="11">
        <v>44476</v>
      </c>
      <c r="I238">
        <v>15</v>
      </c>
      <c r="J238" t="s">
        <v>43</v>
      </c>
      <c r="K238" t="s">
        <v>34</v>
      </c>
      <c r="L238" s="2" t="s">
        <v>44</v>
      </c>
      <c r="M238" t="s">
        <v>45</v>
      </c>
      <c r="N238" s="2">
        <v>3.5</v>
      </c>
      <c r="O238" s="5">
        <v>7.17E-2</v>
      </c>
      <c r="P238" t="s">
        <v>34</v>
      </c>
      <c r="Q238" t="s">
        <v>44</v>
      </c>
      <c r="R238" t="s">
        <v>45</v>
      </c>
      <c r="S238" s="2">
        <v>3.5</v>
      </c>
      <c r="T238" s="2">
        <v>2.0897000000000001</v>
      </c>
      <c r="U238" t="s">
        <v>36</v>
      </c>
      <c r="V238" s="2" t="s">
        <v>44</v>
      </c>
      <c r="W238" t="s">
        <v>45</v>
      </c>
      <c r="X238" s="2">
        <v>3.4750000000000001</v>
      </c>
      <c r="Y238" s="2">
        <v>4.9916999999999998</v>
      </c>
      <c r="Z238" t="s">
        <v>36</v>
      </c>
      <c r="AA238">
        <v>210</v>
      </c>
      <c r="AB238">
        <v>0</v>
      </c>
    </row>
    <row r="239" spans="1:28" x14ac:dyDescent="0.3">
      <c r="A239" t="s">
        <v>325</v>
      </c>
      <c r="B239" t="s">
        <v>436</v>
      </c>
      <c r="C239" s="7" t="s">
        <v>34</v>
      </c>
      <c r="D239" s="8">
        <v>26.4</v>
      </c>
      <c r="E239" s="9" t="s">
        <v>47</v>
      </c>
      <c r="F239" s="10" t="s">
        <v>54</v>
      </c>
      <c r="G239" s="11">
        <v>44453</v>
      </c>
      <c r="H239" s="11">
        <v>44477</v>
      </c>
      <c r="I239">
        <v>12</v>
      </c>
      <c r="J239" t="s">
        <v>33</v>
      </c>
      <c r="K239" t="s">
        <v>34</v>
      </c>
      <c r="L239" s="2" t="s">
        <v>44</v>
      </c>
      <c r="M239" t="s">
        <v>45</v>
      </c>
      <c r="N239" s="2">
        <v>3.5</v>
      </c>
      <c r="O239" s="5">
        <v>0.62229999999999996</v>
      </c>
      <c r="P239" t="s">
        <v>34</v>
      </c>
      <c r="Q239" t="s">
        <v>35</v>
      </c>
      <c r="R239" t="s">
        <v>36</v>
      </c>
      <c r="S239" s="2">
        <v>3.5</v>
      </c>
      <c r="T239" s="2">
        <v>6.4926000000000004</v>
      </c>
      <c r="U239" t="s">
        <v>36</v>
      </c>
      <c r="V239" s="2" t="s">
        <v>35</v>
      </c>
      <c r="W239" t="s">
        <v>36</v>
      </c>
      <c r="X239" s="2">
        <v>3.476</v>
      </c>
      <c r="Y239" s="2">
        <v>2.0312999999999999</v>
      </c>
      <c r="Z239" t="s">
        <v>36</v>
      </c>
      <c r="AA239">
        <v>210</v>
      </c>
      <c r="AB239">
        <v>0</v>
      </c>
    </row>
    <row r="240" spans="1:28" x14ac:dyDescent="0.3">
      <c r="A240" t="s">
        <v>326</v>
      </c>
      <c r="B240" t="s">
        <v>436</v>
      </c>
      <c r="C240" s="7" t="s">
        <v>34</v>
      </c>
      <c r="D240" s="8">
        <v>17.899999999999999</v>
      </c>
      <c r="E240" s="9" t="s">
        <v>39</v>
      </c>
      <c r="F240" s="10" t="s">
        <v>54</v>
      </c>
      <c r="G240" s="11">
        <v>44454</v>
      </c>
      <c r="H240" s="11">
        <v>44476</v>
      </c>
      <c r="I240">
        <v>15</v>
      </c>
      <c r="J240" t="s">
        <v>43</v>
      </c>
      <c r="K240" t="s">
        <v>34</v>
      </c>
      <c r="L240" s="2" t="s">
        <v>44</v>
      </c>
      <c r="M240" t="s">
        <v>45</v>
      </c>
      <c r="N240" s="2">
        <v>3.5</v>
      </c>
      <c r="O240" s="5">
        <v>0.19020000000000001</v>
      </c>
      <c r="P240" t="s">
        <v>34</v>
      </c>
      <c r="Q240" t="s">
        <v>35</v>
      </c>
      <c r="R240" t="s">
        <v>36</v>
      </c>
      <c r="S240" s="2">
        <v>3.5</v>
      </c>
      <c r="T240" s="2">
        <v>0.22989999999999999</v>
      </c>
      <c r="U240" t="s">
        <v>34</v>
      </c>
      <c r="V240" s="2" t="s">
        <v>44</v>
      </c>
      <c r="W240" t="s">
        <v>45</v>
      </c>
      <c r="X240" s="2">
        <v>3.476</v>
      </c>
      <c r="Y240" s="2">
        <v>0.83450000000000002</v>
      </c>
      <c r="Z240" t="s">
        <v>34</v>
      </c>
      <c r="AA240">
        <v>210</v>
      </c>
      <c r="AB240">
        <v>0</v>
      </c>
    </row>
    <row r="241" spans="1:1024" x14ac:dyDescent="0.3">
      <c r="A241" t="s">
        <v>327</v>
      </c>
      <c r="B241" t="s">
        <v>436</v>
      </c>
      <c r="C241" s="7" t="s">
        <v>34</v>
      </c>
      <c r="D241" s="8">
        <v>22</v>
      </c>
      <c r="E241" s="9" t="s">
        <v>39</v>
      </c>
      <c r="F241" s="10" t="s">
        <v>54</v>
      </c>
      <c r="G241" s="11">
        <v>44453</v>
      </c>
      <c r="H241" s="11">
        <v>44476</v>
      </c>
      <c r="I241">
        <v>15</v>
      </c>
      <c r="J241" t="s">
        <v>43</v>
      </c>
      <c r="K241" t="s">
        <v>34</v>
      </c>
      <c r="L241" s="2" t="s">
        <v>44</v>
      </c>
      <c r="M241" t="s">
        <v>45</v>
      </c>
      <c r="N241" s="2">
        <v>3.5</v>
      </c>
      <c r="O241" s="5">
        <v>1.4410000000000001</v>
      </c>
      <c r="P241" t="s">
        <v>36</v>
      </c>
      <c r="Q241" t="s">
        <v>44</v>
      </c>
      <c r="R241" t="s">
        <v>45</v>
      </c>
      <c r="S241" s="2">
        <v>3.4580000000000002</v>
      </c>
      <c r="T241" s="2">
        <v>4.4695</v>
      </c>
      <c r="U241" t="s">
        <v>36</v>
      </c>
      <c r="V241" s="2" t="s">
        <v>35</v>
      </c>
      <c r="W241" t="s">
        <v>36</v>
      </c>
      <c r="X241" s="2">
        <v>3.4769999999999999</v>
      </c>
      <c r="Y241" s="2">
        <v>2.2944</v>
      </c>
      <c r="Z241" t="s">
        <v>36</v>
      </c>
      <c r="AA241">
        <v>210</v>
      </c>
      <c r="AB241">
        <v>0</v>
      </c>
    </row>
    <row r="242" spans="1:1024" x14ac:dyDescent="0.3">
      <c r="A242" t="s">
        <v>328</v>
      </c>
      <c r="B242" t="s">
        <v>38</v>
      </c>
      <c r="C242" s="7" t="s">
        <v>49</v>
      </c>
      <c r="D242" s="8">
        <v>33.5</v>
      </c>
      <c r="E242" s="9" t="s">
        <v>47</v>
      </c>
      <c r="F242" s="10" t="s">
        <v>54</v>
      </c>
      <c r="G242" s="11">
        <v>44454</v>
      </c>
      <c r="H242" s="11">
        <v>44476</v>
      </c>
      <c r="I242">
        <v>15</v>
      </c>
      <c r="J242" t="s">
        <v>43</v>
      </c>
      <c r="K242" t="s">
        <v>36</v>
      </c>
      <c r="L242" s="2" t="s">
        <v>44</v>
      </c>
      <c r="M242" t="s">
        <v>45</v>
      </c>
      <c r="N242" s="2">
        <v>3.5</v>
      </c>
      <c r="O242" s="5">
        <v>0.67789999999999995</v>
      </c>
      <c r="P242" t="s">
        <v>34</v>
      </c>
      <c r="Q242" t="s">
        <v>35</v>
      </c>
      <c r="R242" t="s">
        <v>36</v>
      </c>
      <c r="S242" s="2">
        <v>3.5</v>
      </c>
      <c r="T242" s="2">
        <v>0.34379999999999999</v>
      </c>
      <c r="U242" t="s">
        <v>34</v>
      </c>
      <c r="V242" s="2" t="s">
        <v>35</v>
      </c>
      <c r="W242" t="s">
        <v>36</v>
      </c>
      <c r="X242" s="2">
        <v>3.4780000000000002</v>
      </c>
      <c r="Y242" s="2">
        <v>5.0396999999999998</v>
      </c>
      <c r="Z242" t="s">
        <v>36</v>
      </c>
      <c r="AA242">
        <v>210</v>
      </c>
      <c r="AB242">
        <v>0</v>
      </c>
    </row>
    <row r="243" spans="1:1024" x14ac:dyDescent="0.3">
      <c r="A243" t="s">
        <v>329</v>
      </c>
      <c r="B243" t="s">
        <v>38</v>
      </c>
      <c r="C243" s="12" t="s">
        <v>30</v>
      </c>
      <c r="D243" s="8">
        <v>18.7</v>
      </c>
      <c r="E243" s="9" t="s">
        <v>39</v>
      </c>
      <c r="F243" s="10" t="s">
        <v>54</v>
      </c>
      <c r="G243" s="11">
        <v>44453</v>
      </c>
      <c r="H243" s="11">
        <v>44477</v>
      </c>
      <c r="I243">
        <v>12</v>
      </c>
      <c r="J243" t="s">
        <v>33</v>
      </c>
      <c r="K243" t="s">
        <v>34</v>
      </c>
      <c r="L243" s="2" t="s">
        <v>44</v>
      </c>
      <c r="M243" t="s">
        <v>45</v>
      </c>
      <c r="N243" s="2">
        <v>3.5</v>
      </c>
      <c r="O243" s="5">
        <v>6.8400000000000002E-2</v>
      </c>
      <c r="P243" t="s">
        <v>34</v>
      </c>
      <c r="Q243" t="s">
        <v>35</v>
      </c>
      <c r="R243" t="s">
        <v>36</v>
      </c>
      <c r="S243" s="2">
        <v>3.5</v>
      </c>
      <c r="T243" s="2">
        <v>4.2534000000000001</v>
      </c>
      <c r="U243" t="s">
        <v>36</v>
      </c>
      <c r="V243" t="s">
        <v>44</v>
      </c>
      <c r="W243" t="s">
        <v>45</v>
      </c>
      <c r="X243" s="2">
        <v>3.4870000000000001</v>
      </c>
      <c r="Y243" s="2">
        <v>1.3326</v>
      </c>
      <c r="Z243" t="s">
        <v>36</v>
      </c>
      <c r="AA243">
        <v>210</v>
      </c>
      <c r="AB243">
        <v>0</v>
      </c>
    </row>
    <row r="244" spans="1:1024" s="18" customFormat="1" x14ac:dyDescent="0.3">
      <c r="A244" s="18" t="s">
        <v>330</v>
      </c>
      <c r="B244" t="s">
        <v>436</v>
      </c>
      <c r="C244" s="7" t="s">
        <v>30</v>
      </c>
      <c r="D244" s="8">
        <v>20.6</v>
      </c>
      <c r="E244" s="9" t="s">
        <v>39</v>
      </c>
      <c r="F244" s="10" t="s">
        <v>54</v>
      </c>
      <c r="G244" s="11">
        <v>44453</v>
      </c>
      <c r="H244" s="11">
        <v>44477</v>
      </c>
      <c r="I244" s="18">
        <v>12</v>
      </c>
      <c r="J244" s="18" t="s">
        <v>33</v>
      </c>
      <c r="K244" s="18" t="s">
        <v>34</v>
      </c>
      <c r="L244" s="2" t="s">
        <v>44</v>
      </c>
      <c r="M244" s="18" t="s">
        <v>45</v>
      </c>
      <c r="N244" s="2">
        <v>3.5</v>
      </c>
      <c r="O244" s="5">
        <v>0.56379999999999997</v>
      </c>
      <c r="P244" s="18" t="s">
        <v>34</v>
      </c>
      <c r="Q244" s="18" t="s">
        <v>44</v>
      </c>
      <c r="R244" s="18" t="s">
        <v>45</v>
      </c>
      <c r="S244" s="2">
        <v>3.5</v>
      </c>
      <c r="T244" s="2">
        <v>1.5116000000000001</v>
      </c>
      <c r="U244" s="18" t="s">
        <v>36</v>
      </c>
      <c r="V244" s="2" t="s">
        <v>35</v>
      </c>
      <c r="W244" s="18" t="s">
        <v>36</v>
      </c>
      <c r="X244" s="2">
        <v>3.4870000000000001</v>
      </c>
      <c r="Y244" s="2">
        <v>1.0402</v>
      </c>
      <c r="Z244" s="18" t="s">
        <v>34</v>
      </c>
      <c r="AMH244"/>
      <c r="AMI244"/>
      <c r="AMJ244"/>
    </row>
    <row r="245" spans="1:1024" x14ac:dyDescent="0.3">
      <c r="A245" t="s">
        <v>331</v>
      </c>
      <c r="B245" t="s">
        <v>436</v>
      </c>
      <c r="C245" s="7" t="s">
        <v>34</v>
      </c>
      <c r="D245" s="8">
        <v>34.799999999999997</v>
      </c>
      <c r="E245" s="9" t="s">
        <v>47</v>
      </c>
      <c r="F245" s="10" t="s">
        <v>54</v>
      </c>
      <c r="G245" s="11">
        <v>44458</v>
      </c>
      <c r="H245" s="11">
        <v>44477</v>
      </c>
      <c r="I245">
        <v>15</v>
      </c>
      <c r="J245" t="s">
        <v>43</v>
      </c>
      <c r="K245" t="s">
        <v>36</v>
      </c>
      <c r="L245" s="2" t="s">
        <v>35</v>
      </c>
      <c r="M245" t="s">
        <v>36</v>
      </c>
      <c r="N245" s="2">
        <v>3.5</v>
      </c>
      <c r="O245" s="5">
        <v>0.31990000000000002</v>
      </c>
      <c r="P245" t="s">
        <v>34</v>
      </c>
      <c r="Q245">
        <v>5.7950999999999997</v>
      </c>
      <c r="R245" t="s">
        <v>34</v>
      </c>
      <c r="S245" s="2">
        <v>3.5</v>
      </c>
      <c r="T245" s="2" t="s">
        <v>332</v>
      </c>
      <c r="U245" t="s">
        <v>36</v>
      </c>
      <c r="V245" s="2">
        <v>4.2213000000000003</v>
      </c>
      <c r="W245" t="s">
        <v>34</v>
      </c>
      <c r="X245" s="2">
        <v>3.4929999999999999</v>
      </c>
      <c r="Y245" s="2">
        <v>0.85709999999999997</v>
      </c>
      <c r="Z245" t="s">
        <v>34</v>
      </c>
    </row>
    <row r="246" spans="1:1024" x14ac:dyDescent="0.3">
      <c r="A246" t="s">
        <v>333</v>
      </c>
      <c r="B246" t="s">
        <v>436</v>
      </c>
      <c r="C246" s="12" t="s">
        <v>49</v>
      </c>
      <c r="D246" s="8">
        <v>21.1</v>
      </c>
      <c r="E246" s="9" t="s">
        <v>39</v>
      </c>
      <c r="F246" s="10" t="s">
        <v>54</v>
      </c>
      <c r="G246" s="11">
        <v>44453</v>
      </c>
      <c r="H246" s="11">
        <v>44476</v>
      </c>
      <c r="I246">
        <v>12</v>
      </c>
      <c r="J246" t="s">
        <v>33</v>
      </c>
      <c r="K246" t="s">
        <v>34</v>
      </c>
      <c r="L246" s="2" t="s">
        <v>44</v>
      </c>
      <c r="M246" t="s">
        <v>45</v>
      </c>
      <c r="N246" s="2">
        <v>3.5</v>
      </c>
      <c r="O246" s="5">
        <v>9.8400000000000001E-2</v>
      </c>
      <c r="P246" t="s">
        <v>34</v>
      </c>
      <c r="Q246" t="s">
        <v>44</v>
      </c>
      <c r="R246" t="s">
        <v>45</v>
      </c>
      <c r="S246" s="2">
        <v>0.69899999999999995</v>
      </c>
      <c r="T246" s="2">
        <v>2.6320999999999999</v>
      </c>
      <c r="U246" t="s">
        <v>36</v>
      </c>
      <c r="V246" s="2" t="s">
        <v>35</v>
      </c>
      <c r="W246" t="s">
        <v>36</v>
      </c>
      <c r="X246" s="2">
        <v>3.5</v>
      </c>
      <c r="Y246" s="2">
        <v>0.88170000000000004</v>
      </c>
      <c r="Z246" t="s">
        <v>34</v>
      </c>
      <c r="AA246">
        <v>210</v>
      </c>
      <c r="AB246">
        <v>0</v>
      </c>
    </row>
    <row r="247" spans="1:1024" x14ac:dyDescent="0.3">
      <c r="A247" t="s">
        <v>334</v>
      </c>
      <c r="B247" t="s">
        <v>436</v>
      </c>
      <c r="C247" s="7" t="s">
        <v>34</v>
      </c>
      <c r="D247" s="8">
        <v>27.5</v>
      </c>
      <c r="E247" s="9" t="s">
        <v>31</v>
      </c>
      <c r="F247" s="10" t="s">
        <v>54</v>
      </c>
      <c r="G247" s="11">
        <v>44453</v>
      </c>
      <c r="H247" s="11">
        <v>44476</v>
      </c>
      <c r="I247">
        <v>15</v>
      </c>
      <c r="J247" t="s">
        <v>43</v>
      </c>
      <c r="K247" t="s">
        <v>34</v>
      </c>
      <c r="L247" s="2" t="s">
        <v>44</v>
      </c>
      <c r="M247" t="s">
        <v>45</v>
      </c>
      <c r="N247" s="2">
        <v>3.5</v>
      </c>
      <c r="O247" s="5">
        <v>0.52090000000000003</v>
      </c>
      <c r="P247" t="s">
        <v>34</v>
      </c>
      <c r="Q247" t="s">
        <v>44</v>
      </c>
      <c r="R247" t="s">
        <v>45</v>
      </c>
      <c r="S247" s="2">
        <v>2.5870000000000002</v>
      </c>
      <c r="T247" s="2">
        <v>5.1677999999999997</v>
      </c>
      <c r="U247" t="s">
        <v>36</v>
      </c>
      <c r="V247" s="2" t="s">
        <v>35</v>
      </c>
      <c r="W247" t="s">
        <v>36</v>
      </c>
      <c r="X247" s="2">
        <v>3.5</v>
      </c>
      <c r="Y247" s="2">
        <v>1.7418</v>
      </c>
      <c r="Z247" t="s">
        <v>36</v>
      </c>
      <c r="AA247">
        <v>210</v>
      </c>
      <c r="AB247">
        <v>0</v>
      </c>
    </row>
    <row r="248" spans="1:1024" x14ac:dyDescent="0.3">
      <c r="A248" t="s">
        <v>335</v>
      </c>
      <c r="B248" t="s">
        <v>436</v>
      </c>
      <c r="C248" s="7" t="s">
        <v>34</v>
      </c>
      <c r="D248" s="8">
        <v>26.5</v>
      </c>
      <c r="E248" s="9" t="s">
        <v>31</v>
      </c>
      <c r="F248" s="10" t="s">
        <v>54</v>
      </c>
      <c r="G248" s="11">
        <v>44454</v>
      </c>
      <c r="H248" s="11">
        <v>44476</v>
      </c>
      <c r="I248">
        <v>15</v>
      </c>
      <c r="J248" t="s">
        <v>43</v>
      </c>
      <c r="K248" t="s">
        <v>34</v>
      </c>
      <c r="L248" s="2" t="s">
        <v>44</v>
      </c>
      <c r="M248" t="s">
        <v>45</v>
      </c>
      <c r="N248" s="2">
        <v>3.5</v>
      </c>
      <c r="O248" s="5">
        <v>0.29749999999999999</v>
      </c>
      <c r="P248" t="s">
        <v>34</v>
      </c>
      <c r="Q248" t="s">
        <v>35</v>
      </c>
      <c r="R248" t="s">
        <v>36</v>
      </c>
      <c r="S248" s="2">
        <v>2.76</v>
      </c>
      <c r="T248" s="2">
        <v>0.192</v>
      </c>
      <c r="U248" t="s">
        <v>34</v>
      </c>
      <c r="V248" s="2" t="s">
        <v>35</v>
      </c>
      <c r="W248" t="s">
        <v>36</v>
      </c>
      <c r="X248" s="2">
        <v>3.5</v>
      </c>
      <c r="Y248" s="2">
        <v>0.1017</v>
      </c>
      <c r="Z248" t="s">
        <v>34</v>
      </c>
      <c r="AA248">
        <v>210</v>
      </c>
      <c r="AB248">
        <v>0</v>
      </c>
    </row>
    <row r="249" spans="1:1024" x14ac:dyDescent="0.3">
      <c r="A249" t="s">
        <v>336</v>
      </c>
      <c r="B249" t="s">
        <v>436</v>
      </c>
      <c r="C249" s="7" t="s">
        <v>34</v>
      </c>
      <c r="D249" s="8">
        <v>30.8</v>
      </c>
      <c r="E249" s="9" t="s">
        <v>47</v>
      </c>
      <c r="F249" s="10" t="s">
        <v>54</v>
      </c>
      <c r="G249" s="11">
        <v>44453</v>
      </c>
      <c r="H249" s="11">
        <v>44477</v>
      </c>
      <c r="I249">
        <v>12</v>
      </c>
      <c r="J249" t="s">
        <v>33</v>
      </c>
      <c r="K249" t="s">
        <v>34</v>
      </c>
      <c r="L249" s="2" t="s">
        <v>44</v>
      </c>
      <c r="M249" t="s">
        <v>45</v>
      </c>
      <c r="N249" s="2">
        <v>3.5</v>
      </c>
      <c r="O249" s="5">
        <v>9.3899999999999997E-2</v>
      </c>
      <c r="P249" t="s">
        <v>34</v>
      </c>
      <c r="Q249" t="s">
        <v>35</v>
      </c>
      <c r="R249" t="s">
        <v>36</v>
      </c>
      <c r="S249" s="2">
        <v>2.7669999999999999</v>
      </c>
      <c r="T249" s="2">
        <v>2.5663</v>
      </c>
      <c r="U249" t="s">
        <v>36</v>
      </c>
      <c r="V249" s="2" t="s">
        <v>35</v>
      </c>
      <c r="W249" t="s">
        <v>36</v>
      </c>
      <c r="X249" s="2">
        <v>3.5</v>
      </c>
      <c r="Y249" s="2">
        <v>1.1754</v>
      </c>
      <c r="Z249" t="s">
        <v>36</v>
      </c>
    </row>
    <row r="250" spans="1:1024" x14ac:dyDescent="0.3">
      <c r="A250" t="s">
        <v>337</v>
      </c>
      <c r="B250" t="s">
        <v>38</v>
      </c>
      <c r="C250" s="12" t="s">
        <v>30</v>
      </c>
      <c r="D250" s="8">
        <v>17.399999999999999</v>
      </c>
      <c r="E250" s="9" t="s">
        <v>39</v>
      </c>
      <c r="F250" s="10" t="s">
        <v>54</v>
      </c>
      <c r="G250" s="11">
        <v>44453</v>
      </c>
      <c r="H250" s="11">
        <v>44477</v>
      </c>
      <c r="I250">
        <v>12</v>
      </c>
      <c r="J250" t="s">
        <v>33</v>
      </c>
      <c r="K250" t="s">
        <v>34</v>
      </c>
      <c r="L250" s="2" t="s">
        <v>44</v>
      </c>
      <c r="M250" t="s">
        <v>45</v>
      </c>
      <c r="N250" s="2">
        <v>3.5</v>
      </c>
      <c r="O250" s="2" t="s">
        <v>338</v>
      </c>
      <c r="P250" s="2" t="s">
        <v>34</v>
      </c>
      <c r="Q250" t="s">
        <v>35</v>
      </c>
      <c r="R250" t="s">
        <v>36</v>
      </c>
      <c r="S250" s="2">
        <v>2.83</v>
      </c>
      <c r="T250" s="2">
        <v>0.2422</v>
      </c>
      <c r="U250" t="s">
        <v>34</v>
      </c>
      <c r="V250" t="s">
        <v>35</v>
      </c>
      <c r="W250" t="s">
        <v>36</v>
      </c>
      <c r="X250" s="2">
        <v>3.5</v>
      </c>
      <c r="Y250" s="2">
        <v>4.0145</v>
      </c>
      <c r="Z250" t="s">
        <v>36</v>
      </c>
      <c r="AA250">
        <v>210</v>
      </c>
      <c r="AB250">
        <v>0</v>
      </c>
    </row>
    <row r="251" spans="1:1024" x14ac:dyDescent="0.3">
      <c r="A251" t="s">
        <v>339</v>
      </c>
      <c r="B251" t="s">
        <v>436</v>
      </c>
      <c r="C251" s="7" t="s">
        <v>49</v>
      </c>
      <c r="D251" s="8">
        <v>21.7</v>
      </c>
      <c r="E251" s="9" t="s">
        <v>39</v>
      </c>
      <c r="F251" s="10" t="s">
        <v>54</v>
      </c>
      <c r="G251" s="11">
        <v>44453</v>
      </c>
      <c r="H251" s="11">
        <v>44476</v>
      </c>
      <c r="I251">
        <v>15</v>
      </c>
      <c r="J251" t="s">
        <v>43</v>
      </c>
      <c r="K251" t="s">
        <v>34</v>
      </c>
      <c r="L251" s="2" t="s">
        <v>44</v>
      </c>
      <c r="M251" t="s">
        <v>45</v>
      </c>
      <c r="N251" s="2">
        <v>3.5</v>
      </c>
      <c r="O251" s="5">
        <v>1.4258</v>
      </c>
      <c r="P251" t="s">
        <v>36</v>
      </c>
      <c r="Q251" t="s">
        <v>35</v>
      </c>
      <c r="R251" t="s">
        <v>36</v>
      </c>
      <c r="S251" s="2">
        <v>2.843</v>
      </c>
      <c r="T251" s="2">
        <v>0.84</v>
      </c>
      <c r="U251" t="s">
        <v>34</v>
      </c>
      <c r="V251" s="2" t="s">
        <v>35</v>
      </c>
      <c r="W251" t="s">
        <v>36</v>
      </c>
      <c r="X251" s="2">
        <v>3.5</v>
      </c>
      <c r="Y251" s="2">
        <v>0.47810000000000002</v>
      </c>
      <c r="Z251" t="s">
        <v>34</v>
      </c>
      <c r="AA251">
        <v>210</v>
      </c>
      <c r="AB251">
        <v>0</v>
      </c>
    </row>
    <row r="252" spans="1:1024" x14ac:dyDescent="0.3">
      <c r="A252" t="s">
        <v>340</v>
      </c>
      <c r="B252" t="s">
        <v>38</v>
      </c>
      <c r="C252" s="7" t="s">
        <v>49</v>
      </c>
      <c r="D252" s="8">
        <v>20.7</v>
      </c>
      <c r="E252" s="9" t="s">
        <v>39</v>
      </c>
      <c r="F252" s="10" t="s">
        <v>54</v>
      </c>
      <c r="G252" s="11">
        <v>44454</v>
      </c>
      <c r="H252" s="11">
        <v>44476</v>
      </c>
      <c r="I252">
        <v>15</v>
      </c>
      <c r="J252" t="s">
        <v>43</v>
      </c>
      <c r="K252" t="s">
        <v>34</v>
      </c>
      <c r="L252" s="2" t="s">
        <v>44</v>
      </c>
      <c r="M252" t="s">
        <v>45</v>
      </c>
      <c r="N252" s="2">
        <v>3.5</v>
      </c>
      <c r="O252" s="5">
        <v>0.1633</v>
      </c>
      <c r="P252" t="s">
        <v>34</v>
      </c>
      <c r="Q252">
        <v>4.4917999999999996</v>
      </c>
      <c r="R252" t="s">
        <v>34</v>
      </c>
      <c r="S252" s="2">
        <v>2.8769999999999998</v>
      </c>
      <c r="T252" s="2">
        <v>0.83930000000000005</v>
      </c>
      <c r="U252" t="s">
        <v>34</v>
      </c>
      <c r="V252" s="2">
        <v>4.8818999999999999</v>
      </c>
      <c r="W252" t="s">
        <v>34</v>
      </c>
      <c r="X252" s="2">
        <v>3.5</v>
      </c>
      <c r="Y252" s="2">
        <v>0.47760000000000002</v>
      </c>
      <c r="Z252" t="s">
        <v>34</v>
      </c>
    </row>
    <row r="253" spans="1:1024" x14ac:dyDescent="0.3">
      <c r="A253" t="s">
        <v>341</v>
      </c>
      <c r="B253" t="s">
        <v>38</v>
      </c>
      <c r="C253" s="12" t="s">
        <v>30</v>
      </c>
      <c r="D253" s="8">
        <v>26.1</v>
      </c>
      <c r="E253" s="9" t="s">
        <v>31</v>
      </c>
      <c r="F253" s="10" t="s">
        <v>54</v>
      </c>
      <c r="G253" s="11">
        <v>44453</v>
      </c>
      <c r="H253" s="11">
        <v>44476</v>
      </c>
      <c r="I253">
        <v>15</v>
      </c>
      <c r="J253" t="s">
        <v>43</v>
      </c>
      <c r="K253" t="s">
        <v>34</v>
      </c>
      <c r="L253" s="2" t="s">
        <v>44</v>
      </c>
      <c r="M253" t="s">
        <v>45</v>
      </c>
      <c r="N253" s="2">
        <v>3.5</v>
      </c>
      <c r="O253" s="5">
        <v>5.3699999999999998E-2</v>
      </c>
      <c r="P253" t="s">
        <v>34</v>
      </c>
      <c r="Q253" t="s">
        <v>44</v>
      </c>
      <c r="R253" t="s">
        <v>45</v>
      </c>
      <c r="S253" s="2">
        <v>2.9969999999999999</v>
      </c>
      <c r="T253" s="2">
        <v>2.5335999999999999</v>
      </c>
      <c r="U253" t="s">
        <v>36</v>
      </c>
      <c r="V253" s="2" t="s">
        <v>44</v>
      </c>
      <c r="W253" t="s">
        <v>45</v>
      </c>
      <c r="X253" s="2">
        <v>3.5</v>
      </c>
      <c r="Y253" s="2">
        <v>2.1322000000000001</v>
      </c>
      <c r="Z253" t="s">
        <v>36</v>
      </c>
      <c r="AA253">
        <v>210</v>
      </c>
      <c r="AB253">
        <v>0</v>
      </c>
    </row>
    <row r="254" spans="1:1024" x14ac:dyDescent="0.3">
      <c r="A254" t="s">
        <v>342</v>
      </c>
      <c r="B254" t="s">
        <v>436</v>
      </c>
      <c r="C254" s="7" t="s">
        <v>30</v>
      </c>
      <c r="D254" s="8">
        <v>25.6</v>
      </c>
      <c r="E254" s="9" t="s">
        <v>31</v>
      </c>
      <c r="F254" s="10" t="s">
        <v>54</v>
      </c>
      <c r="G254" s="11">
        <v>44453</v>
      </c>
      <c r="H254" s="11">
        <v>44477</v>
      </c>
      <c r="I254">
        <v>12</v>
      </c>
      <c r="J254" t="s">
        <v>33</v>
      </c>
      <c r="K254" t="s">
        <v>34</v>
      </c>
      <c r="L254" s="2" t="s">
        <v>44</v>
      </c>
      <c r="M254" t="s">
        <v>45</v>
      </c>
      <c r="N254" s="2">
        <v>3.5</v>
      </c>
      <c r="O254" s="5">
        <v>7.8600000000000003E-2</v>
      </c>
      <c r="P254" t="s">
        <v>34</v>
      </c>
      <c r="Q254" t="s">
        <v>44</v>
      </c>
      <c r="R254" t="s">
        <v>45</v>
      </c>
      <c r="S254" s="2">
        <v>3.0179999999999998</v>
      </c>
      <c r="T254" s="2">
        <v>2.4504999999999999</v>
      </c>
      <c r="U254" t="s">
        <v>36</v>
      </c>
      <c r="V254" s="2" t="s">
        <v>35</v>
      </c>
      <c r="W254" t="s">
        <v>36</v>
      </c>
      <c r="X254" s="2">
        <v>3.5</v>
      </c>
      <c r="Y254" s="2">
        <v>0.48230000000000001</v>
      </c>
      <c r="Z254" t="s">
        <v>34</v>
      </c>
      <c r="AA254">
        <v>210</v>
      </c>
      <c r="AB254">
        <v>0</v>
      </c>
    </row>
    <row r="255" spans="1:1024" x14ac:dyDescent="0.3">
      <c r="A255" t="s">
        <v>343</v>
      </c>
      <c r="B255" t="s">
        <v>436</v>
      </c>
      <c r="C255" s="7" t="s">
        <v>34</v>
      </c>
      <c r="D255" s="8">
        <v>14.5</v>
      </c>
      <c r="E255" s="9" t="s">
        <v>41</v>
      </c>
      <c r="F255" s="10" t="s">
        <v>54</v>
      </c>
      <c r="G255" s="11">
        <v>44453</v>
      </c>
      <c r="H255" s="11">
        <v>44477</v>
      </c>
      <c r="I255">
        <v>12</v>
      </c>
      <c r="J255" t="s">
        <v>33</v>
      </c>
      <c r="K255" t="s">
        <v>34</v>
      </c>
      <c r="L255" s="2" t="s">
        <v>44</v>
      </c>
      <c r="M255" s="2" t="s">
        <v>45</v>
      </c>
      <c r="N255" s="2">
        <v>3.5</v>
      </c>
      <c r="O255" s="5">
        <v>9.1700000000000004E-2</v>
      </c>
      <c r="P255" t="s">
        <v>34</v>
      </c>
      <c r="Q255" t="s">
        <v>44</v>
      </c>
      <c r="R255" t="s">
        <v>45</v>
      </c>
      <c r="S255" s="2">
        <v>3.1019999999999999</v>
      </c>
      <c r="T255" s="2">
        <v>0.89890000000000003</v>
      </c>
      <c r="U255" t="s">
        <v>34</v>
      </c>
      <c r="V255" s="2" t="s">
        <v>35</v>
      </c>
      <c r="W255" t="s">
        <v>36</v>
      </c>
      <c r="X255" s="2">
        <v>3.5</v>
      </c>
      <c r="Y255" s="2">
        <v>0.4718</v>
      </c>
      <c r="Z255" t="s">
        <v>34</v>
      </c>
      <c r="AA255">
        <v>210</v>
      </c>
      <c r="AB255">
        <v>0</v>
      </c>
    </row>
    <row r="256" spans="1:1024" x14ac:dyDescent="0.3">
      <c r="A256" t="s">
        <v>344</v>
      </c>
      <c r="B256" t="s">
        <v>436</v>
      </c>
      <c r="C256" s="7" t="s">
        <v>34</v>
      </c>
      <c r="D256" s="8">
        <v>34.9</v>
      </c>
      <c r="E256" s="9" t="s">
        <v>47</v>
      </c>
      <c r="F256" s="10" t="s">
        <v>54</v>
      </c>
      <c r="G256" s="11">
        <v>44458</v>
      </c>
      <c r="H256" s="11">
        <v>44490</v>
      </c>
      <c r="I256">
        <v>15</v>
      </c>
      <c r="J256" t="s">
        <v>43</v>
      </c>
      <c r="K256" t="s">
        <v>34</v>
      </c>
      <c r="L256" s="2" t="s">
        <v>44</v>
      </c>
      <c r="M256" t="s">
        <v>45</v>
      </c>
      <c r="N256" s="2">
        <v>3.5</v>
      </c>
      <c r="O256" s="5">
        <v>0.32440000000000002</v>
      </c>
      <c r="P256" t="s">
        <v>34</v>
      </c>
      <c r="Q256" t="s">
        <v>35</v>
      </c>
      <c r="R256" t="s">
        <v>36</v>
      </c>
      <c r="S256" s="2">
        <v>3.121</v>
      </c>
      <c r="T256" s="2">
        <v>4.6702000000000004</v>
      </c>
      <c r="U256" t="s">
        <v>36</v>
      </c>
      <c r="V256" s="2" t="s">
        <v>35</v>
      </c>
      <c r="W256" t="s">
        <v>36</v>
      </c>
      <c r="X256" s="2">
        <v>3.5</v>
      </c>
      <c r="Y256" s="2">
        <v>1.5580000000000001</v>
      </c>
      <c r="Z256" t="s">
        <v>36</v>
      </c>
      <c r="AA256">
        <v>210</v>
      </c>
      <c r="AB256">
        <v>0</v>
      </c>
    </row>
    <row r="257" spans="1:28" x14ac:dyDescent="0.3">
      <c r="A257" t="s">
        <v>345</v>
      </c>
      <c r="B257" t="s">
        <v>38</v>
      </c>
      <c r="C257" s="7" t="s">
        <v>34</v>
      </c>
      <c r="D257" s="8">
        <v>21.5</v>
      </c>
      <c r="E257" s="9" t="s">
        <v>39</v>
      </c>
      <c r="F257" s="10" t="s">
        <v>54</v>
      </c>
      <c r="G257" s="11">
        <v>44454</v>
      </c>
      <c r="H257" s="11">
        <v>44476</v>
      </c>
      <c r="I257">
        <v>14</v>
      </c>
      <c r="J257" t="s">
        <v>43</v>
      </c>
      <c r="K257" t="s">
        <v>34</v>
      </c>
      <c r="L257" s="2" t="s">
        <v>44</v>
      </c>
      <c r="M257" t="s">
        <v>45</v>
      </c>
      <c r="N257" s="2">
        <v>3.5</v>
      </c>
      <c r="O257" s="5">
        <v>0.34460000000000002</v>
      </c>
      <c r="P257" t="s">
        <v>34</v>
      </c>
      <c r="Q257" t="s">
        <v>44</v>
      </c>
      <c r="R257" t="s">
        <v>45</v>
      </c>
      <c r="S257" s="2">
        <v>3.17</v>
      </c>
      <c r="T257" s="2">
        <v>3.7612000000000001</v>
      </c>
      <c r="U257" t="s">
        <v>34</v>
      </c>
      <c r="V257" s="2" t="s">
        <v>44</v>
      </c>
      <c r="W257" t="s">
        <v>45</v>
      </c>
      <c r="X257" s="2">
        <v>3.5</v>
      </c>
      <c r="Y257" s="2">
        <v>1.1345000000000001</v>
      </c>
      <c r="Z257" t="s">
        <v>36</v>
      </c>
      <c r="AA257">
        <v>210</v>
      </c>
      <c r="AB257">
        <v>0</v>
      </c>
    </row>
    <row r="258" spans="1:28" x14ac:dyDescent="0.3">
      <c r="A258" t="s">
        <v>346</v>
      </c>
      <c r="B258" t="s">
        <v>436</v>
      </c>
      <c r="C258" s="12" t="s">
        <v>49</v>
      </c>
      <c r="D258" s="8">
        <v>23</v>
      </c>
      <c r="E258" s="9" t="s">
        <v>39</v>
      </c>
      <c r="F258" s="10" t="s">
        <v>54</v>
      </c>
      <c r="G258" s="11">
        <v>44453</v>
      </c>
      <c r="H258" s="11">
        <v>44476</v>
      </c>
      <c r="I258">
        <v>15</v>
      </c>
      <c r="J258" t="s">
        <v>43</v>
      </c>
      <c r="K258" t="s">
        <v>34</v>
      </c>
      <c r="L258" s="2" t="s">
        <v>44</v>
      </c>
      <c r="M258" t="s">
        <v>45</v>
      </c>
      <c r="N258" s="2">
        <v>3.5</v>
      </c>
      <c r="O258" s="5">
        <v>0.23080000000000001</v>
      </c>
      <c r="P258" t="s">
        <v>34</v>
      </c>
      <c r="Q258" t="s">
        <v>35</v>
      </c>
      <c r="R258" t="s">
        <v>36</v>
      </c>
      <c r="S258" s="2">
        <v>3.177</v>
      </c>
      <c r="T258" s="2">
        <v>6.6199999999999995E-2</v>
      </c>
      <c r="U258" t="s">
        <v>34</v>
      </c>
      <c r="V258" s="2" t="s">
        <v>44</v>
      </c>
      <c r="W258" t="s">
        <v>45</v>
      </c>
      <c r="X258" s="2">
        <v>3.5</v>
      </c>
      <c r="Y258" s="2">
        <v>2.7458999999999998</v>
      </c>
      <c r="Z258" t="s">
        <v>36</v>
      </c>
      <c r="AA258">
        <v>210</v>
      </c>
      <c r="AB258">
        <v>0</v>
      </c>
    </row>
    <row r="259" spans="1:28" x14ac:dyDescent="0.3">
      <c r="A259" t="s">
        <v>347</v>
      </c>
      <c r="B259" t="s">
        <v>38</v>
      </c>
      <c r="C259" s="12" t="s">
        <v>30</v>
      </c>
      <c r="D259" s="8">
        <v>34.4</v>
      </c>
      <c r="E259" s="9" t="s">
        <v>47</v>
      </c>
      <c r="F259" s="10" t="s">
        <v>54</v>
      </c>
      <c r="G259" s="11">
        <v>44454</v>
      </c>
      <c r="H259" s="11">
        <v>44476</v>
      </c>
      <c r="I259">
        <v>15</v>
      </c>
      <c r="J259" t="s">
        <v>43</v>
      </c>
      <c r="K259" t="s">
        <v>34</v>
      </c>
      <c r="L259" s="2" t="s">
        <v>44</v>
      </c>
      <c r="M259" t="s">
        <v>45</v>
      </c>
      <c r="N259" s="2">
        <v>3.5</v>
      </c>
      <c r="O259" s="5">
        <v>0.1409</v>
      </c>
      <c r="P259" t="s">
        <v>34</v>
      </c>
      <c r="Q259" t="s">
        <v>44</v>
      </c>
      <c r="R259" t="s">
        <v>45</v>
      </c>
      <c r="S259" s="2">
        <v>3.2120000000000002</v>
      </c>
      <c r="T259" s="2">
        <v>3.1839</v>
      </c>
      <c r="U259" t="s">
        <v>36</v>
      </c>
      <c r="V259" s="2" t="s">
        <v>35</v>
      </c>
      <c r="W259" t="s">
        <v>36</v>
      </c>
      <c r="X259" s="2">
        <v>3.5</v>
      </c>
      <c r="Y259" s="2">
        <v>0.79910000000000003</v>
      </c>
      <c r="Z259" t="s">
        <v>34</v>
      </c>
      <c r="AA259">
        <v>210</v>
      </c>
      <c r="AB259">
        <v>0</v>
      </c>
    </row>
    <row r="260" spans="1:28" x14ac:dyDescent="0.3">
      <c r="A260" t="s">
        <v>348</v>
      </c>
      <c r="B260" t="s">
        <v>38</v>
      </c>
      <c r="C260" s="12" t="s">
        <v>30</v>
      </c>
      <c r="D260" s="8">
        <v>25.7</v>
      </c>
      <c r="E260" s="9" t="s">
        <v>47</v>
      </c>
      <c r="F260" s="10" t="s">
        <v>54</v>
      </c>
      <c r="G260" s="11">
        <v>44453</v>
      </c>
      <c r="H260" s="11">
        <v>44482</v>
      </c>
      <c r="I260">
        <v>12</v>
      </c>
      <c r="J260" t="s">
        <v>33</v>
      </c>
      <c r="K260" t="s">
        <v>34</v>
      </c>
      <c r="L260" s="2" t="s">
        <v>44</v>
      </c>
      <c r="M260" t="s">
        <v>45</v>
      </c>
      <c r="N260" s="2">
        <v>3.5</v>
      </c>
      <c r="O260" s="5">
        <v>8.7900000000000006E-2</v>
      </c>
      <c r="P260" t="s">
        <v>34</v>
      </c>
      <c r="Q260" t="s">
        <v>35</v>
      </c>
      <c r="R260" t="s">
        <v>36</v>
      </c>
      <c r="S260" s="2">
        <v>3.2440000000000002</v>
      </c>
      <c r="T260" s="2">
        <v>0.39240000000000003</v>
      </c>
      <c r="U260" t="s">
        <v>34</v>
      </c>
      <c r="V260" s="2" t="s">
        <v>35</v>
      </c>
      <c r="W260" t="s">
        <v>36</v>
      </c>
      <c r="X260" s="2">
        <v>3.5</v>
      </c>
      <c r="Y260" s="2">
        <v>0.24379999999999999</v>
      </c>
      <c r="Z260" t="s">
        <v>34</v>
      </c>
    </row>
    <row r="261" spans="1:28" x14ac:dyDescent="0.3">
      <c r="A261" t="s">
        <v>349</v>
      </c>
      <c r="B261" t="s">
        <v>38</v>
      </c>
      <c r="C261" s="7" t="s">
        <v>30</v>
      </c>
      <c r="D261" s="8">
        <v>18.7</v>
      </c>
      <c r="E261" s="9" t="s">
        <v>39</v>
      </c>
      <c r="F261" s="10" t="s">
        <v>54</v>
      </c>
      <c r="G261" s="11">
        <v>44453</v>
      </c>
      <c r="H261" s="11">
        <v>44477</v>
      </c>
      <c r="I261">
        <v>14</v>
      </c>
      <c r="J261" t="s">
        <v>43</v>
      </c>
      <c r="K261" t="s">
        <v>36</v>
      </c>
      <c r="L261" s="2" t="s">
        <v>44</v>
      </c>
      <c r="M261" t="s">
        <v>45</v>
      </c>
      <c r="N261" s="2">
        <v>3.5</v>
      </c>
      <c r="O261" s="5">
        <v>0.70520000000000005</v>
      </c>
      <c r="P261" t="s">
        <v>34</v>
      </c>
      <c r="Q261" t="s">
        <v>44</v>
      </c>
      <c r="R261" t="s">
        <v>45</v>
      </c>
      <c r="S261" s="2">
        <v>3.2679999999999998</v>
      </c>
      <c r="T261" s="2">
        <v>5.9137000000000004</v>
      </c>
      <c r="U261" t="s">
        <v>36</v>
      </c>
      <c r="V261" s="2" t="s">
        <v>35</v>
      </c>
      <c r="W261" t="s">
        <v>36</v>
      </c>
      <c r="X261" s="2">
        <v>3.5</v>
      </c>
      <c r="Y261" s="2">
        <v>2.4300999999999999</v>
      </c>
      <c r="Z261" t="s">
        <v>36</v>
      </c>
      <c r="AA261">
        <v>210</v>
      </c>
      <c r="AB261">
        <v>0</v>
      </c>
    </row>
    <row r="262" spans="1:28" x14ac:dyDescent="0.3">
      <c r="A262" t="s">
        <v>350</v>
      </c>
      <c r="B262" t="s">
        <v>436</v>
      </c>
      <c r="C262" s="7" t="s">
        <v>34</v>
      </c>
      <c r="D262" s="8">
        <v>31.6</v>
      </c>
      <c r="E262" s="9" t="s">
        <v>47</v>
      </c>
      <c r="F262" s="10" t="s">
        <v>54</v>
      </c>
      <c r="G262" s="11">
        <v>44453</v>
      </c>
      <c r="H262" s="11">
        <v>44477</v>
      </c>
      <c r="I262">
        <v>12</v>
      </c>
      <c r="J262" t="s">
        <v>33</v>
      </c>
      <c r="K262" t="s">
        <v>34</v>
      </c>
      <c r="L262" s="2" t="s">
        <v>44</v>
      </c>
      <c r="M262" t="s">
        <v>45</v>
      </c>
      <c r="N262" s="2">
        <v>3.5</v>
      </c>
      <c r="O262" s="5">
        <v>2.8208000000000002</v>
      </c>
      <c r="P262" t="s">
        <v>36</v>
      </c>
      <c r="Q262" t="s">
        <v>44</v>
      </c>
      <c r="R262" t="s">
        <v>45</v>
      </c>
      <c r="S262" s="2">
        <v>3.3220000000000001</v>
      </c>
      <c r="T262" s="2">
        <v>1.8027</v>
      </c>
      <c r="U262" t="s">
        <v>36</v>
      </c>
      <c r="V262" t="s">
        <v>44</v>
      </c>
      <c r="W262" t="s">
        <v>45</v>
      </c>
      <c r="X262" s="2">
        <v>3.5</v>
      </c>
      <c r="Y262" s="2">
        <v>4.9668999999999999</v>
      </c>
      <c r="Z262" t="s">
        <v>36</v>
      </c>
    </row>
    <row r="263" spans="1:28" x14ac:dyDescent="0.3">
      <c r="A263" t="s">
        <v>351</v>
      </c>
      <c r="B263" t="s">
        <v>436</v>
      </c>
      <c r="C263" s="12" t="s">
        <v>30</v>
      </c>
      <c r="D263" s="8">
        <v>24.3</v>
      </c>
      <c r="E263" s="9" t="s">
        <v>31</v>
      </c>
      <c r="F263" s="10" t="s">
        <v>54</v>
      </c>
      <c r="G263" s="11">
        <v>44453</v>
      </c>
      <c r="H263" s="11">
        <v>44476</v>
      </c>
      <c r="I263">
        <v>15</v>
      </c>
      <c r="J263" t="s">
        <v>43</v>
      </c>
      <c r="K263" t="s">
        <v>36</v>
      </c>
      <c r="L263" s="2" t="s">
        <v>44</v>
      </c>
      <c r="M263" t="s">
        <v>45</v>
      </c>
      <c r="N263" s="2">
        <v>3.5</v>
      </c>
      <c r="O263" s="5">
        <v>6.3500000000000001E-2</v>
      </c>
      <c r="P263" t="s">
        <v>34</v>
      </c>
      <c r="Q263" t="s">
        <v>35</v>
      </c>
      <c r="R263" t="s">
        <v>36</v>
      </c>
      <c r="S263" s="2">
        <v>3.3359999999999999</v>
      </c>
      <c r="T263" s="2">
        <v>6.5000000000000002E-2</v>
      </c>
      <c r="U263" t="s">
        <v>34</v>
      </c>
      <c r="V263" s="2">
        <v>46.259900000000002</v>
      </c>
      <c r="W263" t="s">
        <v>36</v>
      </c>
      <c r="X263" s="2">
        <v>3.5</v>
      </c>
      <c r="Y263" s="2">
        <v>0.1157</v>
      </c>
      <c r="Z263" t="s">
        <v>34</v>
      </c>
      <c r="AA263">
        <v>182</v>
      </c>
      <c r="AB263">
        <v>1</v>
      </c>
    </row>
    <row r="264" spans="1:28" x14ac:dyDescent="0.3">
      <c r="A264" t="s">
        <v>352</v>
      </c>
      <c r="B264" t="s">
        <v>436</v>
      </c>
      <c r="C264" s="7" t="s">
        <v>30</v>
      </c>
      <c r="D264" s="8">
        <v>16</v>
      </c>
      <c r="E264" s="9" t="s">
        <v>39</v>
      </c>
      <c r="F264" s="10" t="s">
        <v>54</v>
      </c>
      <c r="G264" s="11">
        <v>44453</v>
      </c>
      <c r="H264" s="11">
        <v>44477</v>
      </c>
      <c r="I264">
        <v>12</v>
      </c>
      <c r="J264" t="s">
        <v>33</v>
      </c>
      <c r="K264" t="s">
        <v>34</v>
      </c>
      <c r="L264" s="2" t="s">
        <v>44</v>
      </c>
      <c r="M264" t="s">
        <v>45</v>
      </c>
      <c r="N264" s="2">
        <v>3.5</v>
      </c>
      <c r="O264" s="5" t="s">
        <v>353</v>
      </c>
      <c r="P264" t="s">
        <v>34</v>
      </c>
      <c r="Q264" t="s">
        <v>44</v>
      </c>
      <c r="R264" t="s">
        <v>45</v>
      </c>
      <c r="S264" s="2">
        <v>3.367</v>
      </c>
      <c r="T264" s="2">
        <v>2.3220999999999998</v>
      </c>
      <c r="U264" t="s">
        <v>36</v>
      </c>
      <c r="V264" s="2" t="s">
        <v>35</v>
      </c>
      <c r="W264" t="s">
        <v>36</v>
      </c>
      <c r="X264" s="2">
        <v>3.5</v>
      </c>
      <c r="Y264" s="2">
        <v>0.64300000000000002</v>
      </c>
      <c r="Z264" t="s">
        <v>34</v>
      </c>
      <c r="AA264">
        <v>210</v>
      </c>
      <c r="AB264">
        <v>0</v>
      </c>
    </row>
    <row r="265" spans="1:28" x14ac:dyDescent="0.3">
      <c r="A265" t="s">
        <v>354</v>
      </c>
      <c r="B265" t="s">
        <v>436</v>
      </c>
      <c r="C265" s="7" t="s">
        <v>30</v>
      </c>
      <c r="D265" s="8">
        <v>16.100000000000001</v>
      </c>
      <c r="E265" s="9" t="s">
        <v>39</v>
      </c>
      <c r="F265" s="10" t="s">
        <v>54</v>
      </c>
      <c r="G265" s="11">
        <v>44453</v>
      </c>
      <c r="H265" s="11">
        <v>44477</v>
      </c>
      <c r="I265">
        <v>12</v>
      </c>
      <c r="J265" t="s">
        <v>33</v>
      </c>
      <c r="K265" t="s">
        <v>36</v>
      </c>
      <c r="L265" s="2" t="s">
        <v>44</v>
      </c>
      <c r="M265" t="s">
        <v>45</v>
      </c>
      <c r="N265" s="2">
        <v>3.5</v>
      </c>
      <c r="O265" s="5">
        <v>0.2555</v>
      </c>
      <c r="P265" t="s">
        <v>34</v>
      </c>
      <c r="Q265" t="s">
        <v>44</v>
      </c>
      <c r="R265" t="s">
        <v>45</v>
      </c>
      <c r="S265" s="2">
        <v>3.3740000000000001</v>
      </c>
      <c r="T265" s="2">
        <v>1.1662999999999999</v>
      </c>
      <c r="U265" t="s">
        <v>36</v>
      </c>
      <c r="V265" s="2" t="s">
        <v>35</v>
      </c>
      <c r="W265" t="s">
        <v>36</v>
      </c>
      <c r="X265" s="2">
        <v>3.5</v>
      </c>
      <c r="Y265" s="2">
        <v>0.55740000000000001</v>
      </c>
      <c r="Z265" t="s">
        <v>34</v>
      </c>
      <c r="AA265">
        <v>210</v>
      </c>
      <c r="AB265">
        <v>0</v>
      </c>
    </row>
    <row r="266" spans="1:28" x14ac:dyDescent="0.3">
      <c r="A266" t="s">
        <v>355</v>
      </c>
      <c r="B266" t="s">
        <v>38</v>
      </c>
      <c r="C266" s="7" t="s">
        <v>30</v>
      </c>
      <c r="D266" s="8">
        <v>20.100000000000001</v>
      </c>
      <c r="E266" s="9" t="s">
        <v>39</v>
      </c>
      <c r="F266" s="10" t="s">
        <v>54</v>
      </c>
      <c r="G266" s="11">
        <v>44453</v>
      </c>
      <c r="H266" s="11">
        <v>44477</v>
      </c>
      <c r="I266">
        <v>14</v>
      </c>
      <c r="J266" t="s">
        <v>43</v>
      </c>
      <c r="K266" t="s">
        <v>34</v>
      </c>
      <c r="L266" s="2" t="s">
        <v>44</v>
      </c>
      <c r="M266" t="s">
        <v>45</v>
      </c>
      <c r="N266" s="2">
        <v>3.5</v>
      </c>
      <c r="O266" s="5" t="s">
        <v>356</v>
      </c>
      <c r="P266" s="5" t="s">
        <v>34</v>
      </c>
      <c r="Q266" t="s">
        <v>44</v>
      </c>
      <c r="R266" t="s">
        <v>45</v>
      </c>
      <c r="S266" s="2">
        <v>3.4260000000000002</v>
      </c>
      <c r="T266" s="2">
        <v>0.69089999999999996</v>
      </c>
      <c r="U266" t="s">
        <v>34</v>
      </c>
      <c r="V266" s="2" t="s">
        <v>44</v>
      </c>
      <c r="W266" t="s">
        <v>45</v>
      </c>
      <c r="X266" s="2">
        <v>3.5</v>
      </c>
      <c r="Y266" s="2">
        <v>0.78480000000000005</v>
      </c>
      <c r="Z266" t="s">
        <v>34</v>
      </c>
      <c r="AA266">
        <v>210</v>
      </c>
      <c r="AB266">
        <v>0</v>
      </c>
    </row>
    <row r="267" spans="1:28" x14ac:dyDescent="0.3">
      <c r="A267" t="s">
        <v>357</v>
      </c>
      <c r="B267" t="s">
        <v>38</v>
      </c>
      <c r="C267" s="12" t="s">
        <v>49</v>
      </c>
      <c r="D267" s="8">
        <v>26.3</v>
      </c>
      <c r="E267" s="9" t="s">
        <v>47</v>
      </c>
      <c r="F267" s="10" t="s">
        <v>54</v>
      </c>
      <c r="G267" s="11">
        <v>44453</v>
      </c>
      <c r="H267" s="11">
        <v>44477</v>
      </c>
      <c r="I267">
        <v>12</v>
      </c>
      <c r="J267" t="s">
        <v>33</v>
      </c>
      <c r="K267" t="s">
        <v>34</v>
      </c>
      <c r="L267" s="2" t="s">
        <v>44</v>
      </c>
      <c r="M267" t="s">
        <v>45</v>
      </c>
      <c r="N267" s="2">
        <v>3.5</v>
      </c>
      <c r="O267" s="5">
        <v>0.34289999999999998</v>
      </c>
      <c r="P267" t="s">
        <v>34</v>
      </c>
      <c r="Q267" t="s">
        <v>44</v>
      </c>
      <c r="R267" t="s">
        <v>45</v>
      </c>
      <c r="S267" s="2">
        <v>3.4529999999999998</v>
      </c>
      <c r="T267" s="2">
        <v>2.0661999999999998</v>
      </c>
      <c r="U267" t="s">
        <v>36</v>
      </c>
      <c r="V267" s="2" t="s">
        <v>44</v>
      </c>
      <c r="W267" t="s">
        <v>45</v>
      </c>
      <c r="X267" s="2">
        <v>3.5</v>
      </c>
      <c r="Y267" s="2">
        <v>2.4508000000000001</v>
      </c>
      <c r="Z267" t="s">
        <v>36</v>
      </c>
      <c r="AA267">
        <v>210</v>
      </c>
      <c r="AB267">
        <v>0</v>
      </c>
    </row>
    <row r="268" spans="1:28" x14ac:dyDescent="0.3">
      <c r="A268" t="s">
        <v>358</v>
      </c>
      <c r="B268" t="s">
        <v>38</v>
      </c>
      <c r="C268" s="7" t="s">
        <v>34</v>
      </c>
      <c r="D268" s="8">
        <v>20</v>
      </c>
      <c r="E268" s="9" t="s">
        <v>39</v>
      </c>
      <c r="F268" s="10" t="s">
        <v>54</v>
      </c>
      <c r="G268" s="11">
        <v>44453</v>
      </c>
      <c r="H268" s="11">
        <v>44477</v>
      </c>
      <c r="I268">
        <v>12</v>
      </c>
      <c r="J268" t="s">
        <v>33</v>
      </c>
      <c r="K268" t="s">
        <v>36</v>
      </c>
      <c r="L268" s="2" t="s">
        <v>44</v>
      </c>
      <c r="M268" t="s">
        <v>45</v>
      </c>
      <c r="N268" s="2">
        <v>3.5</v>
      </c>
      <c r="O268" s="5" t="s">
        <v>359</v>
      </c>
      <c r="P268" t="s">
        <v>36</v>
      </c>
      <c r="Q268" t="s">
        <v>35</v>
      </c>
      <c r="R268" t="s">
        <v>36</v>
      </c>
      <c r="S268" s="2">
        <v>3.4870000000000001</v>
      </c>
      <c r="T268" s="2">
        <v>6.3788999999999998</v>
      </c>
      <c r="U268" t="s">
        <v>36</v>
      </c>
      <c r="V268" s="2" t="s">
        <v>35</v>
      </c>
      <c r="W268" t="s">
        <v>36</v>
      </c>
      <c r="X268" s="2">
        <v>3.5</v>
      </c>
      <c r="Y268" s="2">
        <v>1.9395</v>
      </c>
      <c r="Z268" t="s">
        <v>36</v>
      </c>
      <c r="AA268">
        <v>210</v>
      </c>
      <c r="AB268">
        <v>0</v>
      </c>
    </row>
    <row r="269" spans="1:28" x14ac:dyDescent="0.3">
      <c r="A269" t="s">
        <v>360</v>
      </c>
      <c r="B269" t="s">
        <v>436</v>
      </c>
      <c r="C269" s="7" t="s">
        <v>30</v>
      </c>
      <c r="D269" s="8">
        <v>15.1</v>
      </c>
      <c r="E269" s="9" t="s">
        <v>39</v>
      </c>
      <c r="F269" s="10" t="s">
        <v>54</v>
      </c>
      <c r="G269" s="11">
        <v>44453</v>
      </c>
      <c r="H269" s="11">
        <v>44477</v>
      </c>
      <c r="I269">
        <v>12</v>
      </c>
      <c r="J269" t="s">
        <v>33</v>
      </c>
      <c r="K269" t="s">
        <v>34</v>
      </c>
      <c r="L269" s="2" t="s">
        <v>44</v>
      </c>
      <c r="M269" t="s">
        <v>45</v>
      </c>
      <c r="N269" s="2">
        <v>3.5</v>
      </c>
      <c r="O269" s="5">
        <v>0.90390000000000004</v>
      </c>
      <c r="P269" t="s">
        <v>34</v>
      </c>
      <c r="Q269" t="s">
        <v>35</v>
      </c>
      <c r="R269" t="s">
        <v>36</v>
      </c>
      <c r="S269" s="2">
        <v>3.5</v>
      </c>
      <c r="T269" s="2">
        <v>1.4641</v>
      </c>
      <c r="U269" t="s">
        <v>36</v>
      </c>
      <c r="V269" s="2" t="s">
        <v>35</v>
      </c>
      <c r="W269" t="s">
        <v>36</v>
      </c>
      <c r="X269" s="2">
        <v>3.5</v>
      </c>
      <c r="Y269" s="2">
        <v>5.2850999999999999</v>
      </c>
      <c r="Z269" t="s">
        <v>36</v>
      </c>
      <c r="AA269">
        <v>210</v>
      </c>
      <c r="AB269">
        <v>0</v>
      </c>
    </row>
    <row r="270" spans="1:28" x14ac:dyDescent="0.3">
      <c r="A270" t="s">
        <v>361</v>
      </c>
      <c r="B270" t="s">
        <v>436</v>
      </c>
      <c r="C270" s="7" t="s">
        <v>30</v>
      </c>
      <c r="D270" s="8">
        <v>23.9</v>
      </c>
      <c r="E270" s="9" t="s">
        <v>31</v>
      </c>
      <c r="F270" s="10" t="s">
        <v>54</v>
      </c>
      <c r="G270" s="11">
        <v>44453</v>
      </c>
      <c r="H270" s="11">
        <v>44477</v>
      </c>
      <c r="I270">
        <v>11</v>
      </c>
      <c r="J270" t="s">
        <v>33</v>
      </c>
      <c r="K270" t="s">
        <v>34</v>
      </c>
      <c r="L270" s="2" t="s">
        <v>44</v>
      </c>
      <c r="M270" t="s">
        <v>45</v>
      </c>
      <c r="N270" s="2">
        <v>3.5</v>
      </c>
      <c r="O270" s="5">
        <v>1.0358000000000001</v>
      </c>
      <c r="P270" t="s">
        <v>34</v>
      </c>
      <c r="Q270" t="s">
        <v>35</v>
      </c>
      <c r="R270" t="s">
        <v>36</v>
      </c>
      <c r="S270" s="2">
        <v>3.5</v>
      </c>
      <c r="T270" s="2">
        <v>7.2556000000000003</v>
      </c>
      <c r="U270" t="s">
        <v>36</v>
      </c>
      <c r="V270" s="2">
        <v>58.514600000000002</v>
      </c>
      <c r="W270" t="s">
        <v>36</v>
      </c>
      <c r="X270" s="2">
        <v>3.5</v>
      </c>
      <c r="Y270" s="2">
        <v>3.7583000000000002</v>
      </c>
      <c r="Z270" t="s">
        <v>36</v>
      </c>
    </row>
    <row r="271" spans="1:28" x14ac:dyDescent="0.3">
      <c r="A271" t="s">
        <v>362</v>
      </c>
      <c r="B271" t="s">
        <v>436</v>
      </c>
      <c r="C271" s="7" t="s">
        <v>30</v>
      </c>
      <c r="D271" s="8">
        <v>37</v>
      </c>
      <c r="E271" s="9" t="s">
        <v>47</v>
      </c>
      <c r="F271" s="10" t="s">
        <v>54</v>
      </c>
      <c r="G271" s="11">
        <v>44458</v>
      </c>
      <c r="H271" s="11">
        <v>44477</v>
      </c>
      <c r="I271">
        <v>15</v>
      </c>
      <c r="J271" t="s">
        <v>43</v>
      </c>
      <c r="K271" t="s">
        <v>34</v>
      </c>
      <c r="L271" s="2" t="s">
        <v>44</v>
      </c>
      <c r="M271" t="s">
        <v>45</v>
      </c>
      <c r="N271" s="2">
        <v>3.5</v>
      </c>
      <c r="O271" s="5">
        <v>0.14729999999999999</v>
      </c>
      <c r="P271" t="s">
        <v>34</v>
      </c>
      <c r="Q271">
        <v>39.756900000000002</v>
      </c>
      <c r="R271" t="s">
        <v>36</v>
      </c>
      <c r="S271" s="2">
        <v>3.5</v>
      </c>
      <c r="T271" s="2">
        <v>2.1347</v>
      </c>
      <c r="U271" t="s">
        <v>36</v>
      </c>
      <c r="V271" s="2">
        <v>26.798400000000001</v>
      </c>
      <c r="W271" t="s">
        <v>36</v>
      </c>
      <c r="X271" s="2">
        <v>3.5</v>
      </c>
      <c r="Y271" s="2" t="s">
        <v>363</v>
      </c>
      <c r="Z271" t="s">
        <v>34</v>
      </c>
    </row>
    <row r="272" spans="1:28" x14ac:dyDescent="0.3">
      <c r="A272" t="s">
        <v>364</v>
      </c>
      <c r="B272" t="s">
        <v>436</v>
      </c>
      <c r="C272" s="7" t="s">
        <v>30</v>
      </c>
      <c r="D272" s="8">
        <v>21.6</v>
      </c>
      <c r="E272" s="9" t="s">
        <v>39</v>
      </c>
      <c r="F272" s="10" t="s">
        <v>54</v>
      </c>
      <c r="G272" s="11">
        <v>44458</v>
      </c>
      <c r="H272" s="11">
        <v>44477</v>
      </c>
      <c r="I272">
        <v>14</v>
      </c>
      <c r="J272" t="s">
        <v>43</v>
      </c>
      <c r="K272" t="s">
        <v>34</v>
      </c>
      <c r="L272" s="2" t="s">
        <v>44</v>
      </c>
      <c r="M272" t="s">
        <v>45</v>
      </c>
      <c r="N272" s="2">
        <v>3.5</v>
      </c>
      <c r="O272" s="5">
        <v>0.2505</v>
      </c>
      <c r="P272" t="s">
        <v>34</v>
      </c>
      <c r="Q272" t="s">
        <v>44</v>
      </c>
      <c r="R272" t="s">
        <v>45</v>
      </c>
      <c r="S272" s="2">
        <v>3.5</v>
      </c>
      <c r="T272" s="2">
        <v>1.0442</v>
      </c>
      <c r="U272" t="s">
        <v>34</v>
      </c>
      <c r="V272" s="2" t="s">
        <v>35</v>
      </c>
      <c r="W272" t="s">
        <v>36</v>
      </c>
      <c r="X272" s="2">
        <v>3.5</v>
      </c>
      <c r="Y272" s="2">
        <v>0.64139999999999997</v>
      </c>
      <c r="Z272" t="s">
        <v>34</v>
      </c>
      <c r="AA272">
        <v>210</v>
      </c>
      <c r="AB272">
        <v>0</v>
      </c>
    </row>
    <row r="273" spans="1:28" x14ac:dyDescent="0.3">
      <c r="A273" t="s">
        <v>365</v>
      </c>
      <c r="B273" t="s">
        <v>436</v>
      </c>
      <c r="C273" s="7" t="s">
        <v>30</v>
      </c>
      <c r="D273" s="8">
        <v>16.3</v>
      </c>
      <c r="E273" s="9" t="s">
        <v>39</v>
      </c>
      <c r="F273" s="10" t="s">
        <v>54</v>
      </c>
      <c r="G273" s="11">
        <v>44453</v>
      </c>
      <c r="H273" s="11">
        <v>44477</v>
      </c>
      <c r="I273">
        <v>12</v>
      </c>
      <c r="J273" t="s">
        <v>33</v>
      </c>
      <c r="K273" t="s">
        <v>34</v>
      </c>
      <c r="L273" s="2" t="s">
        <v>44</v>
      </c>
      <c r="M273" s="2" t="s">
        <v>45</v>
      </c>
      <c r="N273" s="2">
        <v>3.5</v>
      </c>
      <c r="O273" s="5">
        <v>0.30769999999999997</v>
      </c>
      <c r="P273" t="s">
        <v>34</v>
      </c>
      <c r="Q273" t="s">
        <v>44</v>
      </c>
      <c r="R273" t="s">
        <v>45</v>
      </c>
      <c r="S273" s="2">
        <v>3.5</v>
      </c>
      <c r="T273" s="2">
        <v>8.3900000000000002E-2</v>
      </c>
      <c r="U273" t="s">
        <v>34</v>
      </c>
      <c r="V273" s="2" t="s">
        <v>44</v>
      </c>
      <c r="W273" t="s">
        <v>45</v>
      </c>
      <c r="X273" s="2">
        <v>3.5</v>
      </c>
      <c r="Y273" s="2">
        <v>2.4283000000000001</v>
      </c>
      <c r="Z273" t="s">
        <v>36</v>
      </c>
      <c r="AA273">
        <v>210</v>
      </c>
      <c r="AB273">
        <v>0</v>
      </c>
    </row>
    <row r="274" spans="1:28" x14ac:dyDescent="0.3">
      <c r="A274" t="s">
        <v>366</v>
      </c>
      <c r="B274" t="s">
        <v>436</v>
      </c>
      <c r="C274" s="7" t="s">
        <v>30</v>
      </c>
      <c r="D274" s="8">
        <v>19.899999999999999</v>
      </c>
      <c r="E274" s="9" t="s">
        <v>39</v>
      </c>
      <c r="F274" s="10" t="s">
        <v>54</v>
      </c>
      <c r="G274" s="11">
        <v>44453</v>
      </c>
      <c r="H274" s="11">
        <v>44476</v>
      </c>
      <c r="I274">
        <v>15</v>
      </c>
      <c r="J274" t="s">
        <v>43</v>
      </c>
      <c r="K274" t="s">
        <v>34</v>
      </c>
      <c r="L274" s="2" t="s">
        <v>44</v>
      </c>
      <c r="M274" t="s">
        <v>45</v>
      </c>
      <c r="N274" s="2">
        <v>3.5</v>
      </c>
      <c r="O274" s="5">
        <v>0.27029999999999998</v>
      </c>
      <c r="P274" t="s">
        <v>34</v>
      </c>
      <c r="Q274" t="s">
        <v>44</v>
      </c>
      <c r="R274" t="s">
        <v>36</v>
      </c>
      <c r="S274" s="2">
        <v>3.5</v>
      </c>
      <c r="T274" s="2">
        <v>0.77170000000000005</v>
      </c>
      <c r="U274" t="s">
        <v>34</v>
      </c>
      <c r="V274" s="2" t="s">
        <v>44</v>
      </c>
      <c r="W274" t="s">
        <v>45</v>
      </c>
      <c r="X274" s="2">
        <v>3.5</v>
      </c>
      <c r="Y274" s="2">
        <v>0.61270000000000002</v>
      </c>
      <c r="Z274" t="s">
        <v>34</v>
      </c>
      <c r="AA274">
        <v>210</v>
      </c>
      <c r="AB274">
        <v>0</v>
      </c>
    </row>
    <row r="275" spans="1:28" x14ac:dyDescent="0.3">
      <c r="A275" t="s">
        <v>367</v>
      </c>
      <c r="B275" t="s">
        <v>38</v>
      </c>
      <c r="C275" s="7" t="s">
        <v>30</v>
      </c>
      <c r="D275" s="8">
        <v>18.899999999999999</v>
      </c>
      <c r="E275" s="9" t="s">
        <v>39</v>
      </c>
      <c r="F275" s="10" t="s">
        <v>54</v>
      </c>
      <c r="G275" s="11">
        <v>44453</v>
      </c>
      <c r="H275" s="11">
        <v>44476</v>
      </c>
      <c r="I275">
        <v>15</v>
      </c>
      <c r="J275" t="s">
        <v>43</v>
      </c>
      <c r="K275" t="s">
        <v>34</v>
      </c>
      <c r="L275" s="2">
        <v>95.591800000000006</v>
      </c>
      <c r="M275" t="s">
        <v>36</v>
      </c>
      <c r="N275" s="2">
        <v>3.5</v>
      </c>
      <c r="O275" s="5">
        <v>0.33629999999999999</v>
      </c>
      <c r="P275" t="s">
        <v>34</v>
      </c>
      <c r="Q275" t="s">
        <v>44</v>
      </c>
      <c r="R275" t="s">
        <v>45</v>
      </c>
      <c r="S275" s="2">
        <v>3.5</v>
      </c>
      <c r="T275" s="2">
        <v>1.1148</v>
      </c>
      <c r="U275" t="s">
        <v>36</v>
      </c>
      <c r="V275" s="2" t="s">
        <v>44</v>
      </c>
      <c r="W275" t="s">
        <v>45</v>
      </c>
      <c r="X275" s="2">
        <v>3.5</v>
      </c>
      <c r="Y275" s="2">
        <v>0.63319999999999999</v>
      </c>
      <c r="Z275" t="s">
        <v>34</v>
      </c>
    </row>
    <row r="276" spans="1:28" x14ac:dyDescent="0.3">
      <c r="A276" t="s">
        <v>368</v>
      </c>
      <c r="B276" t="s">
        <v>436</v>
      </c>
      <c r="C276" s="12" t="s">
        <v>30</v>
      </c>
      <c r="D276" s="8">
        <v>19.8</v>
      </c>
      <c r="E276" s="9" t="s">
        <v>39</v>
      </c>
      <c r="F276" s="10" t="s">
        <v>54</v>
      </c>
      <c r="G276" s="11">
        <v>44453</v>
      </c>
      <c r="H276" s="11">
        <v>44476</v>
      </c>
      <c r="I276">
        <v>14</v>
      </c>
      <c r="J276" t="s">
        <v>43</v>
      </c>
      <c r="K276" t="s">
        <v>34</v>
      </c>
      <c r="L276" s="2" t="s">
        <v>44</v>
      </c>
      <c r="M276" t="s">
        <v>45</v>
      </c>
      <c r="N276" s="2">
        <v>3.5</v>
      </c>
      <c r="O276" s="5">
        <v>0.27689999999999998</v>
      </c>
      <c r="P276" t="s">
        <v>34</v>
      </c>
      <c r="Q276" t="s">
        <v>44</v>
      </c>
      <c r="R276" t="s">
        <v>45</v>
      </c>
      <c r="S276" s="2">
        <v>3.5</v>
      </c>
      <c r="T276" s="2">
        <v>2.8675000000000002</v>
      </c>
      <c r="U276" t="s">
        <v>36</v>
      </c>
      <c r="V276" s="2" t="s">
        <v>44</v>
      </c>
      <c r="W276" t="s">
        <v>45</v>
      </c>
      <c r="X276" s="2">
        <v>3.5</v>
      </c>
      <c r="Y276" s="2">
        <v>4.2417999999999996</v>
      </c>
      <c r="Z276" t="s">
        <v>36</v>
      </c>
      <c r="AA276">
        <v>210</v>
      </c>
      <c r="AB276">
        <v>0</v>
      </c>
    </row>
    <row r="277" spans="1:28" x14ac:dyDescent="0.3">
      <c r="A277" t="s">
        <v>369</v>
      </c>
      <c r="B277" t="s">
        <v>436</v>
      </c>
      <c r="C277" s="12" t="s">
        <v>34</v>
      </c>
      <c r="D277" s="8">
        <v>21.3</v>
      </c>
      <c r="E277" s="9" t="s">
        <v>39</v>
      </c>
      <c r="F277" s="10" t="s">
        <v>54</v>
      </c>
      <c r="G277" s="11">
        <v>44453</v>
      </c>
      <c r="H277" s="11">
        <v>44476</v>
      </c>
      <c r="I277">
        <v>15</v>
      </c>
      <c r="J277" t="s">
        <v>43</v>
      </c>
      <c r="K277" t="s">
        <v>34</v>
      </c>
      <c r="L277" s="2" t="s">
        <v>44</v>
      </c>
      <c r="M277" t="s">
        <v>45</v>
      </c>
      <c r="N277" s="2">
        <v>3.5</v>
      </c>
      <c r="O277" s="5">
        <v>0.54290000000000005</v>
      </c>
      <c r="P277" t="s">
        <v>34</v>
      </c>
      <c r="Q277" t="s">
        <v>44</v>
      </c>
      <c r="R277" t="s">
        <v>45</v>
      </c>
      <c r="S277" s="2">
        <v>3.5</v>
      </c>
      <c r="T277" s="2">
        <v>1.649</v>
      </c>
      <c r="U277" t="s">
        <v>36</v>
      </c>
      <c r="V277" s="2" t="s">
        <v>44</v>
      </c>
      <c r="W277" t="s">
        <v>45</v>
      </c>
      <c r="X277" s="2">
        <v>3.5</v>
      </c>
      <c r="Y277" s="2">
        <v>0.74590000000000001</v>
      </c>
      <c r="Z277" t="s">
        <v>34</v>
      </c>
      <c r="AA277">
        <v>210</v>
      </c>
      <c r="AB277">
        <v>0</v>
      </c>
    </row>
    <row r="278" spans="1:28" x14ac:dyDescent="0.3">
      <c r="A278" t="s">
        <v>370</v>
      </c>
      <c r="B278" t="s">
        <v>436</v>
      </c>
      <c r="C278" s="12" t="s">
        <v>34</v>
      </c>
      <c r="D278" s="8">
        <v>32.700000000000003</v>
      </c>
      <c r="E278" s="9" t="s">
        <v>47</v>
      </c>
      <c r="F278" s="10" t="s">
        <v>54</v>
      </c>
      <c r="G278" s="11">
        <v>44453</v>
      </c>
      <c r="H278" s="11">
        <v>44476</v>
      </c>
      <c r="I278">
        <v>15</v>
      </c>
      <c r="J278" t="s">
        <v>43</v>
      </c>
      <c r="K278" t="s">
        <v>34</v>
      </c>
      <c r="L278" s="2" t="s">
        <v>44</v>
      </c>
      <c r="M278" t="s">
        <v>45</v>
      </c>
      <c r="N278" s="2">
        <v>3.5</v>
      </c>
      <c r="O278" s="5">
        <v>0.38240000000000002</v>
      </c>
      <c r="P278" t="s">
        <v>34</v>
      </c>
      <c r="Q278">
        <v>7.6596000000000002</v>
      </c>
      <c r="R278" t="s">
        <v>34</v>
      </c>
      <c r="S278" s="2">
        <v>3.5</v>
      </c>
      <c r="T278" s="2">
        <v>2.7439</v>
      </c>
      <c r="U278" t="s">
        <v>36</v>
      </c>
      <c r="V278" s="2">
        <v>38.023699999999998</v>
      </c>
      <c r="W278" t="s">
        <v>36</v>
      </c>
      <c r="X278" s="2">
        <v>3.5</v>
      </c>
      <c r="Y278" s="2">
        <v>3.9201000000000001</v>
      </c>
      <c r="Z278" t="s">
        <v>36</v>
      </c>
    </row>
    <row r="279" spans="1:28" x14ac:dyDescent="0.3">
      <c r="A279" t="s">
        <v>371</v>
      </c>
      <c r="B279" t="s">
        <v>38</v>
      </c>
      <c r="C279" s="12" t="s">
        <v>34</v>
      </c>
      <c r="D279" s="8">
        <v>17.3</v>
      </c>
      <c r="E279" s="9" t="s">
        <v>39</v>
      </c>
      <c r="F279" s="10" t="s">
        <v>54</v>
      </c>
      <c r="G279" s="11">
        <v>44453</v>
      </c>
      <c r="H279" s="11">
        <v>44477</v>
      </c>
      <c r="I279">
        <v>11</v>
      </c>
      <c r="J279" t="s">
        <v>33</v>
      </c>
      <c r="K279" t="s">
        <v>34</v>
      </c>
      <c r="L279" s="2" t="s">
        <v>44</v>
      </c>
      <c r="M279" t="s">
        <v>45</v>
      </c>
      <c r="N279" s="2">
        <v>3.5</v>
      </c>
      <c r="O279" s="5">
        <v>0.37140000000000001</v>
      </c>
      <c r="P279" t="s">
        <v>34</v>
      </c>
      <c r="Q279" t="s">
        <v>35</v>
      </c>
      <c r="R279" t="s">
        <v>36</v>
      </c>
      <c r="S279" s="2">
        <v>3.5</v>
      </c>
      <c r="T279" s="2">
        <v>0.19650000000000001</v>
      </c>
      <c r="U279" t="s">
        <v>34</v>
      </c>
      <c r="V279" s="2">
        <v>116.9697</v>
      </c>
      <c r="W279" t="s">
        <v>36</v>
      </c>
      <c r="X279" s="2">
        <v>3.5</v>
      </c>
      <c r="Y279" s="2">
        <v>0.17419999999999999</v>
      </c>
      <c r="Z279" t="s">
        <v>34</v>
      </c>
    </row>
    <row r="280" spans="1:28" x14ac:dyDescent="0.3">
      <c r="A280" t="s">
        <v>372</v>
      </c>
      <c r="B280" t="s">
        <v>436</v>
      </c>
      <c r="C280" s="12" t="s">
        <v>34</v>
      </c>
      <c r="D280" s="8">
        <v>23</v>
      </c>
      <c r="E280" s="9" t="s">
        <v>31</v>
      </c>
      <c r="F280" s="10" t="s">
        <v>54</v>
      </c>
      <c r="G280" s="11">
        <v>44453</v>
      </c>
      <c r="H280" s="11">
        <v>44477</v>
      </c>
      <c r="I280">
        <v>12</v>
      </c>
      <c r="J280" t="s">
        <v>33</v>
      </c>
      <c r="K280" t="s">
        <v>36</v>
      </c>
      <c r="L280" s="2" t="s">
        <v>44</v>
      </c>
      <c r="M280" t="s">
        <v>45</v>
      </c>
      <c r="N280" s="2">
        <v>3.5</v>
      </c>
      <c r="O280" s="5">
        <v>0.10589999999999999</v>
      </c>
      <c r="P280" t="s">
        <v>34</v>
      </c>
      <c r="Q280" t="s">
        <v>35</v>
      </c>
      <c r="R280" t="s">
        <v>36</v>
      </c>
      <c r="S280" s="2">
        <v>3.5</v>
      </c>
      <c r="T280" s="2">
        <v>0.11260000000000001</v>
      </c>
      <c r="U280" t="s">
        <v>34</v>
      </c>
      <c r="V280" s="2" t="s">
        <v>35</v>
      </c>
      <c r="W280" t="s">
        <v>36</v>
      </c>
      <c r="X280" s="2">
        <v>3.5</v>
      </c>
      <c r="Y280" s="2">
        <v>6.6100000000000006E-2</v>
      </c>
      <c r="Z280" t="s">
        <v>34</v>
      </c>
      <c r="AA280">
        <v>210</v>
      </c>
      <c r="AB280">
        <v>0</v>
      </c>
    </row>
    <row r="281" spans="1:28" x14ac:dyDescent="0.3">
      <c r="A281" t="s">
        <v>373</v>
      </c>
      <c r="B281" t="s">
        <v>38</v>
      </c>
      <c r="C281" s="12" t="s">
        <v>34</v>
      </c>
      <c r="D281" s="8">
        <v>19</v>
      </c>
      <c r="E281" s="9" t="s">
        <v>39</v>
      </c>
      <c r="F281" s="10" t="s">
        <v>54</v>
      </c>
      <c r="G281" s="11">
        <v>44466</v>
      </c>
      <c r="H281" s="11">
        <v>44487</v>
      </c>
      <c r="I281">
        <v>15</v>
      </c>
      <c r="J281" t="s">
        <v>43</v>
      </c>
      <c r="K281" t="s">
        <v>34</v>
      </c>
      <c r="L281" s="2" t="s">
        <v>44</v>
      </c>
      <c r="M281" t="s">
        <v>45</v>
      </c>
      <c r="N281" s="2">
        <v>3.5</v>
      </c>
      <c r="O281" s="5">
        <v>3.9100000000000003E-2</v>
      </c>
      <c r="P281" t="s">
        <v>34</v>
      </c>
      <c r="Q281" t="s">
        <v>44</v>
      </c>
      <c r="R281" t="s">
        <v>45</v>
      </c>
      <c r="S281" s="2">
        <v>3.5</v>
      </c>
      <c r="T281" s="2">
        <v>0.60760000000000003</v>
      </c>
      <c r="U281" t="s">
        <v>34</v>
      </c>
      <c r="V281" s="2" t="s">
        <v>44</v>
      </c>
      <c r="W281" t="s">
        <v>45</v>
      </c>
      <c r="X281" s="2">
        <v>3.5</v>
      </c>
      <c r="Y281" s="2">
        <v>0.60329999999999995</v>
      </c>
      <c r="Z281" t="s">
        <v>34</v>
      </c>
      <c r="AA281">
        <v>210</v>
      </c>
      <c r="AB281">
        <v>0</v>
      </c>
    </row>
    <row r="282" spans="1:28" x14ac:dyDescent="0.3">
      <c r="A282" t="s">
        <v>374</v>
      </c>
      <c r="B282" t="s">
        <v>38</v>
      </c>
      <c r="C282" s="12" t="s">
        <v>34</v>
      </c>
      <c r="D282" s="8">
        <v>18.399999999999999</v>
      </c>
      <c r="E282" s="9" t="s">
        <v>39</v>
      </c>
      <c r="F282" s="10" t="s">
        <v>54</v>
      </c>
      <c r="G282" s="11">
        <v>44453</v>
      </c>
      <c r="H282" s="11">
        <v>44477</v>
      </c>
      <c r="I282">
        <v>12</v>
      </c>
      <c r="J282" t="s">
        <v>33</v>
      </c>
      <c r="K282" t="s">
        <v>34</v>
      </c>
      <c r="L282" s="2" t="s">
        <v>44</v>
      </c>
      <c r="M282" t="s">
        <v>45</v>
      </c>
      <c r="N282" s="2">
        <v>3.5</v>
      </c>
      <c r="O282" s="5">
        <v>0.2248</v>
      </c>
      <c r="P282" t="s">
        <v>34</v>
      </c>
      <c r="Q282" t="s">
        <v>35</v>
      </c>
      <c r="R282" t="s">
        <v>36</v>
      </c>
      <c r="S282" s="2">
        <v>3.5</v>
      </c>
      <c r="T282" s="2">
        <v>2.5807000000000002</v>
      </c>
      <c r="U282" t="s">
        <v>36</v>
      </c>
      <c r="V282" s="2" t="s">
        <v>35</v>
      </c>
      <c r="W282" t="s">
        <v>36</v>
      </c>
      <c r="X282" s="2">
        <v>3.5</v>
      </c>
      <c r="Y282" s="2">
        <v>1.7211000000000001</v>
      </c>
      <c r="Z282" t="s">
        <v>36</v>
      </c>
      <c r="AA282">
        <v>210</v>
      </c>
      <c r="AB282">
        <v>0</v>
      </c>
    </row>
    <row r="283" spans="1:28" x14ac:dyDescent="0.3">
      <c r="A283" t="s">
        <v>375</v>
      </c>
      <c r="B283" t="s">
        <v>436</v>
      </c>
      <c r="C283" s="12" t="s">
        <v>34</v>
      </c>
      <c r="D283" s="8">
        <v>17.600000000000001</v>
      </c>
      <c r="E283" s="9" t="s">
        <v>39</v>
      </c>
      <c r="F283" s="10" t="s">
        <v>54</v>
      </c>
      <c r="G283" s="11">
        <v>44453</v>
      </c>
      <c r="H283" s="11">
        <v>44477</v>
      </c>
      <c r="I283">
        <v>12</v>
      </c>
      <c r="J283" t="s">
        <v>33</v>
      </c>
      <c r="K283" t="s">
        <v>34</v>
      </c>
      <c r="L283" s="2" t="s">
        <v>44</v>
      </c>
      <c r="M283" t="s">
        <v>45</v>
      </c>
      <c r="N283" s="2">
        <v>3.5</v>
      </c>
      <c r="O283" s="5">
        <v>0.1026</v>
      </c>
      <c r="P283" t="s">
        <v>34</v>
      </c>
      <c r="Q283" t="s">
        <v>44</v>
      </c>
      <c r="R283" t="s">
        <v>45</v>
      </c>
      <c r="S283" s="2">
        <v>3.5</v>
      </c>
      <c r="T283" s="2">
        <v>2.3879000000000001</v>
      </c>
      <c r="U283" t="s">
        <v>36</v>
      </c>
      <c r="V283" s="2" t="s">
        <v>35</v>
      </c>
      <c r="W283" t="s">
        <v>36</v>
      </c>
      <c r="X283" s="2">
        <v>3.5</v>
      </c>
      <c r="Y283" s="2">
        <v>1.0764</v>
      </c>
      <c r="Z283" t="s">
        <v>34</v>
      </c>
      <c r="AA283">
        <v>210</v>
      </c>
      <c r="AB283">
        <v>0</v>
      </c>
    </row>
    <row r="284" spans="1:28" x14ac:dyDescent="0.3">
      <c r="A284" t="s">
        <v>376</v>
      </c>
      <c r="B284" t="s">
        <v>436</v>
      </c>
      <c r="C284" s="12" t="s">
        <v>34</v>
      </c>
      <c r="D284" s="8">
        <v>16.100000000000001</v>
      </c>
      <c r="E284" s="9" t="s">
        <v>39</v>
      </c>
      <c r="F284" s="10" t="s">
        <v>54</v>
      </c>
      <c r="G284" s="11">
        <v>44453</v>
      </c>
      <c r="H284" s="11">
        <v>44482</v>
      </c>
      <c r="I284">
        <v>12</v>
      </c>
      <c r="J284" t="s">
        <v>33</v>
      </c>
      <c r="K284" t="s">
        <v>34</v>
      </c>
      <c r="L284" s="2" t="s">
        <v>44</v>
      </c>
      <c r="M284" t="s">
        <v>45</v>
      </c>
      <c r="N284" s="2">
        <v>3.5</v>
      </c>
      <c r="O284" s="5">
        <v>0.1042</v>
      </c>
      <c r="P284" t="s">
        <v>34</v>
      </c>
      <c r="Q284" t="s">
        <v>44</v>
      </c>
      <c r="R284" t="s">
        <v>45</v>
      </c>
      <c r="S284" s="2">
        <v>3.5</v>
      </c>
      <c r="T284" s="2">
        <v>0.75339999999999996</v>
      </c>
      <c r="U284" t="s">
        <v>34</v>
      </c>
      <c r="V284" t="s">
        <v>44</v>
      </c>
      <c r="W284" t="s">
        <v>45</v>
      </c>
      <c r="X284" s="2">
        <v>3.5</v>
      </c>
      <c r="Y284" s="2">
        <v>0.65080000000000005</v>
      </c>
      <c r="Z284" t="s">
        <v>34</v>
      </c>
      <c r="AA284">
        <v>210</v>
      </c>
      <c r="AB284">
        <v>0</v>
      </c>
    </row>
    <row r="285" spans="1:28" x14ac:dyDescent="0.3">
      <c r="A285" t="s">
        <v>377</v>
      </c>
      <c r="B285" t="s">
        <v>436</v>
      </c>
      <c r="C285" s="12" t="s">
        <v>34</v>
      </c>
      <c r="D285" s="8">
        <v>16.3</v>
      </c>
      <c r="E285" s="9" t="s">
        <v>39</v>
      </c>
      <c r="F285" s="10" t="s">
        <v>54</v>
      </c>
      <c r="G285" s="11">
        <v>44453</v>
      </c>
      <c r="H285" s="11">
        <v>44477</v>
      </c>
      <c r="I285">
        <v>12</v>
      </c>
      <c r="J285" t="s">
        <v>33</v>
      </c>
      <c r="K285" t="s">
        <v>34</v>
      </c>
      <c r="L285" s="2" t="s">
        <v>44</v>
      </c>
      <c r="M285" t="s">
        <v>45</v>
      </c>
      <c r="N285" s="2">
        <v>3.5</v>
      </c>
      <c r="O285" s="5">
        <v>6.1899999999999997E-2</v>
      </c>
      <c r="P285" t="s">
        <v>34</v>
      </c>
      <c r="Q285" t="s">
        <v>35</v>
      </c>
      <c r="R285" t="s">
        <v>36</v>
      </c>
      <c r="S285" s="2">
        <v>3.5</v>
      </c>
      <c r="T285" s="2">
        <v>0.13</v>
      </c>
      <c r="U285" t="s">
        <v>34</v>
      </c>
      <c r="V285" t="s">
        <v>44</v>
      </c>
      <c r="W285" t="s">
        <v>45</v>
      </c>
      <c r="X285" s="2">
        <v>3.5</v>
      </c>
      <c r="Y285" s="2">
        <v>0.85329999999999995</v>
      </c>
      <c r="Z285" t="s">
        <v>34</v>
      </c>
      <c r="AA285">
        <v>210</v>
      </c>
      <c r="AB285">
        <v>0</v>
      </c>
    </row>
    <row r="286" spans="1:28" x14ac:dyDescent="0.3">
      <c r="A286" t="s">
        <v>378</v>
      </c>
      <c r="B286" t="s">
        <v>436</v>
      </c>
      <c r="C286" s="7" t="s">
        <v>34</v>
      </c>
      <c r="D286" s="8">
        <v>16.8</v>
      </c>
      <c r="E286" s="9" t="s">
        <v>39</v>
      </c>
      <c r="F286" s="10" t="s">
        <v>54</v>
      </c>
      <c r="G286" s="11">
        <v>44453</v>
      </c>
      <c r="H286" s="11">
        <v>44477</v>
      </c>
      <c r="I286">
        <v>12</v>
      </c>
      <c r="J286" t="s">
        <v>33</v>
      </c>
      <c r="K286" t="s">
        <v>34</v>
      </c>
      <c r="L286" s="2" t="s">
        <v>44</v>
      </c>
      <c r="M286" t="s">
        <v>45</v>
      </c>
      <c r="N286" s="2">
        <v>3.5</v>
      </c>
      <c r="O286" s="5">
        <v>0.66810000000000003</v>
      </c>
      <c r="P286" t="s">
        <v>34</v>
      </c>
      <c r="Q286" t="s">
        <v>35</v>
      </c>
      <c r="R286" t="s">
        <v>36</v>
      </c>
      <c r="S286" s="2">
        <v>3.5</v>
      </c>
      <c r="T286" s="2">
        <v>3.5211000000000001</v>
      </c>
      <c r="U286" t="s">
        <v>36</v>
      </c>
      <c r="V286" s="2" t="s">
        <v>35</v>
      </c>
      <c r="W286" t="s">
        <v>36</v>
      </c>
      <c r="X286" s="2">
        <v>3.5</v>
      </c>
      <c r="Y286" s="2">
        <v>1.2609999999999999</v>
      </c>
      <c r="Z286" t="s">
        <v>36</v>
      </c>
      <c r="AA286">
        <v>210</v>
      </c>
      <c r="AB286">
        <v>0</v>
      </c>
    </row>
    <row r="287" spans="1:28" x14ac:dyDescent="0.3">
      <c r="A287" t="s">
        <v>379</v>
      </c>
      <c r="B287" t="s">
        <v>436</v>
      </c>
      <c r="C287" s="7" t="s">
        <v>34</v>
      </c>
      <c r="D287" s="8">
        <v>19.7</v>
      </c>
      <c r="E287" s="9" t="s">
        <v>39</v>
      </c>
      <c r="F287" s="10" t="s">
        <v>54</v>
      </c>
      <c r="G287" s="11">
        <v>44453</v>
      </c>
      <c r="H287" s="11">
        <v>44477</v>
      </c>
      <c r="I287">
        <v>12</v>
      </c>
      <c r="J287" t="s">
        <v>33</v>
      </c>
      <c r="K287" t="s">
        <v>34</v>
      </c>
      <c r="L287" s="2" t="s">
        <v>44</v>
      </c>
      <c r="M287" s="2" t="s">
        <v>45</v>
      </c>
      <c r="N287" s="2">
        <v>3.5</v>
      </c>
      <c r="O287" s="5">
        <v>0.28170000000000001</v>
      </c>
      <c r="P287" t="s">
        <v>34</v>
      </c>
      <c r="Q287" t="s">
        <v>35</v>
      </c>
      <c r="R287" t="s">
        <v>36</v>
      </c>
      <c r="S287" s="2">
        <v>3.5</v>
      </c>
      <c r="T287" s="2">
        <v>5.6989000000000001</v>
      </c>
      <c r="U287" t="s">
        <v>36</v>
      </c>
      <c r="V287" s="2" t="s">
        <v>35</v>
      </c>
      <c r="W287" t="s">
        <v>36</v>
      </c>
      <c r="X287" s="2">
        <v>3.5</v>
      </c>
      <c r="Y287" s="2">
        <v>2.0270999999999999</v>
      </c>
      <c r="Z287" t="s">
        <v>36</v>
      </c>
      <c r="AA287">
        <v>210</v>
      </c>
      <c r="AB287">
        <v>0</v>
      </c>
    </row>
    <row r="288" spans="1:28" x14ac:dyDescent="0.3">
      <c r="A288" t="s">
        <v>380</v>
      </c>
      <c r="B288" t="s">
        <v>436</v>
      </c>
      <c r="C288" s="7" t="s">
        <v>34</v>
      </c>
      <c r="D288" s="8">
        <v>15.8</v>
      </c>
      <c r="E288" s="9" t="s">
        <v>39</v>
      </c>
      <c r="F288" s="10" t="s">
        <v>54</v>
      </c>
      <c r="G288" s="11">
        <v>44453</v>
      </c>
      <c r="H288" s="11">
        <v>44477</v>
      </c>
      <c r="I288">
        <v>12</v>
      </c>
      <c r="J288" t="s">
        <v>33</v>
      </c>
      <c r="K288" t="s">
        <v>34</v>
      </c>
      <c r="L288" s="2" t="s">
        <v>35</v>
      </c>
      <c r="M288" t="s">
        <v>36</v>
      </c>
      <c r="N288" s="2">
        <v>3.5</v>
      </c>
      <c r="O288" s="5">
        <v>0.14319999999999999</v>
      </c>
      <c r="P288" t="s">
        <v>34</v>
      </c>
      <c r="Q288" t="s">
        <v>35</v>
      </c>
      <c r="R288" t="s">
        <v>36</v>
      </c>
      <c r="S288" s="2">
        <v>3.5</v>
      </c>
      <c r="T288" s="2">
        <v>0.16700000000000001</v>
      </c>
      <c r="U288" t="s">
        <v>34</v>
      </c>
      <c r="V288" s="2" t="s">
        <v>35</v>
      </c>
      <c r="W288" t="s">
        <v>36</v>
      </c>
      <c r="X288" s="2">
        <v>3.5</v>
      </c>
      <c r="Y288" s="2">
        <v>2.8549000000000002</v>
      </c>
      <c r="Z288" t="s">
        <v>36</v>
      </c>
      <c r="AA288">
        <v>210</v>
      </c>
      <c r="AB288">
        <v>0</v>
      </c>
    </row>
    <row r="289" spans="1:28" x14ac:dyDescent="0.3">
      <c r="A289" t="s">
        <v>381</v>
      </c>
      <c r="B289" t="s">
        <v>38</v>
      </c>
      <c r="C289" s="7" t="s">
        <v>34</v>
      </c>
      <c r="D289" s="8">
        <v>22.4</v>
      </c>
      <c r="E289" s="9" t="s">
        <v>39</v>
      </c>
      <c r="F289" s="10" t="s">
        <v>54</v>
      </c>
      <c r="G289" s="11">
        <v>44454</v>
      </c>
      <c r="H289" s="11">
        <v>44476</v>
      </c>
      <c r="I289">
        <v>15</v>
      </c>
      <c r="J289" t="s">
        <v>43</v>
      </c>
      <c r="K289" t="s">
        <v>34</v>
      </c>
      <c r="L289" s="2" t="s">
        <v>44</v>
      </c>
      <c r="M289" t="s">
        <v>45</v>
      </c>
      <c r="N289" s="2">
        <v>3.5</v>
      </c>
      <c r="O289" s="5">
        <v>0.1477</v>
      </c>
      <c r="P289" t="s">
        <v>34</v>
      </c>
      <c r="Q289" t="s">
        <v>35</v>
      </c>
      <c r="R289" t="s">
        <v>36</v>
      </c>
      <c r="S289" s="2">
        <v>3.5</v>
      </c>
      <c r="T289" s="2">
        <v>0.1696</v>
      </c>
      <c r="U289" t="s">
        <v>34</v>
      </c>
      <c r="V289" s="2" t="s">
        <v>35</v>
      </c>
      <c r="W289" t="s">
        <v>36</v>
      </c>
      <c r="X289" s="2">
        <v>3.5</v>
      </c>
      <c r="Y289" s="2">
        <v>0.16900000000000001</v>
      </c>
      <c r="Z289" t="s">
        <v>34</v>
      </c>
      <c r="AA289">
        <v>210</v>
      </c>
      <c r="AB289">
        <v>0</v>
      </c>
    </row>
    <row r="290" spans="1:28" x14ac:dyDescent="0.3">
      <c r="A290" t="s">
        <v>382</v>
      </c>
      <c r="B290" t="s">
        <v>38</v>
      </c>
      <c r="C290" s="7" t="s">
        <v>30</v>
      </c>
      <c r="D290" s="8">
        <v>18.600000000000001</v>
      </c>
      <c r="E290" s="9" t="s">
        <v>39</v>
      </c>
      <c r="F290" s="10" t="s">
        <v>54</v>
      </c>
      <c r="G290" s="11">
        <v>44453</v>
      </c>
      <c r="H290" s="11">
        <v>44477</v>
      </c>
      <c r="I290">
        <v>12</v>
      </c>
      <c r="J290" t="s">
        <v>33</v>
      </c>
      <c r="K290" t="s">
        <v>34</v>
      </c>
      <c r="L290" s="2" t="s">
        <v>44</v>
      </c>
      <c r="M290" t="s">
        <v>45</v>
      </c>
      <c r="N290" s="2">
        <v>3.5</v>
      </c>
      <c r="O290" s="5">
        <v>1.5308999999999999</v>
      </c>
      <c r="P290" t="s">
        <v>36</v>
      </c>
      <c r="Q290">
        <v>36.169400000000003</v>
      </c>
      <c r="R290" t="s">
        <v>36</v>
      </c>
      <c r="S290" s="2">
        <v>3.5</v>
      </c>
      <c r="T290" s="2">
        <v>1.2915000000000001</v>
      </c>
      <c r="U290" t="s">
        <v>36</v>
      </c>
      <c r="V290" s="2">
        <v>30.168199999999999</v>
      </c>
      <c r="W290" t="s">
        <v>36</v>
      </c>
      <c r="X290" s="2">
        <v>3.5</v>
      </c>
      <c r="Y290" s="2">
        <v>0.94210000000000005</v>
      </c>
      <c r="Z290" t="s">
        <v>34</v>
      </c>
    </row>
    <row r="291" spans="1:28" x14ac:dyDescent="0.3">
      <c r="A291" t="s">
        <v>383</v>
      </c>
      <c r="B291" t="s">
        <v>436</v>
      </c>
      <c r="C291" s="7" t="s">
        <v>49</v>
      </c>
      <c r="D291" s="8">
        <v>29.7</v>
      </c>
      <c r="E291" s="9" t="s">
        <v>47</v>
      </c>
      <c r="F291" s="10" t="s">
        <v>54</v>
      </c>
      <c r="G291" s="11">
        <v>44453</v>
      </c>
      <c r="H291" s="11">
        <v>44477</v>
      </c>
      <c r="I291">
        <v>12</v>
      </c>
      <c r="J291" t="s">
        <v>33</v>
      </c>
      <c r="K291" t="s">
        <v>34</v>
      </c>
      <c r="L291" s="2" t="s">
        <v>44</v>
      </c>
      <c r="M291" t="s">
        <v>45</v>
      </c>
      <c r="N291" s="2">
        <v>3.5</v>
      </c>
      <c r="O291" s="5">
        <v>4.4236000000000004</v>
      </c>
      <c r="P291" t="s">
        <v>36</v>
      </c>
      <c r="Q291" t="s">
        <v>35</v>
      </c>
      <c r="R291" t="s">
        <v>36</v>
      </c>
      <c r="S291" s="2">
        <v>3.5</v>
      </c>
      <c r="T291" s="2">
        <v>4.8083999999999998</v>
      </c>
      <c r="U291" t="s">
        <v>36</v>
      </c>
      <c r="V291" s="2" t="s">
        <v>35</v>
      </c>
      <c r="W291" t="s">
        <v>36</v>
      </c>
      <c r="X291" s="2">
        <v>3.5</v>
      </c>
      <c r="Y291" s="2">
        <v>2.3069000000000002</v>
      </c>
      <c r="Z291" t="s">
        <v>36</v>
      </c>
      <c r="AA291">
        <v>210</v>
      </c>
      <c r="AB291">
        <v>0</v>
      </c>
    </row>
    <row r="292" spans="1:28" x14ac:dyDescent="0.3">
      <c r="A292" t="s">
        <v>384</v>
      </c>
      <c r="B292" t="s">
        <v>436</v>
      </c>
      <c r="C292" s="7" t="s">
        <v>30</v>
      </c>
      <c r="D292" s="8">
        <v>25.1</v>
      </c>
      <c r="E292" s="9" t="s">
        <v>31</v>
      </c>
      <c r="F292" s="10" t="s">
        <v>54</v>
      </c>
      <c r="G292" s="11">
        <v>44453</v>
      </c>
      <c r="H292" s="11">
        <v>44476</v>
      </c>
      <c r="I292">
        <v>12</v>
      </c>
      <c r="J292" t="s">
        <v>33</v>
      </c>
      <c r="K292" t="s">
        <v>34</v>
      </c>
      <c r="L292" s="2" t="s">
        <v>44</v>
      </c>
      <c r="M292" t="s">
        <v>45</v>
      </c>
      <c r="N292" s="2">
        <v>3.5</v>
      </c>
      <c r="O292" s="5">
        <v>2.2886000000000002</v>
      </c>
      <c r="P292" t="s">
        <v>36</v>
      </c>
      <c r="Q292" t="s">
        <v>35</v>
      </c>
      <c r="R292" t="s">
        <v>36</v>
      </c>
      <c r="S292" s="2">
        <v>3.5</v>
      </c>
      <c r="T292" s="2">
        <v>0.87529999999999997</v>
      </c>
      <c r="U292" t="s">
        <v>34</v>
      </c>
      <c r="V292" s="2" t="s">
        <v>35</v>
      </c>
      <c r="W292" t="s">
        <v>36</v>
      </c>
      <c r="X292" s="2">
        <v>3.5</v>
      </c>
      <c r="Y292" s="2">
        <v>7.0201000000000002</v>
      </c>
      <c r="Z292" t="s">
        <v>36</v>
      </c>
      <c r="AA292">
        <v>210</v>
      </c>
      <c r="AB292">
        <v>0</v>
      </c>
    </row>
    <row r="293" spans="1:28" x14ac:dyDescent="0.3">
      <c r="A293" t="s">
        <v>385</v>
      </c>
      <c r="B293" t="s">
        <v>38</v>
      </c>
      <c r="C293" s="7" t="s">
        <v>34</v>
      </c>
      <c r="D293" s="8">
        <v>20.6</v>
      </c>
      <c r="E293" s="9" t="s">
        <v>39</v>
      </c>
      <c r="F293" s="10" t="s">
        <v>54</v>
      </c>
      <c r="G293" s="11">
        <v>44453</v>
      </c>
      <c r="H293" s="11">
        <v>44476</v>
      </c>
      <c r="I293">
        <v>12</v>
      </c>
      <c r="J293" t="s">
        <v>33</v>
      </c>
      <c r="K293" t="s">
        <v>34</v>
      </c>
      <c r="L293" s="2" t="s">
        <v>44</v>
      </c>
      <c r="M293" t="s">
        <v>45</v>
      </c>
      <c r="N293" s="2">
        <v>3.5</v>
      </c>
      <c r="O293" s="5">
        <v>1.3332999999999999</v>
      </c>
      <c r="P293" t="s">
        <v>36</v>
      </c>
      <c r="Q293" t="s">
        <v>44</v>
      </c>
      <c r="R293" t="s">
        <v>45</v>
      </c>
      <c r="S293" s="2">
        <v>3.5</v>
      </c>
      <c r="T293" s="2">
        <v>7.5246000000000004</v>
      </c>
      <c r="U293" t="s">
        <v>36</v>
      </c>
      <c r="V293" s="2" t="s">
        <v>35</v>
      </c>
      <c r="W293" t="s">
        <v>36</v>
      </c>
      <c r="X293" s="2">
        <v>3.5</v>
      </c>
      <c r="Y293" s="2">
        <v>3.6017000000000001</v>
      </c>
      <c r="Z293" t="s">
        <v>36</v>
      </c>
      <c r="AA293">
        <v>210</v>
      </c>
      <c r="AB293">
        <v>0</v>
      </c>
    </row>
    <row r="294" spans="1:28" x14ac:dyDescent="0.3">
      <c r="A294" t="s">
        <v>386</v>
      </c>
      <c r="B294" t="s">
        <v>436</v>
      </c>
      <c r="C294" s="7" t="s">
        <v>34</v>
      </c>
      <c r="D294" s="8">
        <v>18.399999999999999</v>
      </c>
      <c r="E294" s="9" t="s">
        <v>39</v>
      </c>
      <c r="F294" s="10" t="s">
        <v>54</v>
      </c>
      <c r="G294" s="11">
        <v>44453</v>
      </c>
      <c r="H294" s="11">
        <v>44476</v>
      </c>
      <c r="I294">
        <v>12</v>
      </c>
      <c r="J294" t="s">
        <v>33</v>
      </c>
      <c r="K294" t="s">
        <v>34</v>
      </c>
      <c r="L294" s="2" t="s">
        <v>44</v>
      </c>
      <c r="M294" t="s">
        <v>45</v>
      </c>
      <c r="N294" s="2">
        <v>3.5</v>
      </c>
      <c r="O294" s="5">
        <v>1.9776</v>
      </c>
      <c r="P294" t="s">
        <v>36</v>
      </c>
      <c r="Q294" t="s">
        <v>35</v>
      </c>
      <c r="R294" t="s">
        <v>36</v>
      </c>
      <c r="S294" s="2">
        <v>3.5</v>
      </c>
      <c r="T294" s="2">
        <v>4.6383999999999999</v>
      </c>
      <c r="U294" t="s">
        <v>36</v>
      </c>
      <c r="V294" s="2">
        <v>57.164000000000001</v>
      </c>
      <c r="W294" t="s">
        <v>36</v>
      </c>
      <c r="X294" s="2">
        <v>3.5</v>
      </c>
      <c r="Y294" s="2">
        <v>1.6069</v>
      </c>
      <c r="Z294" t="s">
        <v>36</v>
      </c>
    </row>
    <row r="295" spans="1:28" x14ac:dyDescent="0.3">
      <c r="A295" t="s">
        <v>387</v>
      </c>
      <c r="B295" t="s">
        <v>436</v>
      </c>
      <c r="C295" s="12" t="s">
        <v>30</v>
      </c>
      <c r="D295" s="8">
        <v>17.600000000000001</v>
      </c>
      <c r="E295" s="9" t="s">
        <v>39</v>
      </c>
      <c r="F295" s="10" t="s">
        <v>54</v>
      </c>
      <c r="G295" s="11">
        <v>44453</v>
      </c>
      <c r="H295" s="11">
        <v>44476</v>
      </c>
      <c r="I295">
        <v>12</v>
      </c>
      <c r="J295" t="s">
        <v>33</v>
      </c>
      <c r="K295" t="s">
        <v>34</v>
      </c>
      <c r="L295" s="2" t="s">
        <v>35</v>
      </c>
      <c r="M295" t="s">
        <v>36</v>
      </c>
      <c r="N295" s="2">
        <v>3.5</v>
      </c>
      <c r="O295" s="5">
        <v>6.7100000000000007E-2</v>
      </c>
      <c r="P295" t="s">
        <v>34</v>
      </c>
      <c r="Q295" t="s">
        <v>35</v>
      </c>
      <c r="R295" t="s">
        <v>36</v>
      </c>
      <c r="S295" s="2">
        <v>3.5</v>
      </c>
      <c r="T295" s="2">
        <v>9.7299999999999998E-2</v>
      </c>
      <c r="U295" t="s">
        <v>34</v>
      </c>
      <c r="V295" s="2" t="s">
        <v>35</v>
      </c>
      <c r="W295" t="s">
        <v>36</v>
      </c>
      <c r="X295" s="2">
        <v>3.5</v>
      </c>
      <c r="Y295" s="2">
        <v>7.3700000000000002E-2</v>
      </c>
      <c r="Z295" t="s">
        <v>34</v>
      </c>
      <c r="AA295">
        <v>210</v>
      </c>
      <c r="AB295">
        <v>0</v>
      </c>
    </row>
    <row r="296" spans="1:28" x14ac:dyDescent="0.3">
      <c r="C296" s="7"/>
      <c r="D296" s="8"/>
      <c r="L296" s="2"/>
      <c r="O296" s="5"/>
    </row>
    <row r="297" spans="1:28" x14ac:dyDescent="0.3">
      <c r="V297" s="2"/>
      <c r="Y297" s="2"/>
    </row>
    <row r="298" spans="1:28" x14ac:dyDescent="0.3">
      <c r="V298" s="2"/>
      <c r="Y298" s="2"/>
    </row>
    <row r="299" spans="1:28" x14ac:dyDescent="0.3">
      <c r="V299" s="2"/>
      <c r="Y299" s="2"/>
    </row>
    <row r="300" spans="1:28" x14ac:dyDescent="0.3">
      <c r="V300" s="2"/>
      <c r="Y300" s="2"/>
    </row>
    <row r="301" spans="1:28" x14ac:dyDescent="0.3">
      <c r="V301" s="2"/>
      <c r="Y301" s="2"/>
    </row>
  </sheetData>
  <autoFilter ref="G1:G301" xr:uid="{00000000-0001-0000-0000-000000000000}"/>
  <dataValidations count="1">
    <dataValidation type="decimal" allowBlank="1" showInputMessage="1" showErrorMessage="1" sqref="D1:D1295" xr:uid="{00000000-0002-0000-0000-000000000000}">
      <formula1>10</formula1>
      <formula2>45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C351-103F-4D0B-957D-A876BB208B84}">
  <sheetPr>
    <tabColor theme="7" tint="-0.499984740745262"/>
  </sheetPr>
  <dimension ref="A1:E34"/>
  <sheetViews>
    <sheetView topLeftCell="A19" workbookViewId="0">
      <selection activeCell="C31" sqref="C31"/>
    </sheetView>
  </sheetViews>
  <sheetFormatPr baseColWidth="10" defaultRowHeight="14.4" x14ac:dyDescent="0.3"/>
  <cols>
    <col min="3" max="3" width="14.77734375" bestFit="1" customWidth="1"/>
  </cols>
  <sheetData>
    <row r="1" spans="1:5" x14ac:dyDescent="0.3">
      <c r="A1" s="19" t="s">
        <v>451</v>
      </c>
    </row>
    <row r="2" spans="1:5" x14ac:dyDescent="0.3">
      <c r="A2" t="s">
        <v>450</v>
      </c>
      <c r="B2">
        <f>COLUMNS(Sheet1!A1:AC1)</f>
        <v>29</v>
      </c>
    </row>
    <row r="3" spans="1:5" x14ac:dyDescent="0.3">
      <c r="A3" t="s">
        <v>452</v>
      </c>
      <c r="B3">
        <f>ROWS(Sheet1!A2:A295)</f>
        <v>294</v>
      </c>
    </row>
    <row r="5" spans="1:5" x14ac:dyDescent="0.3">
      <c r="A5" s="19" t="s">
        <v>453</v>
      </c>
      <c r="B5" s="19" t="s">
        <v>456</v>
      </c>
      <c r="C5" s="19" t="s">
        <v>454</v>
      </c>
      <c r="D5" s="19" t="s">
        <v>455</v>
      </c>
      <c r="E5" s="19" t="s">
        <v>395</v>
      </c>
    </row>
    <row r="6" spans="1:5" x14ac:dyDescent="0.3">
      <c r="A6" t="s">
        <v>0</v>
      </c>
      <c r="B6" t="s">
        <v>457</v>
      </c>
      <c r="C6">
        <f>COUNTA(_xlfn.UNIQUE(Sheet1!A2:A295))</f>
        <v>294</v>
      </c>
      <c r="D6">
        <f>COUNTBLANK(Sheet1!A2:A295)</f>
        <v>0</v>
      </c>
      <c r="E6">
        <f>COUNTIF(Sheet1!A2:A295,"#N/A")+COUNTIF(Sheet1!A2:A295,"NA")</f>
        <v>0</v>
      </c>
    </row>
    <row r="7" spans="1:5" x14ac:dyDescent="0.3">
      <c r="A7" t="s">
        <v>1</v>
      </c>
      <c r="B7" t="s">
        <v>458</v>
      </c>
      <c r="C7" t="str">
        <f>_xlfn.TEXTJOIN(", ",TRUE,_xlfn.UNIQUE(Sheet1!B2:B295))</f>
        <v>Female, M</v>
      </c>
      <c r="D7">
        <f>COUNTBLANK(Sheet1!B2:B295)</f>
        <v>0</v>
      </c>
      <c r="E7">
        <f>COUNTIF(Sheet1!B2:B295,"#N/A")+COUNTIF(Sheet1!B2:B295,"NA")</f>
        <v>0</v>
      </c>
    </row>
    <row r="8" spans="1:5" x14ac:dyDescent="0.3">
      <c r="A8" t="s">
        <v>2</v>
      </c>
      <c r="B8" t="s">
        <v>458</v>
      </c>
      <c r="C8" t="str">
        <f>_xlfn.TEXTJOIN(", ",TRUE,_xlfn.UNIQUE(Sheet1!C2:C295))</f>
        <v>NA, N, Y</v>
      </c>
      <c r="D8">
        <f>COUNTBLANK(Sheet1!C2:C295)</f>
        <v>0</v>
      </c>
      <c r="E8">
        <f>COUNTIF(Sheet1!C2:C295,"#N/A")+COUNTIF(Sheet1!C2:C295,"NA")</f>
        <v>107</v>
      </c>
    </row>
    <row r="9" spans="1:5" x14ac:dyDescent="0.3">
      <c r="A9" s="1" t="s">
        <v>3</v>
      </c>
      <c r="B9" t="s">
        <v>459</v>
      </c>
      <c r="C9">
        <f>COUNTA(_xlfn.UNIQUE(Sheet1!D2:D295))</f>
        <v>149</v>
      </c>
      <c r="D9">
        <f>COUNTBLANK(Sheet1!D2:D295)</f>
        <v>0</v>
      </c>
      <c r="E9">
        <f>COUNTIF(Sheet1!D2:D295,"#N/A")+COUNTIF(Sheet1!D2:D295,"NA")</f>
        <v>0</v>
      </c>
    </row>
    <row r="10" spans="1:5" x14ac:dyDescent="0.3">
      <c r="A10" t="s">
        <v>4</v>
      </c>
      <c r="B10" t="s">
        <v>458</v>
      </c>
      <c r="C10" t="str">
        <f>_xlfn.TEXTJOIN(", ", TRUE, _xlfn.UNIQUE(Sheet1!E2:E295))</f>
        <v>Overweight, Normal Weight, Underweight, Obese</v>
      </c>
      <c r="D10">
        <f>COUNTBLANK(Sheet1!E2:E295)</f>
        <v>0</v>
      </c>
      <c r="E10">
        <f>COUNTIF(Sheet1!E2:E295,"#N/A")+COUNTIF(Sheet1!E2:E295,"NA")</f>
        <v>0</v>
      </c>
    </row>
    <row r="11" spans="1:5" x14ac:dyDescent="0.3">
      <c r="A11" t="s">
        <v>5</v>
      </c>
      <c r="B11" t="s">
        <v>457</v>
      </c>
      <c r="C11" t="str">
        <f>_xlfn.TEXTJOIN(", ", TRUE, _xlfn.UNIQUE(Sheet1!F2:F295))</f>
        <v>Non Vaccinated, Vaccinated</v>
      </c>
      <c r="D11">
        <f>COUNTBLANK(Sheet1!F2:F295)</f>
        <v>0</v>
      </c>
      <c r="E11">
        <f>COUNTIF(Sheet1!F2:F295,"#N/A")+COUNTIF(Sheet1!F2:F295,"NA")</f>
        <v>0</v>
      </c>
    </row>
    <row r="12" spans="1:5" x14ac:dyDescent="0.3">
      <c r="A12" t="s">
        <v>6</v>
      </c>
      <c r="B12" t="s">
        <v>393</v>
      </c>
      <c r="C12">
        <f>COUNTA(_xlfn.UNIQUE(Sheet1!G2:G295))</f>
        <v>9</v>
      </c>
      <c r="D12">
        <f>COUNTBLANK(Sheet1!G2:G295)</f>
        <v>0</v>
      </c>
      <c r="E12">
        <f>COUNTIF(Sheet1!G2:G295,"#N/A")+COUNTIF(Sheet1!G2:G295,"NA")</f>
        <v>66</v>
      </c>
    </row>
    <row r="13" spans="1:5" x14ac:dyDescent="0.3">
      <c r="A13" t="s">
        <v>7</v>
      </c>
      <c r="B13" t="s">
        <v>393</v>
      </c>
      <c r="C13">
        <f>COUNTA(_xlfn.UNIQUE(Sheet1!H2:H295))</f>
        <v>12</v>
      </c>
      <c r="D13">
        <f>COUNTBLANK(Sheet1!H2:H295)</f>
        <v>0</v>
      </c>
      <c r="E13">
        <f>COUNTIF(Sheet1!H2:H295,"#N/A")+COUNTIF(Sheet1!H2:H295,"NA")</f>
        <v>66</v>
      </c>
    </row>
    <row r="14" spans="1:5" x14ac:dyDescent="0.3">
      <c r="A14" s="3" t="s">
        <v>8</v>
      </c>
      <c r="B14" t="s">
        <v>459</v>
      </c>
      <c r="C14">
        <f>COUNTA(_xlfn.UNIQUE(Sheet1!I2:I295))</f>
        <v>6</v>
      </c>
      <c r="D14">
        <f>COUNTBLANK(Sheet1!I2:I295)</f>
        <v>0</v>
      </c>
      <c r="E14">
        <f>COUNTIF(Sheet1!I2:I295,"#N/A")+COUNTIF(Sheet1!I2:I295,"NA")</f>
        <v>0</v>
      </c>
    </row>
    <row r="15" spans="1:5" x14ac:dyDescent="0.3">
      <c r="A15" s="3" t="s">
        <v>9</v>
      </c>
      <c r="B15" t="s">
        <v>458</v>
      </c>
      <c r="C15" t="str">
        <f>_xlfn.TEXTJOIN(", ", TRUE, _xlfn.UNIQUE(Sheet1!J2:J295))</f>
        <v>S1, S4</v>
      </c>
      <c r="D15">
        <f>COUNTBLANK(Sheet1!J2:J295)</f>
        <v>0</v>
      </c>
      <c r="E15">
        <f>COUNTIF(Sheet1!J2:J295,"#N/A")+COUNTIF(Sheet1!J2:J295,"NA")</f>
        <v>0</v>
      </c>
    </row>
    <row r="16" spans="1:5" x14ac:dyDescent="0.3">
      <c r="A16" s="3" t="s">
        <v>10</v>
      </c>
      <c r="B16" t="s">
        <v>458</v>
      </c>
      <c r="C16" t="str">
        <f>_xlfn.TEXTJOIN(", ", TRUE, _xlfn.UNIQUE(Sheet1!K2:K295))</f>
        <v>N, R</v>
      </c>
      <c r="D16">
        <f>COUNTBLANK(Sheet1!K2:K295)</f>
        <v>0</v>
      </c>
      <c r="E16">
        <f>COUNTIF(Sheet1!K2:K295,"#N/A")+COUNTIF(Sheet1!K2:K295,"NA")</f>
        <v>0</v>
      </c>
    </row>
    <row r="17" spans="1:5" x14ac:dyDescent="0.3">
      <c r="A17" s="2" t="s">
        <v>11</v>
      </c>
      <c r="B17" t="s">
        <v>459</v>
      </c>
      <c r="C17">
        <f>COUNTA(_xlfn.UNIQUE(Sheet1!G2:G295))</f>
        <v>9</v>
      </c>
      <c r="D17">
        <f>COUNTBLANK(Sheet1!L2:L295)</f>
        <v>0</v>
      </c>
      <c r="E17">
        <f>COUNTIF(Sheet1!L2:L295,"#N/A")+COUNTIF(Sheet1!L2:L295,"NA")+COUNTIF(Sheet1!L2:L295,"*****")</f>
        <v>226</v>
      </c>
    </row>
    <row r="18" spans="1:5" x14ac:dyDescent="0.3">
      <c r="A18" t="s">
        <v>12</v>
      </c>
      <c r="B18" t="s">
        <v>458</v>
      </c>
      <c r="C18" t="str">
        <f>_xlfn.TEXTJOIN(", ", TRUE, _xlfn.UNIQUE(Sheet1!M2:M295))</f>
        <v>N, ?, R, *</v>
      </c>
      <c r="D18">
        <f>COUNTBLANK(Sheet1!M2:M295)</f>
        <v>0</v>
      </c>
      <c r="E18">
        <f>COUNTIF(Sheet1!M2:M295,"#N/A")+COUNTIF(Sheet1!M2:M295,"NA")+COUNTIF(Sheet1!L2:L295,"*")+COUNTIF(Sheet1!M2:M295,"?")</f>
        <v>520</v>
      </c>
    </row>
    <row r="19" spans="1:5" x14ac:dyDescent="0.3">
      <c r="A19" s="4" t="s">
        <v>13</v>
      </c>
      <c r="B19" t="s">
        <v>459</v>
      </c>
      <c r="C19">
        <f>COUNTA(_xlfn.UNIQUE(Sheet1!N2:N295))</f>
        <v>101</v>
      </c>
      <c r="D19">
        <f>COUNTBLANK(Sheet1!N2:N295)</f>
        <v>0</v>
      </c>
      <c r="E19">
        <f>COUNTIF(Sheet1!N2:N295,"#N/A")+COUNTIF(Sheet1!N2:N295,"NA")+COUNTIF(Sheet1!N2:N295,"*")+COUNTIF(Sheet1!N2:N295,"?")</f>
        <v>0</v>
      </c>
    </row>
    <row r="20" spans="1:5" x14ac:dyDescent="0.3">
      <c r="A20" s="5" t="s">
        <v>14</v>
      </c>
      <c r="B20" t="s">
        <v>459</v>
      </c>
      <c r="C20">
        <f>COUNTA(_xlfn.UNIQUE(Sheet1!O2:O295))</f>
        <v>270</v>
      </c>
      <c r="D20">
        <f>COUNTBLANK(Sheet1!O2:O295)</f>
        <v>0</v>
      </c>
    </row>
    <row r="21" spans="1:5" x14ac:dyDescent="0.3">
      <c r="A21" t="s">
        <v>15</v>
      </c>
      <c r="B21" t="s">
        <v>458</v>
      </c>
      <c r="C21" t="str">
        <f>_xlfn.TEXTJOIN(", ", TRUE, _xlfn.UNIQUE(Sheet1!P2:P295))</f>
        <v>N, R</v>
      </c>
      <c r="D21">
        <f>COUNTBLANK(Sheet1!P2:P295)</f>
        <v>0</v>
      </c>
    </row>
    <row r="22" spans="1:5" x14ac:dyDescent="0.3">
      <c r="A22" t="s">
        <v>16</v>
      </c>
      <c r="B22" t="s">
        <v>459</v>
      </c>
      <c r="C22">
        <f>COUNTA(_xlfn.UNIQUE(Sheet1!Q2:Q295))</f>
        <v>49</v>
      </c>
      <c r="D22">
        <f>COUNTBLANK(Sheet1!Q2:Q295)</f>
        <v>0</v>
      </c>
      <c r="E22">
        <f>COUNTIF(Sheet1!Q2:Q295,"#N/A")+COUNTIF(Sheet1!Q2:Q295,"NA")+COUNTIF(Sheet1!Q2:Q295,"*")+COUNTIF(Sheet1!Q2:Q295,"?")+COUNTIF(Sheet1!Q2:Q295,"*****")</f>
        <v>494</v>
      </c>
    </row>
    <row r="23" spans="1:5" x14ac:dyDescent="0.3">
      <c r="A23" t="s">
        <v>17</v>
      </c>
      <c r="B23" t="s">
        <v>458</v>
      </c>
      <c r="C23" t="str">
        <f>_xlfn.TEXTJOIN(", ", TRUE, _xlfn.UNIQUE(Sheet1!R2:R295))</f>
        <v>R, *, N, ?</v>
      </c>
      <c r="D23">
        <f>COUNTBLANK(Sheet1!R2:R295)</f>
        <v>0</v>
      </c>
      <c r="E23">
        <f>COUNTIF(Sheet1!Q2:Q295,"*")+COUNTIF(Sheet1!Q2:Q295,"?")</f>
        <v>247</v>
      </c>
    </row>
    <row r="24" spans="1:5" x14ac:dyDescent="0.3">
      <c r="A24" s="6" t="s">
        <v>18</v>
      </c>
      <c r="B24" t="s">
        <v>459</v>
      </c>
      <c r="C24">
        <f>COUNTA(_xlfn.UNIQUE(Sheet1!Q2:Q295))</f>
        <v>49</v>
      </c>
      <c r="D24">
        <f>COUNTBLANK(Sheet1!S2:S295)</f>
        <v>0</v>
      </c>
    </row>
    <row r="25" spans="1:5" x14ac:dyDescent="0.3">
      <c r="A25" s="2" t="s">
        <v>19</v>
      </c>
      <c r="B25" t="s">
        <v>459</v>
      </c>
      <c r="C25">
        <f>COUNTA(_xlfn.UNIQUE(Sheet1!S2:S295))</f>
        <v>182</v>
      </c>
      <c r="D25">
        <f>COUNTBLANK(Sheet1!S2:S295)</f>
        <v>0</v>
      </c>
    </row>
    <row r="26" spans="1:5" x14ac:dyDescent="0.3">
      <c r="A26" t="s">
        <v>20</v>
      </c>
      <c r="B26" t="s">
        <v>458</v>
      </c>
      <c r="C26" t="str">
        <f>_xlfn.TEXTJOIN(", ", TRUE, _xlfn.UNIQUE(Sheet1!U2:U295))</f>
        <v>R, N</v>
      </c>
      <c r="D26">
        <f>COUNTBLANK(Sheet1!U2:U295)</f>
        <v>0</v>
      </c>
    </row>
    <row r="27" spans="1:5" x14ac:dyDescent="0.3">
      <c r="A27" s="2" t="s">
        <v>21</v>
      </c>
      <c r="B27" t="s">
        <v>459</v>
      </c>
      <c r="C27">
        <f>COUNTA(_xlfn.UNIQUE(Sheet1!V2:V295))</f>
        <v>62</v>
      </c>
      <c r="D27">
        <f>COUNTBLANK(Sheet1!V2:V295)</f>
        <v>0</v>
      </c>
    </row>
    <row r="28" spans="1:5" x14ac:dyDescent="0.3">
      <c r="A28" t="s">
        <v>22</v>
      </c>
      <c r="B28" t="s">
        <v>458</v>
      </c>
      <c r="C28" t="str">
        <f>_xlfn.TEXTJOIN(", ", TRUE, _xlfn.UNIQUE(Sheet1!W2:W295))</f>
        <v>R, N, *, ?</v>
      </c>
      <c r="D28">
        <f>COUNTBLANK(Sheet1!W2:W295)</f>
        <v>0</v>
      </c>
      <c r="E28">
        <f>COUNTIF(Sheet1!W2:W295,"*")+COUNTIF(Sheet1!W2:W295,"?")</f>
        <v>588</v>
      </c>
    </row>
    <row r="29" spans="1:5" x14ac:dyDescent="0.3">
      <c r="A29" s="6" t="s">
        <v>23</v>
      </c>
      <c r="B29" t="s">
        <v>459</v>
      </c>
      <c r="C29">
        <f>COUNTA(_xlfn.UNIQUE(Sheet1!X2:X295))</f>
        <v>209</v>
      </c>
      <c r="D29">
        <f>COUNTBLANK(Sheet1!X2:X295)</f>
        <v>0</v>
      </c>
    </row>
    <row r="30" spans="1:5" x14ac:dyDescent="0.3">
      <c r="A30" s="2" t="s">
        <v>24</v>
      </c>
      <c r="B30" t="s">
        <v>459</v>
      </c>
      <c r="C30">
        <f>COUNTA(_xlfn.UNIQUE(Sheet1!Y2:Y295))</f>
        <v>290</v>
      </c>
      <c r="D30">
        <f>COUNTBLANK(Sheet1!Y2:Y295)</f>
        <v>0</v>
      </c>
    </row>
    <row r="31" spans="1:5" x14ac:dyDescent="0.3">
      <c r="A31" t="s">
        <v>25</v>
      </c>
      <c r="B31" t="s">
        <v>458</v>
      </c>
      <c r="C31" t="str">
        <f>_xlfn.TEXTJOIN(", ", TRUE, _xlfn.UNIQUE(Sheet1!Z2:Z295))</f>
        <v>R, N</v>
      </c>
      <c r="D31">
        <f>COUNTBLANK(Sheet1!Z2:Z295)</f>
        <v>0</v>
      </c>
    </row>
    <row r="32" spans="1:5" x14ac:dyDescent="0.3">
      <c r="A32" s="2" t="s">
        <v>26</v>
      </c>
      <c r="B32" t="s">
        <v>458</v>
      </c>
      <c r="C32" t="str">
        <f>_xlfn.TEXTJOIN(", ", TRUE, _xlfn.UNIQUE(Sheet1!AA2:AA295))</f>
        <v>210, 92, 182</v>
      </c>
      <c r="D32">
        <f>COUNTBLANK(Sheet1!AA2:AA295)</f>
        <v>71</v>
      </c>
    </row>
    <row r="33" spans="1:4" x14ac:dyDescent="0.3">
      <c r="A33" t="s">
        <v>27</v>
      </c>
      <c r="B33" t="s">
        <v>458</v>
      </c>
      <c r="C33" t="str">
        <f>_xlfn.TEXTJOIN(", ", TRUE, _xlfn.UNIQUE(Sheet1!AB2:AB295))</f>
        <v>0, 1</v>
      </c>
      <c r="D33">
        <f>COUNTBLANK(Sheet1!AB2:AB295)</f>
        <v>71</v>
      </c>
    </row>
    <row r="34" spans="1:4" x14ac:dyDescent="0.3">
      <c r="A34" s="2" t="s">
        <v>28</v>
      </c>
      <c r="B34" t="s">
        <v>459</v>
      </c>
      <c r="C34">
        <f>COUNTA(_xlfn.UNIQUE(Sheet1!AC2:AC295))</f>
        <v>1</v>
      </c>
      <c r="D34">
        <f>COUNTBLANK(Sheet1!AC2:AC295)</f>
        <v>294</v>
      </c>
    </row>
  </sheetData>
  <dataValidations count="1">
    <dataValidation type="decimal" allowBlank="1" showInputMessage="1" showErrorMessage="1" sqref="A9" xr:uid="{5B392CE8-BD9C-41D0-820A-7466EC95BD09}">
      <formula1>10</formula1>
      <formula2>45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A33F-3EA6-4C2C-81B8-21B088A2F200}">
  <sheetPr>
    <tabColor rgb="FFFFFF00"/>
  </sheetPr>
  <dimension ref="A1:H52"/>
  <sheetViews>
    <sheetView topLeftCell="A34" workbookViewId="0">
      <selection activeCell="G15" sqref="G15"/>
    </sheetView>
  </sheetViews>
  <sheetFormatPr baseColWidth="10" defaultRowHeight="14.4" x14ac:dyDescent="0.3"/>
  <cols>
    <col min="1" max="1" width="11.5546875" style="20"/>
  </cols>
  <sheetData>
    <row r="1" spans="1:8" ht="15.6" x14ac:dyDescent="0.3">
      <c r="A1" s="21" t="s">
        <v>397</v>
      </c>
    </row>
    <row r="3" spans="1:8" x14ac:dyDescent="0.3">
      <c r="A3" s="3" t="s">
        <v>431</v>
      </c>
    </row>
    <row r="4" spans="1:8" x14ac:dyDescent="0.3">
      <c r="A4" s="3" t="s">
        <v>432</v>
      </c>
    </row>
    <row r="5" spans="1:8" x14ac:dyDescent="0.3">
      <c r="A5" s="19" t="s">
        <v>433</v>
      </c>
    </row>
    <row r="6" spans="1:8" x14ac:dyDescent="0.3">
      <c r="A6" s="19" t="s">
        <v>434</v>
      </c>
    </row>
    <row r="7" spans="1:8" x14ac:dyDescent="0.3">
      <c r="A7" s="19" t="s">
        <v>435</v>
      </c>
    </row>
    <row r="8" spans="1:8" x14ac:dyDescent="0.3">
      <c r="A8" s="19" t="s">
        <v>501</v>
      </c>
    </row>
    <row r="9" spans="1:8" x14ac:dyDescent="0.3">
      <c r="A9" s="19"/>
    </row>
    <row r="11" spans="1:8" x14ac:dyDescent="0.3">
      <c r="A11" s="35" t="s">
        <v>622</v>
      </c>
      <c r="B11" s="35" t="s">
        <v>623</v>
      </c>
      <c r="C11" s="35" t="s">
        <v>624</v>
      </c>
      <c r="D11" s="35" t="s">
        <v>625</v>
      </c>
      <c r="E11" s="35" t="s">
        <v>720</v>
      </c>
      <c r="F11" s="35" t="s">
        <v>721</v>
      </c>
      <c r="G11" s="35" t="s">
        <v>626</v>
      </c>
      <c r="H11" s="35" t="s">
        <v>627</v>
      </c>
    </row>
    <row r="12" spans="1:8" x14ac:dyDescent="0.3">
      <c r="A12" s="36" t="s">
        <v>0</v>
      </c>
      <c r="B12" s="36" t="s">
        <v>461</v>
      </c>
      <c r="C12" s="36" t="s">
        <v>576</v>
      </c>
      <c r="D12" s="36" t="s">
        <v>398</v>
      </c>
      <c r="E12" s="36" t="s">
        <v>399</v>
      </c>
      <c r="F12" s="36" t="s">
        <v>628</v>
      </c>
      <c r="G12" s="36" t="s">
        <v>400</v>
      </c>
      <c r="H12" s="36" t="s">
        <v>401</v>
      </c>
    </row>
    <row r="13" spans="1:8" x14ac:dyDescent="0.3">
      <c r="A13" s="36" t="s">
        <v>1</v>
      </c>
      <c r="B13" s="36" t="s">
        <v>388</v>
      </c>
      <c r="C13" s="36" t="s">
        <v>577</v>
      </c>
      <c r="D13" s="36" t="s">
        <v>398</v>
      </c>
      <c r="E13" s="36" t="s">
        <v>402</v>
      </c>
      <c r="F13" s="36" t="s">
        <v>629</v>
      </c>
      <c r="G13" s="36" t="s">
        <v>403</v>
      </c>
      <c r="H13" s="36" t="s">
        <v>404</v>
      </c>
    </row>
    <row r="14" spans="1:8" x14ac:dyDescent="0.3">
      <c r="A14" s="36" t="s">
        <v>2</v>
      </c>
      <c r="B14" s="36" t="s">
        <v>405</v>
      </c>
      <c r="C14" s="36" t="s">
        <v>578</v>
      </c>
      <c r="D14" s="36" t="s">
        <v>398</v>
      </c>
      <c r="E14" s="36" t="s">
        <v>406</v>
      </c>
      <c r="F14" s="36" t="s">
        <v>630</v>
      </c>
      <c r="G14" s="36" t="s">
        <v>400</v>
      </c>
      <c r="H14" s="36" t="s">
        <v>631</v>
      </c>
    </row>
    <row r="15" spans="1:8" x14ac:dyDescent="0.3">
      <c r="A15" s="36" t="s">
        <v>3</v>
      </c>
      <c r="B15" s="36" t="s">
        <v>390</v>
      </c>
      <c r="C15" s="36" t="s">
        <v>579</v>
      </c>
      <c r="D15" s="36" t="s">
        <v>389</v>
      </c>
      <c r="E15" s="36" t="s">
        <v>632</v>
      </c>
      <c r="F15" s="36" t="s">
        <v>633</v>
      </c>
      <c r="G15" s="36" t="s">
        <v>403</v>
      </c>
      <c r="H15" s="36" t="s">
        <v>404</v>
      </c>
    </row>
    <row r="16" spans="1:8" x14ac:dyDescent="0.3">
      <c r="A16" s="36" t="s">
        <v>4</v>
      </c>
      <c r="B16" s="36" t="s">
        <v>391</v>
      </c>
      <c r="C16" s="36" t="s">
        <v>580</v>
      </c>
      <c r="D16" s="36" t="s">
        <v>394</v>
      </c>
      <c r="E16" s="36" t="s">
        <v>634</v>
      </c>
      <c r="F16" s="36" t="s">
        <v>635</v>
      </c>
      <c r="G16" s="36" t="s">
        <v>403</v>
      </c>
      <c r="H16" s="36" t="s">
        <v>404</v>
      </c>
    </row>
    <row r="17" spans="1:8" x14ac:dyDescent="0.3">
      <c r="A17" s="36" t="s">
        <v>5</v>
      </c>
      <c r="B17" s="36" t="s">
        <v>392</v>
      </c>
      <c r="C17" s="36" t="s">
        <v>581</v>
      </c>
      <c r="D17" s="36" t="s">
        <v>398</v>
      </c>
      <c r="E17" s="36" t="s">
        <v>636</v>
      </c>
      <c r="F17" s="36" t="s">
        <v>637</v>
      </c>
      <c r="G17" s="36" t="s">
        <v>403</v>
      </c>
      <c r="H17" s="36" t="s">
        <v>404</v>
      </c>
    </row>
    <row r="18" spans="1:8" x14ac:dyDescent="0.3">
      <c r="A18" s="36" t="s">
        <v>6</v>
      </c>
      <c r="B18" s="36" t="s">
        <v>407</v>
      </c>
      <c r="C18" s="36" t="s">
        <v>638</v>
      </c>
      <c r="D18" s="36" t="s">
        <v>393</v>
      </c>
      <c r="E18" s="36" t="s">
        <v>409</v>
      </c>
      <c r="F18" s="36" t="s">
        <v>639</v>
      </c>
      <c r="G18" s="36" t="s">
        <v>400</v>
      </c>
      <c r="H18" s="36" t="s">
        <v>640</v>
      </c>
    </row>
    <row r="19" spans="1:8" x14ac:dyDescent="0.3">
      <c r="A19" s="36" t="s">
        <v>7</v>
      </c>
      <c r="B19" s="36" t="s">
        <v>408</v>
      </c>
      <c r="C19" s="36" t="s">
        <v>641</v>
      </c>
      <c r="D19" s="36" t="s">
        <v>393</v>
      </c>
      <c r="E19" s="36" t="s">
        <v>642</v>
      </c>
      <c r="F19" s="36" t="s">
        <v>643</v>
      </c>
      <c r="G19" s="36" t="s">
        <v>400</v>
      </c>
      <c r="H19" s="36" t="s">
        <v>644</v>
      </c>
    </row>
    <row r="20" spans="1:8" x14ac:dyDescent="0.3">
      <c r="A20" s="36" t="s">
        <v>8</v>
      </c>
      <c r="B20" s="36" t="s">
        <v>8</v>
      </c>
      <c r="C20" s="36" t="s">
        <v>8</v>
      </c>
      <c r="D20" s="36" t="s">
        <v>410</v>
      </c>
      <c r="E20" s="36" t="s">
        <v>645</v>
      </c>
      <c r="F20" s="36" t="s">
        <v>646</v>
      </c>
      <c r="G20" s="36" t="s">
        <v>403</v>
      </c>
      <c r="H20" s="36" t="s">
        <v>647</v>
      </c>
    </row>
    <row r="21" spans="1:8" x14ac:dyDescent="0.3">
      <c r="A21" s="36" t="s">
        <v>9</v>
      </c>
      <c r="B21" s="36" t="s">
        <v>411</v>
      </c>
      <c r="C21" s="36" t="s">
        <v>582</v>
      </c>
      <c r="D21" s="36" t="s">
        <v>398</v>
      </c>
      <c r="E21" s="36" t="s">
        <v>648</v>
      </c>
      <c r="F21" s="36" t="s">
        <v>649</v>
      </c>
      <c r="G21" s="36" t="s">
        <v>400</v>
      </c>
      <c r="H21" s="36" t="s">
        <v>650</v>
      </c>
    </row>
    <row r="22" spans="1:8" x14ac:dyDescent="0.3">
      <c r="A22" s="36" t="s">
        <v>10</v>
      </c>
      <c r="B22" s="36" t="s">
        <v>651</v>
      </c>
      <c r="C22" s="36" t="s">
        <v>583</v>
      </c>
      <c r="D22" s="36" t="s">
        <v>398</v>
      </c>
      <c r="E22" s="36" t="s">
        <v>652</v>
      </c>
      <c r="F22" s="36" t="s">
        <v>653</v>
      </c>
      <c r="G22" s="36" t="s">
        <v>400</v>
      </c>
      <c r="H22" s="36" t="s">
        <v>654</v>
      </c>
    </row>
    <row r="23" spans="1:8" x14ac:dyDescent="0.3">
      <c r="A23" s="36" t="s">
        <v>11</v>
      </c>
      <c r="B23" s="36" t="s">
        <v>489</v>
      </c>
      <c r="C23" s="36" t="s">
        <v>584</v>
      </c>
      <c r="D23" s="36" t="s">
        <v>398</v>
      </c>
      <c r="E23" s="36" t="s">
        <v>655</v>
      </c>
      <c r="F23" s="36" t="s">
        <v>656</v>
      </c>
      <c r="G23" s="36" t="s">
        <v>657</v>
      </c>
      <c r="H23" s="36" t="s">
        <v>658</v>
      </c>
    </row>
    <row r="24" spans="1:8" x14ac:dyDescent="0.3">
      <c r="A24" s="36" t="s">
        <v>659</v>
      </c>
      <c r="B24" s="36" t="s">
        <v>412</v>
      </c>
      <c r="C24" s="36" t="s">
        <v>585</v>
      </c>
      <c r="D24" s="36" t="s">
        <v>413</v>
      </c>
      <c r="E24" s="36" t="s">
        <v>660</v>
      </c>
      <c r="F24" s="36" t="s">
        <v>661</v>
      </c>
      <c r="G24" s="36" t="s">
        <v>400</v>
      </c>
      <c r="H24" s="36" t="s">
        <v>662</v>
      </c>
    </row>
    <row r="25" spans="1:8" x14ac:dyDescent="0.3">
      <c r="A25" s="36" t="s">
        <v>659</v>
      </c>
      <c r="B25" s="36" t="s">
        <v>488</v>
      </c>
      <c r="C25" s="36" t="s">
        <v>586</v>
      </c>
      <c r="D25" s="36" t="s">
        <v>413</v>
      </c>
      <c r="E25" s="36" t="s">
        <v>663</v>
      </c>
      <c r="F25" s="36" t="s">
        <v>664</v>
      </c>
      <c r="G25" s="36" t="s">
        <v>400</v>
      </c>
      <c r="H25" s="36" t="s">
        <v>665</v>
      </c>
    </row>
    <row r="26" spans="1:8" x14ac:dyDescent="0.3">
      <c r="A26" s="36" t="s">
        <v>12</v>
      </c>
      <c r="B26" s="36" t="s">
        <v>414</v>
      </c>
      <c r="C26" s="36" t="s">
        <v>587</v>
      </c>
      <c r="D26" s="36" t="s">
        <v>398</v>
      </c>
      <c r="E26" s="36" t="s">
        <v>666</v>
      </c>
      <c r="F26" s="36" t="s">
        <v>667</v>
      </c>
      <c r="G26" s="36" t="s">
        <v>668</v>
      </c>
      <c r="H26" s="36" t="s">
        <v>669</v>
      </c>
    </row>
    <row r="27" spans="1:8" x14ac:dyDescent="0.3">
      <c r="A27" s="36" t="s">
        <v>13</v>
      </c>
      <c r="B27" s="36" t="s">
        <v>415</v>
      </c>
      <c r="C27" s="36" t="s">
        <v>588</v>
      </c>
      <c r="D27" s="36" t="s">
        <v>413</v>
      </c>
      <c r="E27" s="36" t="s">
        <v>416</v>
      </c>
      <c r="F27" s="36" t="s">
        <v>670</v>
      </c>
      <c r="G27" s="36" t="s">
        <v>400</v>
      </c>
      <c r="H27" s="36" t="s">
        <v>671</v>
      </c>
    </row>
    <row r="28" spans="1:8" x14ac:dyDescent="0.3">
      <c r="A28" s="36" t="s">
        <v>14</v>
      </c>
      <c r="B28" s="36" t="s">
        <v>473</v>
      </c>
      <c r="C28" s="36" t="s">
        <v>589</v>
      </c>
      <c r="D28" s="36" t="s">
        <v>413</v>
      </c>
      <c r="E28" s="36" t="s">
        <v>672</v>
      </c>
      <c r="F28" s="36" t="s">
        <v>673</v>
      </c>
      <c r="G28" s="36" t="s">
        <v>400</v>
      </c>
      <c r="H28" s="36" t="s">
        <v>674</v>
      </c>
    </row>
    <row r="29" spans="1:8" x14ac:dyDescent="0.3">
      <c r="A29" s="36" t="s">
        <v>659</v>
      </c>
      <c r="B29" s="36" t="s">
        <v>478</v>
      </c>
      <c r="C29" s="36" t="s">
        <v>590</v>
      </c>
      <c r="D29" s="36" t="s">
        <v>413</v>
      </c>
      <c r="E29" s="36" t="s">
        <v>675</v>
      </c>
      <c r="F29" s="36" t="s">
        <v>676</v>
      </c>
      <c r="G29" s="36" t="s">
        <v>400</v>
      </c>
      <c r="H29" s="36" t="s">
        <v>644</v>
      </c>
    </row>
    <row r="30" spans="1:8" x14ac:dyDescent="0.3">
      <c r="A30" s="36" t="s">
        <v>15</v>
      </c>
      <c r="B30" s="36" t="s">
        <v>417</v>
      </c>
      <c r="C30" s="36" t="s">
        <v>591</v>
      </c>
      <c r="D30" s="36" t="s">
        <v>398</v>
      </c>
      <c r="E30" s="36" t="s">
        <v>418</v>
      </c>
      <c r="F30" s="36" t="s">
        <v>677</v>
      </c>
      <c r="G30" s="36" t="s">
        <v>400</v>
      </c>
      <c r="H30" s="36" t="s">
        <v>404</v>
      </c>
    </row>
    <row r="31" spans="1:8" x14ac:dyDescent="0.3">
      <c r="A31" s="36" t="s">
        <v>16</v>
      </c>
      <c r="B31" s="36" t="s">
        <v>490</v>
      </c>
      <c r="C31" s="36" t="s">
        <v>592</v>
      </c>
      <c r="D31" s="36" t="s">
        <v>398</v>
      </c>
      <c r="E31" s="36" t="s">
        <v>678</v>
      </c>
      <c r="F31" s="36" t="s">
        <v>656</v>
      </c>
      <c r="G31" s="36" t="s">
        <v>657</v>
      </c>
      <c r="H31" s="36" t="s">
        <v>658</v>
      </c>
    </row>
    <row r="32" spans="1:8" x14ac:dyDescent="0.3">
      <c r="A32" s="36" t="s">
        <v>659</v>
      </c>
      <c r="B32" s="36" t="s">
        <v>419</v>
      </c>
      <c r="C32" s="36" t="s">
        <v>593</v>
      </c>
      <c r="D32" s="36" t="s">
        <v>413</v>
      </c>
      <c r="E32" s="36" t="s">
        <v>660</v>
      </c>
      <c r="F32" s="36" t="s">
        <v>661</v>
      </c>
      <c r="G32" s="36" t="s">
        <v>400</v>
      </c>
      <c r="H32" s="36" t="s">
        <v>679</v>
      </c>
    </row>
    <row r="33" spans="1:8" x14ac:dyDescent="0.3">
      <c r="A33" s="36" t="s">
        <v>659</v>
      </c>
      <c r="B33" s="36" t="s">
        <v>491</v>
      </c>
      <c r="C33" s="36" t="s">
        <v>594</v>
      </c>
      <c r="D33" s="36" t="s">
        <v>413</v>
      </c>
      <c r="E33" s="36" t="s">
        <v>680</v>
      </c>
      <c r="F33" s="36" t="s">
        <v>681</v>
      </c>
      <c r="G33" s="36" t="s">
        <v>400</v>
      </c>
      <c r="H33" s="36" t="s">
        <v>665</v>
      </c>
    </row>
    <row r="34" spans="1:8" x14ac:dyDescent="0.3">
      <c r="A34" s="36" t="s">
        <v>17</v>
      </c>
      <c r="B34" s="36" t="s">
        <v>420</v>
      </c>
      <c r="C34" s="36" t="s">
        <v>595</v>
      </c>
      <c r="D34" s="36" t="s">
        <v>398</v>
      </c>
      <c r="E34" s="36" t="s">
        <v>682</v>
      </c>
      <c r="F34" s="36" t="s">
        <v>683</v>
      </c>
      <c r="G34" s="36" t="s">
        <v>668</v>
      </c>
      <c r="H34" s="36" t="s">
        <v>684</v>
      </c>
    </row>
    <row r="35" spans="1:8" x14ac:dyDescent="0.3">
      <c r="A35" s="36" t="s">
        <v>18</v>
      </c>
      <c r="B35" s="36" t="s">
        <v>421</v>
      </c>
      <c r="C35" s="36" t="s">
        <v>596</v>
      </c>
      <c r="D35" s="36" t="s">
        <v>413</v>
      </c>
      <c r="E35" s="36" t="s">
        <v>422</v>
      </c>
      <c r="F35" s="36" t="s">
        <v>685</v>
      </c>
      <c r="G35" s="36" t="s">
        <v>400</v>
      </c>
      <c r="H35" s="36" t="s">
        <v>686</v>
      </c>
    </row>
    <row r="36" spans="1:8" x14ac:dyDescent="0.3">
      <c r="A36" s="36" t="s">
        <v>19</v>
      </c>
      <c r="B36" s="36" t="s">
        <v>479</v>
      </c>
      <c r="C36" s="36" t="s">
        <v>597</v>
      </c>
      <c r="D36" s="36" t="s">
        <v>413</v>
      </c>
      <c r="E36" s="36" t="s">
        <v>687</v>
      </c>
      <c r="F36" s="36" t="s">
        <v>688</v>
      </c>
      <c r="G36" s="36" t="s">
        <v>400</v>
      </c>
      <c r="H36" s="36" t="s">
        <v>674</v>
      </c>
    </row>
    <row r="37" spans="1:8" x14ac:dyDescent="0.3">
      <c r="A37" s="36" t="s">
        <v>659</v>
      </c>
      <c r="B37" s="36" t="s">
        <v>480</v>
      </c>
      <c r="C37" s="36" t="s">
        <v>598</v>
      </c>
      <c r="D37" s="36" t="s">
        <v>413</v>
      </c>
      <c r="E37" s="36" t="s">
        <v>689</v>
      </c>
      <c r="F37" s="36" t="s">
        <v>690</v>
      </c>
      <c r="G37" s="36" t="s">
        <v>400</v>
      </c>
      <c r="H37" s="36" t="s">
        <v>644</v>
      </c>
    </row>
    <row r="38" spans="1:8" x14ac:dyDescent="0.3">
      <c r="A38" s="36" t="s">
        <v>20</v>
      </c>
      <c r="B38" s="36" t="s">
        <v>423</v>
      </c>
      <c r="C38" s="36" t="s">
        <v>599</v>
      </c>
      <c r="D38" s="36" t="s">
        <v>398</v>
      </c>
      <c r="E38" s="36" t="s">
        <v>682</v>
      </c>
      <c r="F38" s="36" t="s">
        <v>683</v>
      </c>
      <c r="G38" s="36" t="s">
        <v>400</v>
      </c>
      <c r="H38" s="36" t="s">
        <v>404</v>
      </c>
    </row>
    <row r="39" spans="1:8" x14ac:dyDescent="0.3">
      <c r="A39" s="36" t="s">
        <v>21</v>
      </c>
      <c r="B39" s="36" t="s">
        <v>492</v>
      </c>
      <c r="C39" s="36" t="s">
        <v>600</v>
      </c>
      <c r="D39" s="36" t="s">
        <v>398</v>
      </c>
      <c r="E39" s="36" t="s">
        <v>691</v>
      </c>
      <c r="F39" s="36" t="s">
        <v>692</v>
      </c>
      <c r="G39" s="36" t="s">
        <v>657</v>
      </c>
      <c r="H39" s="36" t="s">
        <v>658</v>
      </c>
    </row>
    <row r="40" spans="1:8" x14ac:dyDescent="0.3">
      <c r="A40" s="36" t="s">
        <v>659</v>
      </c>
      <c r="B40" s="36" t="s">
        <v>484</v>
      </c>
      <c r="C40" s="36" t="s">
        <v>601</v>
      </c>
      <c r="D40" s="36" t="s">
        <v>413</v>
      </c>
      <c r="E40" s="36" t="s">
        <v>693</v>
      </c>
      <c r="F40" s="36" t="s">
        <v>694</v>
      </c>
      <c r="G40" s="36" t="s">
        <v>400</v>
      </c>
      <c r="H40" s="36" t="s">
        <v>695</v>
      </c>
    </row>
    <row r="41" spans="1:8" x14ac:dyDescent="0.3">
      <c r="A41" s="36" t="s">
        <v>659</v>
      </c>
      <c r="B41" s="36" t="s">
        <v>493</v>
      </c>
      <c r="C41" s="36" t="s">
        <v>602</v>
      </c>
      <c r="D41" s="36" t="s">
        <v>413</v>
      </c>
      <c r="E41" s="36" t="s">
        <v>696</v>
      </c>
      <c r="F41" s="36" t="s">
        <v>697</v>
      </c>
      <c r="G41" s="36" t="s">
        <v>400</v>
      </c>
      <c r="H41" s="36" t="s">
        <v>698</v>
      </c>
    </row>
    <row r="42" spans="1:8" x14ac:dyDescent="0.3">
      <c r="A42" s="36" t="s">
        <v>659</v>
      </c>
      <c r="B42" s="36" t="s">
        <v>494</v>
      </c>
      <c r="C42" s="36" t="s">
        <v>603</v>
      </c>
      <c r="D42" s="36" t="s">
        <v>398</v>
      </c>
      <c r="E42" s="36" t="s">
        <v>699</v>
      </c>
      <c r="F42" s="36" t="s">
        <v>700</v>
      </c>
      <c r="G42" s="36" t="s">
        <v>657</v>
      </c>
      <c r="H42" s="36" t="s">
        <v>658</v>
      </c>
    </row>
    <row r="43" spans="1:8" x14ac:dyDescent="0.3">
      <c r="A43" s="36" t="s">
        <v>659</v>
      </c>
      <c r="B43" s="36" t="s">
        <v>485</v>
      </c>
      <c r="C43" s="36" t="s">
        <v>604</v>
      </c>
      <c r="D43" s="36" t="s">
        <v>413</v>
      </c>
      <c r="E43" s="36" t="s">
        <v>701</v>
      </c>
      <c r="F43" s="36" t="s">
        <v>702</v>
      </c>
      <c r="G43" s="36" t="s">
        <v>400</v>
      </c>
      <c r="H43" s="36" t="s">
        <v>644</v>
      </c>
    </row>
    <row r="44" spans="1:8" x14ac:dyDescent="0.3">
      <c r="A44" s="36" t="s">
        <v>659</v>
      </c>
      <c r="B44" s="36" t="s">
        <v>495</v>
      </c>
      <c r="C44" s="36" t="s">
        <v>605</v>
      </c>
      <c r="D44" s="36" t="s">
        <v>413</v>
      </c>
      <c r="E44" s="36" t="s">
        <v>703</v>
      </c>
      <c r="F44" s="36" t="s">
        <v>704</v>
      </c>
      <c r="G44" s="36" t="s">
        <v>400</v>
      </c>
      <c r="H44" s="36" t="s">
        <v>665</v>
      </c>
    </row>
    <row r="45" spans="1:8" x14ac:dyDescent="0.3">
      <c r="A45" s="36" t="s">
        <v>22</v>
      </c>
      <c r="B45" s="36" t="s">
        <v>424</v>
      </c>
      <c r="C45" s="36" t="s">
        <v>606</v>
      </c>
      <c r="D45" s="36" t="s">
        <v>398</v>
      </c>
      <c r="E45" s="36" t="s">
        <v>705</v>
      </c>
      <c r="F45" s="36" t="s">
        <v>706</v>
      </c>
      <c r="G45" s="36" t="s">
        <v>668</v>
      </c>
      <c r="H45" s="36" t="s">
        <v>644</v>
      </c>
    </row>
    <row r="46" spans="1:8" x14ac:dyDescent="0.3">
      <c r="A46" s="36" t="s">
        <v>23</v>
      </c>
      <c r="B46" s="36" t="s">
        <v>425</v>
      </c>
      <c r="C46" s="36" t="s">
        <v>607</v>
      </c>
      <c r="D46" s="36" t="s">
        <v>413</v>
      </c>
      <c r="E46" s="36" t="s">
        <v>426</v>
      </c>
      <c r="F46" s="36" t="s">
        <v>707</v>
      </c>
      <c r="G46" s="36" t="s">
        <v>400</v>
      </c>
      <c r="H46" s="36" t="s">
        <v>404</v>
      </c>
    </row>
    <row r="47" spans="1:8" x14ac:dyDescent="0.3">
      <c r="A47" s="36" t="s">
        <v>24</v>
      </c>
      <c r="B47" s="36" t="s">
        <v>481</v>
      </c>
      <c r="C47" s="36" t="s">
        <v>608</v>
      </c>
      <c r="D47" s="36" t="s">
        <v>413</v>
      </c>
      <c r="E47" s="36" t="s">
        <v>708</v>
      </c>
      <c r="F47" s="36" t="s">
        <v>709</v>
      </c>
      <c r="G47" s="36" t="s">
        <v>400</v>
      </c>
      <c r="H47" s="36" t="s">
        <v>674</v>
      </c>
    </row>
    <row r="48" spans="1:8" x14ac:dyDescent="0.3">
      <c r="A48" s="36" t="s">
        <v>659</v>
      </c>
      <c r="B48" s="36" t="s">
        <v>482</v>
      </c>
      <c r="C48" s="36" t="s">
        <v>609</v>
      </c>
      <c r="D48" s="36" t="s">
        <v>413</v>
      </c>
      <c r="E48" s="36" t="s">
        <v>689</v>
      </c>
      <c r="F48" s="36" t="s">
        <v>690</v>
      </c>
      <c r="G48" s="36" t="s">
        <v>400</v>
      </c>
      <c r="H48" s="36" t="s">
        <v>644</v>
      </c>
    </row>
    <row r="49" spans="1:8" x14ac:dyDescent="0.3">
      <c r="A49" s="36" t="s">
        <v>25</v>
      </c>
      <c r="B49" s="36" t="s">
        <v>427</v>
      </c>
      <c r="C49" s="36" t="s">
        <v>610</v>
      </c>
      <c r="D49" s="36" t="s">
        <v>398</v>
      </c>
      <c r="E49" s="36" t="s">
        <v>682</v>
      </c>
      <c r="F49" s="36" t="s">
        <v>683</v>
      </c>
      <c r="G49" s="36" t="s">
        <v>400</v>
      </c>
      <c r="H49" s="36" t="s">
        <v>404</v>
      </c>
    </row>
    <row r="50" spans="1:8" x14ac:dyDescent="0.3">
      <c r="A50" s="36" t="s">
        <v>26</v>
      </c>
      <c r="B50" s="36" t="s">
        <v>428</v>
      </c>
      <c r="C50" s="36" t="s">
        <v>611</v>
      </c>
      <c r="D50" s="36" t="s">
        <v>429</v>
      </c>
      <c r="E50" s="36" t="s">
        <v>710</v>
      </c>
      <c r="F50" s="36" t="s">
        <v>711</v>
      </c>
      <c r="G50" s="36" t="s">
        <v>400</v>
      </c>
      <c r="H50" s="36" t="s">
        <v>395</v>
      </c>
    </row>
    <row r="51" spans="1:8" x14ac:dyDescent="0.3">
      <c r="A51" s="36" t="s">
        <v>27</v>
      </c>
      <c r="B51" s="36" t="s">
        <v>430</v>
      </c>
      <c r="C51" s="36" t="s">
        <v>612</v>
      </c>
      <c r="D51" s="36" t="s">
        <v>712</v>
      </c>
      <c r="E51" s="36" t="s">
        <v>713</v>
      </c>
      <c r="F51" s="36" t="s">
        <v>714</v>
      </c>
      <c r="G51" s="36" t="s">
        <v>715</v>
      </c>
      <c r="H51" s="36" t="s">
        <v>716</v>
      </c>
    </row>
    <row r="52" spans="1:8" x14ac:dyDescent="0.3">
      <c r="A52" s="36" t="s">
        <v>28</v>
      </c>
      <c r="B52" s="36" t="s">
        <v>541</v>
      </c>
      <c r="C52" s="36" t="s">
        <v>613</v>
      </c>
      <c r="D52" s="36" t="s">
        <v>413</v>
      </c>
      <c r="E52" s="36" t="s">
        <v>717</v>
      </c>
      <c r="F52" s="36" t="s">
        <v>718</v>
      </c>
      <c r="G52" s="36" t="s">
        <v>657</v>
      </c>
      <c r="H52" s="36" t="s">
        <v>719</v>
      </c>
    </row>
  </sheetData>
  <dataValidations count="1">
    <dataValidation type="decimal" allowBlank="1" showInputMessage="1" showErrorMessage="1" sqref="A15" xr:uid="{E24220D8-2501-47C4-817A-C60A749004FF}">
      <formula1>10</formula1>
      <formula2>45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DB5E-3CAD-47B9-9246-E9F400035083}">
  <sheetPr>
    <tabColor theme="8" tint="-0.249977111117893"/>
  </sheetPr>
  <dimension ref="A1:H16"/>
  <sheetViews>
    <sheetView workbookViewId="0">
      <selection activeCell="I32" sqref="I32"/>
    </sheetView>
  </sheetViews>
  <sheetFormatPr baseColWidth="10" defaultRowHeight="14.4" x14ac:dyDescent="0.3"/>
  <sheetData>
    <row r="1" spans="1:8" x14ac:dyDescent="0.3">
      <c r="A1" s="19" t="s">
        <v>437</v>
      </c>
      <c r="B1" s="19" t="s">
        <v>393</v>
      </c>
      <c r="C1" s="19" t="s">
        <v>441</v>
      </c>
      <c r="D1" s="19" t="s">
        <v>438</v>
      </c>
      <c r="E1" s="19" t="s">
        <v>439</v>
      </c>
      <c r="F1" s="19" t="s">
        <v>440</v>
      </c>
      <c r="G1" s="19" t="s">
        <v>448</v>
      </c>
      <c r="H1" s="19" t="s">
        <v>476</v>
      </c>
    </row>
    <row r="2" spans="1:8" x14ac:dyDescent="0.3">
      <c r="A2">
        <v>1</v>
      </c>
      <c r="B2" s="22">
        <v>46234</v>
      </c>
      <c r="C2" s="22" t="s">
        <v>442</v>
      </c>
      <c r="D2" t="s">
        <v>443</v>
      </c>
      <c r="E2" t="s">
        <v>444</v>
      </c>
    </row>
    <row r="3" spans="1:8" x14ac:dyDescent="0.3">
      <c r="A3">
        <v>2</v>
      </c>
      <c r="B3" s="22">
        <v>46234</v>
      </c>
      <c r="C3" s="22" t="s">
        <v>449</v>
      </c>
      <c r="D3" t="s">
        <v>443</v>
      </c>
      <c r="E3" t="s">
        <v>460</v>
      </c>
    </row>
    <row r="4" spans="1:8" x14ac:dyDescent="0.3">
      <c r="A4">
        <v>3</v>
      </c>
      <c r="B4" s="22">
        <v>46234</v>
      </c>
      <c r="C4" t="s">
        <v>445</v>
      </c>
      <c r="D4" t="s">
        <v>443</v>
      </c>
      <c r="E4" t="s">
        <v>447</v>
      </c>
      <c r="F4" t="s">
        <v>446</v>
      </c>
    </row>
    <row r="5" spans="1:8" x14ac:dyDescent="0.3">
      <c r="A5">
        <v>4</v>
      </c>
      <c r="B5" s="22">
        <v>46249</v>
      </c>
      <c r="C5" t="s">
        <v>567</v>
      </c>
      <c r="D5" t="s">
        <v>443</v>
      </c>
      <c r="E5" t="s">
        <v>467</v>
      </c>
      <c r="G5" t="s">
        <v>466</v>
      </c>
    </row>
    <row r="6" spans="1:8" x14ac:dyDescent="0.3">
      <c r="A6">
        <v>5</v>
      </c>
      <c r="B6" s="22">
        <v>46249</v>
      </c>
      <c r="C6" t="s">
        <v>469</v>
      </c>
      <c r="D6" t="s">
        <v>468</v>
      </c>
      <c r="E6" t="s">
        <v>470</v>
      </c>
      <c r="F6" t="s">
        <v>472</v>
      </c>
      <c r="G6" t="s">
        <v>471</v>
      </c>
      <c r="H6" t="s">
        <v>474</v>
      </c>
    </row>
    <row r="7" spans="1:8" x14ac:dyDescent="0.3">
      <c r="A7">
        <v>6</v>
      </c>
      <c r="B7" s="22">
        <v>46250</v>
      </c>
      <c r="C7" t="s">
        <v>475</v>
      </c>
      <c r="D7" t="s">
        <v>486</v>
      </c>
      <c r="E7" t="s">
        <v>483</v>
      </c>
      <c r="F7" t="s">
        <v>477</v>
      </c>
      <c r="H7" t="s">
        <v>487</v>
      </c>
    </row>
    <row r="8" spans="1:8" x14ac:dyDescent="0.3">
      <c r="A8">
        <v>7</v>
      </c>
      <c r="B8" s="22">
        <v>46250</v>
      </c>
      <c r="C8" t="s">
        <v>496</v>
      </c>
      <c r="D8" t="s">
        <v>497</v>
      </c>
      <c r="E8" t="s">
        <v>500</v>
      </c>
      <c r="F8" t="s">
        <v>498</v>
      </c>
      <c r="H8" t="s">
        <v>499</v>
      </c>
    </row>
    <row r="9" spans="1:8" x14ac:dyDescent="0.3">
      <c r="A9">
        <v>8</v>
      </c>
      <c r="B9" s="22">
        <v>46250</v>
      </c>
      <c r="C9" t="s">
        <v>508</v>
      </c>
      <c r="D9" t="s">
        <v>504</v>
      </c>
      <c r="E9" t="s">
        <v>507</v>
      </c>
      <c r="F9" t="s">
        <v>505</v>
      </c>
      <c r="H9" t="s">
        <v>506</v>
      </c>
    </row>
    <row r="10" spans="1:8" x14ac:dyDescent="0.3">
      <c r="A10">
        <v>9</v>
      </c>
      <c r="B10" s="22">
        <v>46250</v>
      </c>
      <c r="C10" t="s">
        <v>509</v>
      </c>
      <c r="D10" t="s">
        <v>510</v>
      </c>
      <c r="E10" t="s">
        <v>511</v>
      </c>
      <c r="F10" t="s">
        <v>512</v>
      </c>
    </row>
    <row r="11" spans="1:8" x14ac:dyDescent="0.3">
      <c r="A11">
        <v>10</v>
      </c>
      <c r="B11" s="22">
        <v>46250</v>
      </c>
      <c r="C11" t="s">
        <v>513</v>
      </c>
      <c r="D11" t="s">
        <v>478</v>
      </c>
      <c r="E11" t="s">
        <v>515</v>
      </c>
      <c r="H11" t="s">
        <v>514</v>
      </c>
    </row>
    <row r="12" spans="1:8" x14ac:dyDescent="0.3">
      <c r="A12">
        <v>11</v>
      </c>
      <c r="B12" s="22">
        <v>46254</v>
      </c>
      <c r="C12" t="s">
        <v>528</v>
      </c>
      <c r="D12" t="s">
        <v>529</v>
      </c>
      <c r="E12" t="s">
        <v>531</v>
      </c>
      <c r="F12" t="s">
        <v>532</v>
      </c>
      <c r="H12" t="s">
        <v>530</v>
      </c>
    </row>
    <row r="13" spans="1:8" x14ac:dyDescent="0.3">
      <c r="A13">
        <v>12</v>
      </c>
      <c r="B13" s="22">
        <v>46254</v>
      </c>
      <c r="C13" t="s">
        <v>533</v>
      </c>
      <c r="D13" t="s">
        <v>534</v>
      </c>
      <c r="E13" t="s">
        <v>535</v>
      </c>
      <c r="H13" t="s">
        <v>536</v>
      </c>
    </row>
    <row r="14" spans="1:8" x14ac:dyDescent="0.3">
      <c r="A14">
        <v>13</v>
      </c>
      <c r="B14" s="22">
        <v>46254</v>
      </c>
      <c r="C14" t="s">
        <v>540</v>
      </c>
      <c r="D14" t="s">
        <v>537</v>
      </c>
      <c r="E14" t="s">
        <v>538</v>
      </c>
      <c r="F14" t="s">
        <v>539</v>
      </c>
    </row>
    <row r="15" spans="1:8" x14ac:dyDescent="0.3">
      <c r="A15">
        <v>14</v>
      </c>
      <c r="B15" s="22">
        <v>46254</v>
      </c>
      <c r="C15" t="s">
        <v>542</v>
      </c>
      <c r="D15" t="s">
        <v>396</v>
      </c>
      <c r="E15" t="s">
        <v>543</v>
      </c>
      <c r="F15" t="s">
        <v>544</v>
      </c>
    </row>
    <row r="16" spans="1:8" x14ac:dyDescent="0.3">
      <c r="A16">
        <v>15</v>
      </c>
      <c r="B16" s="22">
        <v>46254</v>
      </c>
      <c r="C16" t="s">
        <v>562</v>
      </c>
      <c r="D16" t="s">
        <v>563</v>
      </c>
      <c r="E16" t="s">
        <v>564</v>
      </c>
      <c r="F16" t="s">
        <v>565</v>
      </c>
      <c r="H16" t="s">
        <v>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01D3-AF6E-444F-AC20-6C70F408BDE3}">
  <sheetPr>
    <tabColor rgb="FFFFC000"/>
  </sheetPr>
  <dimension ref="A1:AO295"/>
  <sheetViews>
    <sheetView topLeftCell="AN1" workbookViewId="0">
      <selection activeCell="AP1" sqref="AP1:AP1048576"/>
    </sheetView>
  </sheetViews>
  <sheetFormatPr baseColWidth="10" defaultRowHeight="14.4" x14ac:dyDescent="0.3"/>
  <cols>
    <col min="4" max="4" width="11.6640625" bestFit="1" customWidth="1"/>
    <col min="7" max="7" width="11.6640625" style="20" bestFit="1" customWidth="1"/>
    <col min="8" max="9" width="11.6640625" bestFit="1" customWidth="1"/>
    <col min="13" max="14" width="11.6640625" bestFit="1" customWidth="1"/>
    <col min="16" max="18" width="11.6640625" bestFit="1" customWidth="1"/>
    <col min="21" max="22" width="11.6640625" bestFit="1" customWidth="1"/>
    <col min="24" max="26" width="11.6640625" bestFit="1" customWidth="1"/>
    <col min="29" max="30" width="12.5546875" bestFit="1" customWidth="1"/>
    <col min="35" max="37" width="11.6640625" bestFit="1" customWidth="1"/>
    <col min="39" max="40" width="11.6640625" bestFit="1" customWidth="1"/>
  </cols>
  <sheetData>
    <row r="1" spans="1:41" s="19" customFormat="1" x14ac:dyDescent="0.3">
      <c r="A1" s="32" t="s">
        <v>461</v>
      </c>
      <c r="B1" s="32" t="s">
        <v>388</v>
      </c>
      <c r="C1" s="32" t="s">
        <v>405</v>
      </c>
      <c r="D1" s="32" t="s">
        <v>390</v>
      </c>
      <c r="E1" s="32" t="s">
        <v>462</v>
      </c>
      <c r="F1" s="33" t="s">
        <v>392</v>
      </c>
      <c r="G1" s="33" t="s">
        <v>463</v>
      </c>
      <c r="H1" s="33" t="s">
        <v>464</v>
      </c>
      <c r="I1" s="32" t="s">
        <v>8</v>
      </c>
      <c r="J1" s="32" t="s">
        <v>411</v>
      </c>
      <c r="K1" s="32" t="s">
        <v>465</v>
      </c>
      <c r="L1" s="32" t="s">
        <v>489</v>
      </c>
      <c r="M1" s="32" t="s">
        <v>412</v>
      </c>
      <c r="N1" s="32" t="s">
        <v>488</v>
      </c>
      <c r="O1" s="32" t="s">
        <v>414</v>
      </c>
      <c r="P1" s="32" t="s">
        <v>415</v>
      </c>
      <c r="Q1" s="32" t="s">
        <v>473</v>
      </c>
      <c r="R1" s="32" t="s">
        <v>478</v>
      </c>
      <c r="S1" s="32" t="s">
        <v>417</v>
      </c>
      <c r="T1" s="32" t="s">
        <v>490</v>
      </c>
      <c r="U1" s="32" t="s">
        <v>419</v>
      </c>
      <c r="V1" s="32" t="s">
        <v>491</v>
      </c>
      <c r="W1" s="32" t="s">
        <v>420</v>
      </c>
      <c r="X1" s="32" t="s">
        <v>421</v>
      </c>
      <c r="Y1" s="32" t="s">
        <v>479</v>
      </c>
      <c r="Z1" s="32" t="s">
        <v>480</v>
      </c>
      <c r="AA1" s="32" t="s">
        <v>423</v>
      </c>
      <c r="AB1" s="32" t="s">
        <v>492</v>
      </c>
      <c r="AC1" s="32" t="s">
        <v>484</v>
      </c>
      <c r="AD1" s="32" t="s">
        <v>493</v>
      </c>
      <c r="AE1" s="32" t="s">
        <v>494</v>
      </c>
      <c r="AF1" s="32" t="s">
        <v>485</v>
      </c>
      <c r="AG1" s="32" t="s">
        <v>495</v>
      </c>
      <c r="AH1" s="32" t="s">
        <v>424</v>
      </c>
      <c r="AI1" s="32" t="s">
        <v>425</v>
      </c>
      <c r="AJ1" s="32" t="s">
        <v>481</v>
      </c>
      <c r="AK1" s="32" t="s">
        <v>482</v>
      </c>
      <c r="AL1" s="32" t="s">
        <v>427</v>
      </c>
      <c r="AM1" s="32" t="s">
        <v>428</v>
      </c>
      <c r="AN1" s="32" t="s">
        <v>430</v>
      </c>
      <c r="AO1" s="32" t="s">
        <v>541</v>
      </c>
    </row>
    <row r="2" spans="1:41" x14ac:dyDescent="0.3">
      <c r="A2" s="24" t="s">
        <v>29</v>
      </c>
      <c r="B2" s="24" t="s">
        <v>516</v>
      </c>
      <c r="C2" s="25"/>
      <c r="D2" s="26">
        <v>22.8</v>
      </c>
      <c r="E2" s="24" t="s">
        <v>520</v>
      </c>
      <c r="F2" s="27" t="s">
        <v>524</v>
      </c>
      <c r="G2" s="28"/>
      <c r="H2" s="28"/>
      <c r="I2" s="24">
        <v>12</v>
      </c>
      <c r="J2" s="24" t="s">
        <v>33</v>
      </c>
      <c r="K2" s="24" t="s">
        <v>526</v>
      </c>
      <c r="L2" s="24" t="str">
        <f>IF(LEFT(M2,1)="&gt;","Censure haute",IF(M2="*****","Non testé","Normal"))</f>
        <v>Normal</v>
      </c>
      <c r="M2" s="23">
        <v>0.16789999999999999</v>
      </c>
      <c r="N2" s="23">
        <f>IFERROR(VALUE(M2),"")</f>
        <v>0.16789999999999999</v>
      </c>
      <c r="O2" s="24" t="s">
        <v>526</v>
      </c>
      <c r="P2" s="23">
        <v>3.1E-2</v>
      </c>
      <c r="Q2" s="29">
        <v>0.70989999999999998</v>
      </c>
      <c r="R2" s="29"/>
      <c r="S2" s="24" t="s">
        <v>526</v>
      </c>
      <c r="T2" s="24" t="str">
        <f>IF(LEFT(U2,1)="&gt;","Censure haute",IF(U2="*****","Echec technique","Normal"))</f>
        <v>Censure haute</v>
      </c>
      <c r="U2" s="24" t="s">
        <v>35</v>
      </c>
      <c r="V2" s="24" t="str">
        <f>IFERROR(VALUE(U2),"")</f>
        <v/>
      </c>
      <c r="W2" s="24" t="s">
        <v>527</v>
      </c>
      <c r="X2" s="23">
        <v>0.95799999999999996</v>
      </c>
      <c r="Y2" s="23">
        <v>6.4745999999999997</v>
      </c>
      <c r="Z2" s="23"/>
      <c r="AA2" s="24" t="s">
        <v>527</v>
      </c>
      <c r="AB2" s="24" t="str">
        <f>IF(LEFT(AC2,1)="&gt;","Censure haute",IF(AC2="*****","Non testé","Normal"))</f>
        <v>Censure haute</v>
      </c>
      <c r="AC2" s="23" t="s">
        <v>35</v>
      </c>
      <c r="AD2" s="23" t="s">
        <v>561</v>
      </c>
      <c r="AE2" s="23" t="str">
        <f>IF(ISBLANK(AF2),"",IF(LEFT(AF2,1)="&gt;","Censure haute",IF(AF2="*****","Non testé","Normal")))</f>
        <v/>
      </c>
      <c r="AF2" s="23"/>
      <c r="AG2" s="23" t="str">
        <f>IF(ISBLANK(AF2),"",IFERROR(VALUE(AF2),""))</f>
        <v/>
      </c>
      <c r="AH2" s="24" t="s">
        <v>527</v>
      </c>
      <c r="AI2" s="23">
        <v>0.58899999999999997</v>
      </c>
      <c r="AJ2" s="23">
        <v>3.3544999999999998</v>
      </c>
      <c r="AK2" s="23"/>
      <c r="AL2" s="24" t="s">
        <v>527</v>
      </c>
      <c r="AM2" s="24">
        <v>210</v>
      </c>
      <c r="AN2" s="24">
        <v>0</v>
      </c>
      <c r="AO2" s="24">
        <f>IF(ISBLANK(AM2),"",IF(AM2=92,IF(T2="Censure haute",120,""),IF(AB2="Censure haute",120,"")))</f>
        <v>120</v>
      </c>
    </row>
    <row r="3" spans="1:41" x14ac:dyDescent="0.3">
      <c r="A3" s="24" t="s">
        <v>37</v>
      </c>
      <c r="B3" s="24" t="s">
        <v>517</v>
      </c>
      <c r="C3" s="25" t="s">
        <v>518</v>
      </c>
      <c r="D3" s="26">
        <v>17</v>
      </c>
      <c r="E3" s="24" t="s">
        <v>521</v>
      </c>
      <c r="F3" s="27" t="s">
        <v>524</v>
      </c>
      <c r="G3" s="28"/>
      <c r="H3" s="28"/>
      <c r="I3" s="24">
        <v>12</v>
      </c>
      <c r="J3" s="24" t="s">
        <v>33</v>
      </c>
      <c r="K3" s="24" t="s">
        <v>526</v>
      </c>
      <c r="L3" s="24" t="str">
        <f t="shared" ref="L3:L66" si="0">IF(LEFT(M3,1)="&gt;","Censure haute",IF(M3="*****","Non testé","Normal"))</f>
        <v>Normal</v>
      </c>
      <c r="M3" s="23">
        <v>0.37469999999999998</v>
      </c>
      <c r="N3" s="23">
        <f t="shared" ref="N3:N66" si="1">IFERROR(VALUE(M3),"")</f>
        <v>0.37469999999999998</v>
      </c>
      <c r="O3" s="24" t="s">
        <v>526</v>
      </c>
      <c r="P3" s="23">
        <v>3.5000000000000003E-2</v>
      </c>
      <c r="Q3" s="29">
        <v>1.6594</v>
      </c>
      <c r="R3" s="29"/>
      <c r="S3" s="24" t="s">
        <v>527</v>
      </c>
      <c r="T3" s="24" t="str">
        <f t="shared" ref="T3:T66" si="2">IF(LEFT(U3,1)="&gt;","Censure haute",IF(U3="*****","Echec technique","Normal"))</f>
        <v>Censure haute</v>
      </c>
      <c r="U3" s="24" t="s">
        <v>35</v>
      </c>
      <c r="V3" s="24" t="str">
        <f t="shared" ref="V3:V66" si="3">IFERROR(VALUE(U3),"")</f>
        <v/>
      </c>
      <c r="W3" s="24" t="s">
        <v>527</v>
      </c>
      <c r="X3" s="23">
        <v>0.48199999999999998</v>
      </c>
      <c r="Y3" s="23">
        <v>6.2601000000000004</v>
      </c>
      <c r="Z3" s="23"/>
      <c r="AA3" s="24" t="s">
        <v>527</v>
      </c>
      <c r="AB3" s="24" t="str">
        <f t="shared" ref="AB3:AB66" si="4">IF(LEFT(AC3,1)="&gt;","Censure haute",IF(AC3="*****","Non testé","Normal"))</f>
        <v>Censure haute</v>
      </c>
      <c r="AC3" s="23" t="s">
        <v>35</v>
      </c>
      <c r="AD3" s="23" t="s">
        <v>561</v>
      </c>
      <c r="AE3" s="23" t="str">
        <f t="shared" ref="AE3:AE66" si="5">IF(ISBLANK(AF3),"",IF(LEFT(AF3,1)="&gt;","Censure haute",IF(AF3="*****","Non testé","Normal")))</f>
        <v/>
      </c>
      <c r="AF3" s="23"/>
      <c r="AG3" s="23" t="str">
        <f t="shared" ref="AG3:AG66" si="6">IF(ISBLANK(AF3),"",IFERROR(VALUE(AF3),""))</f>
        <v/>
      </c>
      <c r="AH3" s="24" t="s">
        <v>527</v>
      </c>
      <c r="AI3" s="23">
        <v>2.847</v>
      </c>
      <c r="AJ3" s="23">
        <v>2.3946000000000001</v>
      </c>
      <c r="AK3" s="23"/>
      <c r="AL3" s="24" t="s">
        <v>527</v>
      </c>
      <c r="AM3" s="24">
        <v>210</v>
      </c>
      <c r="AN3" s="24">
        <v>0</v>
      </c>
      <c r="AO3" s="24">
        <f>IF(ISBLANK(AM3),"",IF(AM3=92,IF(T3="Censure haute",120,""),IF(AB3="Censure haute",120,"")))</f>
        <v>120</v>
      </c>
    </row>
    <row r="4" spans="1:41" x14ac:dyDescent="0.3">
      <c r="A4" s="24" t="s">
        <v>40</v>
      </c>
      <c r="B4" s="24" t="s">
        <v>516</v>
      </c>
      <c r="C4" s="25" t="s">
        <v>518</v>
      </c>
      <c r="D4" s="26">
        <v>14.4</v>
      </c>
      <c r="E4" s="24" t="s">
        <v>523</v>
      </c>
      <c r="F4" s="27" t="s">
        <v>524</v>
      </c>
      <c r="G4" s="28"/>
      <c r="H4" s="28"/>
      <c r="I4" s="24">
        <v>12</v>
      </c>
      <c r="J4" s="24" t="s">
        <v>33</v>
      </c>
      <c r="K4" s="24" t="s">
        <v>526</v>
      </c>
      <c r="L4" s="24" t="str">
        <f t="shared" si="0"/>
        <v>Normal</v>
      </c>
      <c r="M4" s="23">
        <v>0.1022</v>
      </c>
      <c r="N4" s="23">
        <f t="shared" si="1"/>
        <v>0.1022</v>
      </c>
      <c r="O4" s="24" t="s">
        <v>526</v>
      </c>
      <c r="P4" s="23">
        <v>3.6999999999999998E-2</v>
      </c>
      <c r="Q4" s="29">
        <v>0.52529999999999999</v>
      </c>
      <c r="R4" s="29"/>
      <c r="S4" s="24" t="s">
        <v>526</v>
      </c>
      <c r="T4" s="24" t="str">
        <f t="shared" si="2"/>
        <v>Censure haute</v>
      </c>
      <c r="U4" s="24" t="s">
        <v>35</v>
      </c>
      <c r="V4" s="24" t="str">
        <f t="shared" si="3"/>
        <v/>
      </c>
      <c r="W4" s="24" t="s">
        <v>527</v>
      </c>
      <c r="X4" s="23">
        <v>0.85699999999999998</v>
      </c>
      <c r="Y4" s="23">
        <v>0.2737</v>
      </c>
      <c r="Z4" s="23"/>
      <c r="AA4" s="24" t="s">
        <v>526</v>
      </c>
      <c r="AB4" s="24" t="str">
        <f t="shared" si="4"/>
        <v>Censure haute</v>
      </c>
      <c r="AC4" s="23" t="s">
        <v>35</v>
      </c>
      <c r="AD4" s="23" t="s">
        <v>561</v>
      </c>
      <c r="AE4" s="23" t="str">
        <f t="shared" si="5"/>
        <v/>
      </c>
      <c r="AF4" s="23"/>
      <c r="AG4" s="23" t="str">
        <f t="shared" si="6"/>
        <v/>
      </c>
      <c r="AH4" s="24" t="s">
        <v>527</v>
      </c>
      <c r="AI4" s="23">
        <v>0.499</v>
      </c>
      <c r="AJ4" s="23">
        <v>0.1885</v>
      </c>
      <c r="AK4" s="23"/>
      <c r="AL4" s="24" t="s">
        <v>526</v>
      </c>
      <c r="AM4" s="24">
        <v>210</v>
      </c>
      <c r="AN4" s="24">
        <v>0</v>
      </c>
      <c r="AO4" s="24">
        <f>IF(ISBLANK(AM4),"",IF(AM4=92,IF(T4="Censure haute",120,""),IF(AB4="Censure haute",120,"")))</f>
        <v>120</v>
      </c>
    </row>
    <row r="5" spans="1:41" x14ac:dyDescent="0.3">
      <c r="A5" s="24" t="s">
        <v>42</v>
      </c>
      <c r="B5" s="24" t="s">
        <v>517</v>
      </c>
      <c r="C5" s="30"/>
      <c r="D5" s="26">
        <v>21.4</v>
      </c>
      <c r="E5" s="24" t="s">
        <v>521</v>
      </c>
      <c r="F5" s="27" t="s">
        <v>524</v>
      </c>
      <c r="G5" s="28"/>
      <c r="H5" s="28"/>
      <c r="I5" s="24">
        <v>15</v>
      </c>
      <c r="J5" s="24" t="s">
        <v>43</v>
      </c>
      <c r="K5" s="24" t="s">
        <v>526</v>
      </c>
      <c r="L5" s="24" t="str">
        <f t="shared" si="0"/>
        <v>Normal</v>
      </c>
      <c r="M5" s="23">
        <v>0.28610000000000002</v>
      </c>
      <c r="N5" s="23">
        <f t="shared" si="1"/>
        <v>0.28610000000000002</v>
      </c>
      <c r="O5" s="24" t="s">
        <v>526</v>
      </c>
      <c r="P5" s="23">
        <v>3.7999999999999999E-2</v>
      </c>
      <c r="Q5" s="29">
        <v>0.29799999999999999</v>
      </c>
      <c r="R5" s="29"/>
      <c r="S5" s="24" t="s">
        <v>526</v>
      </c>
      <c r="T5" s="24" t="str">
        <f t="shared" si="2"/>
        <v>Echec technique</v>
      </c>
      <c r="U5" s="24" t="s">
        <v>44</v>
      </c>
      <c r="V5" s="24" t="str">
        <f t="shared" si="3"/>
        <v/>
      </c>
      <c r="W5" s="24" t="s">
        <v>502</v>
      </c>
      <c r="X5" s="23">
        <v>0.73699999999999999</v>
      </c>
      <c r="Y5" s="23">
        <v>2.0179</v>
      </c>
      <c r="Z5" s="23"/>
      <c r="AA5" s="24" t="s">
        <v>527</v>
      </c>
      <c r="AB5" s="24" t="str">
        <f t="shared" si="4"/>
        <v>Censure haute</v>
      </c>
      <c r="AC5" s="23" t="s">
        <v>35</v>
      </c>
      <c r="AD5" s="23" t="s">
        <v>561</v>
      </c>
      <c r="AE5" s="23" t="str">
        <f t="shared" si="5"/>
        <v/>
      </c>
      <c r="AF5" s="23"/>
      <c r="AG5" s="23" t="str">
        <f t="shared" si="6"/>
        <v/>
      </c>
      <c r="AH5" s="24" t="s">
        <v>527</v>
      </c>
      <c r="AI5" s="23">
        <v>0.43</v>
      </c>
      <c r="AJ5" s="23">
        <v>0.64880000000000004</v>
      </c>
      <c r="AK5" s="23"/>
      <c r="AL5" s="24" t="s">
        <v>526</v>
      </c>
      <c r="AM5" s="24">
        <v>210</v>
      </c>
      <c r="AN5" s="24">
        <v>0</v>
      </c>
      <c r="AO5" s="24">
        <f>IF(ISBLANK(AM5),"",IF(AM5=92,IF(T5="Censure haute",120,""),IF(AB5="Censure haute",120,"")))</f>
        <v>120</v>
      </c>
    </row>
    <row r="6" spans="1:41" x14ac:dyDescent="0.3">
      <c r="A6" s="24" t="s">
        <v>46</v>
      </c>
      <c r="B6" s="24" t="s">
        <v>517</v>
      </c>
      <c r="C6" s="25"/>
      <c r="D6" s="26">
        <v>33.200000000000003</v>
      </c>
      <c r="E6" s="24" t="s">
        <v>522</v>
      </c>
      <c r="F6" s="27" t="s">
        <v>524</v>
      </c>
      <c r="G6" s="28"/>
      <c r="H6" s="28"/>
      <c r="I6" s="24">
        <v>15</v>
      </c>
      <c r="J6" s="24" t="s">
        <v>43</v>
      </c>
      <c r="K6" s="24" t="s">
        <v>526</v>
      </c>
      <c r="L6" s="24" t="str">
        <f t="shared" si="0"/>
        <v>Normal</v>
      </c>
      <c r="M6" s="23">
        <v>0.33169999999999999</v>
      </c>
      <c r="N6" s="23">
        <f t="shared" si="1"/>
        <v>0.33169999999999999</v>
      </c>
      <c r="O6" s="24" t="s">
        <v>526</v>
      </c>
      <c r="P6" s="23">
        <v>3.7999999999999999E-2</v>
      </c>
      <c r="Q6" s="29">
        <v>0.52800000000000002</v>
      </c>
      <c r="R6" s="29"/>
      <c r="S6" s="24" t="s">
        <v>526</v>
      </c>
      <c r="T6" s="24" t="str">
        <f t="shared" si="2"/>
        <v>Censure haute</v>
      </c>
      <c r="U6" s="24" t="s">
        <v>35</v>
      </c>
      <c r="V6" s="24" t="str">
        <f t="shared" si="3"/>
        <v/>
      </c>
      <c r="W6" s="24" t="s">
        <v>527</v>
      </c>
      <c r="X6" s="23">
        <v>3.3919999999999999</v>
      </c>
      <c r="Y6" s="23">
        <v>0.31790000000000002</v>
      </c>
      <c r="Z6" s="23"/>
      <c r="AA6" s="24" t="s">
        <v>526</v>
      </c>
      <c r="AB6" s="24" t="str">
        <f t="shared" si="4"/>
        <v>Censure haute</v>
      </c>
      <c r="AC6" s="23" t="s">
        <v>35</v>
      </c>
      <c r="AD6" s="23" t="s">
        <v>561</v>
      </c>
      <c r="AE6" s="23" t="str">
        <f t="shared" si="5"/>
        <v/>
      </c>
      <c r="AF6" s="23"/>
      <c r="AG6" s="23" t="str">
        <f t="shared" si="6"/>
        <v/>
      </c>
      <c r="AH6" s="24" t="s">
        <v>527</v>
      </c>
      <c r="AI6" s="23">
        <v>3.2</v>
      </c>
      <c r="AJ6" s="23">
        <v>0.1482</v>
      </c>
      <c r="AK6" s="23"/>
      <c r="AL6" s="24" t="s">
        <v>526</v>
      </c>
      <c r="AM6" s="24">
        <v>210</v>
      </c>
      <c r="AN6" s="24">
        <v>0</v>
      </c>
      <c r="AO6" s="24">
        <f>IF(ISBLANK(AM6),"",IF(AM6=92,IF(T6="Censure haute",120,""),IF(AB6="Censure haute",120,"")))</f>
        <v>120</v>
      </c>
    </row>
    <row r="7" spans="1:41" x14ac:dyDescent="0.3">
      <c r="A7" s="24" t="s">
        <v>48</v>
      </c>
      <c r="B7" s="24" t="s">
        <v>516</v>
      </c>
      <c r="C7" s="30" t="s">
        <v>519</v>
      </c>
      <c r="D7" s="26">
        <v>25.5</v>
      </c>
      <c r="E7" s="24" t="s">
        <v>520</v>
      </c>
      <c r="F7" s="27" t="s">
        <v>524</v>
      </c>
      <c r="G7" s="28"/>
      <c r="H7" s="28"/>
      <c r="I7" s="24">
        <v>14</v>
      </c>
      <c r="J7" s="24" t="s">
        <v>43</v>
      </c>
      <c r="K7" s="24" t="s">
        <v>526</v>
      </c>
      <c r="L7" s="24" t="str">
        <f t="shared" si="0"/>
        <v>Normal</v>
      </c>
      <c r="M7" s="23">
        <v>0.2117</v>
      </c>
      <c r="N7" s="23">
        <f t="shared" si="1"/>
        <v>0.2117</v>
      </c>
      <c r="O7" s="24" t="s">
        <v>526</v>
      </c>
      <c r="P7" s="23">
        <v>0.04</v>
      </c>
      <c r="Q7" s="29">
        <v>0.18679999999999999</v>
      </c>
      <c r="R7" s="29"/>
      <c r="S7" s="24" t="s">
        <v>526</v>
      </c>
      <c r="T7" s="24" t="str">
        <f t="shared" si="2"/>
        <v>Normal</v>
      </c>
      <c r="U7" s="24">
        <v>0.26490000000000002</v>
      </c>
      <c r="V7" s="24">
        <f t="shared" si="3"/>
        <v>0.26490000000000002</v>
      </c>
      <c r="W7" s="24" t="s">
        <v>526</v>
      </c>
      <c r="X7" s="23">
        <v>0.05</v>
      </c>
      <c r="Y7" s="23">
        <v>8.3000000000000004E-2</v>
      </c>
      <c r="Z7" s="23"/>
      <c r="AA7" s="24" t="s">
        <v>526</v>
      </c>
      <c r="AB7" s="24" t="str">
        <f t="shared" si="4"/>
        <v>Normal</v>
      </c>
      <c r="AC7" s="23">
        <v>4.2599999999999999E-2</v>
      </c>
      <c r="AD7" s="23">
        <v>4.2599999999999999E-2</v>
      </c>
      <c r="AE7" s="23" t="str">
        <f t="shared" si="5"/>
        <v/>
      </c>
      <c r="AF7" s="23"/>
      <c r="AG7" s="23" t="str">
        <f t="shared" si="6"/>
        <v/>
      </c>
      <c r="AH7" s="24" t="s">
        <v>526</v>
      </c>
      <c r="AI7" s="23">
        <v>3.1E-2</v>
      </c>
      <c r="AJ7" s="23">
        <v>0.14960000000000001</v>
      </c>
      <c r="AK7" s="23"/>
      <c r="AL7" s="24" t="s">
        <v>526</v>
      </c>
      <c r="AM7" s="24"/>
      <c r="AN7" s="24"/>
      <c r="AO7" s="24" t="str">
        <f>IF(ISBLANK(AM7),"",IF(AM7=92,IF(T7="Censure haute",120,""),IF(AB7="Censure haute",120,"")))</f>
        <v/>
      </c>
    </row>
    <row r="8" spans="1:41" x14ac:dyDescent="0.3">
      <c r="A8" s="24" t="s">
        <v>50</v>
      </c>
      <c r="B8" s="24" t="s">
        <v>516</v>
      </c>
      <c r="C8" s="25" t="s">
        <v>518</v>
      </c>
      <c r="D8" s="26">
        <v>17.600000000000001</v>
      </c>
      <c r="E8" s="24" t="s">
        <v>521</v>
      </c>
      <c r="F8" s="27" t="s">
        <v>524</v>
      </c>
      <c r="G8" s="28"/>
      <c r="H8" s="28"/>
      <c r="I8" s="24">
        <v>12</v>
      </c>
      <c r="J8" s="24" t="s">
        <v>33</v>
      </c>
      <c r="K8" s="24" t="s">
        <v>526</v>
      </c>
      <c r="L8" s="24" t="str">
        <f t="shared" si="0"/>
        <v>Normal</v>
      </c>
      <c r="M8" s="23">
        <v>0.1797</v>
      </c>
      <c r="N8" s="23">
        <f t="shared" si="1"/>
        <v>0.1797</v>
      </c>
      <c r="O8" s="24" t="s">
        <v>526</v>
      </c>
      <c r="P8" s="23">
        <v>4.1000000000000002E-2</v>
      </c>
      <c r="Q8" s="29">
        <v>1.2326999999999999</v>
      </c>
      <c r="R8" s="29"/>
      <c r="S8" s="24" t="s">
        <v>527</v>
      </c>
      <c r="T8" s="24" t="str">
        <f t="shared" si="2"/>
        <v>Censure haute</v>
      </c>
      <c r="U8" s="24" t="s">
        <v>35</v>
      </c>
      <c r="V8" s="24" t="str">
        <f t="shared" si="3"/>
        <v/>
      </c>
      <c r="W8" s="24" t="s">
        <v>527</v>
      </c>
      <c r="X8" s="23">
        <v>1.84</v>
      </c>
      <c r="Y8" s="23">
        <v>0.59409999999999996</v>
      </c>
      <c r="Z8" s="23"/>
      <c r="AA8" s="24" t="s">
        <v>526</v>
      </c>
      <c r="AB8" s="24" t="str">
        <f t="shared" si="4"/>
        <v>Censure haute</v>
      </c>
      <c r="AC8" s="23" t="s">
        <v>35</v>
      </c>
      <c r="AD8" s="23" t="s">
        <v>561</v>
      </c>
      <c r="AE8" s="23" t="str">
        <f t="shared" si="5"/>
        <v/>
      </c>
      <c r="AF8" s="23"/>
      <c r="AG8" s="23" t="str">
        <f t="shared" si="6"/>
        <v/>
      </c>
      <c r="AH8" s="24" t="s">
        <v>527</v>
      </c>
      <c r="AI8" s="23">
        <v>1.6910000000000001</v>
      </c>
      <c r="AJ8" s="23">
        <v>6.0625</v>
      </c>
      <c r="AK8" s="23"/>
      <c r="AL8" s="24" t="s">
        <v>527</v>
      </c>
      <c r="AM8" s="24">
        <v>210</v>
      </c>
      <c r="AN8" s="24">
        <v>0</v>
      </c>
      <c r="AO8" s="24">
        <f>IF(ISBLANK(AM8),"",IF(AM8=92,IF(T8="Censure haute",120,""),IF(AB8="Censure haute",120,"")))</f>
        <v>120</v>
      </c>
    </row>
    <row r="9" spans="1:41" x14ac:dyDescent="0.3">
      <c r="A9" s="24" t="s">
        <v>51</v>
      </c>
      <c r="B9" s="24" t="s">
        <v>517</v>
      </c>
      <c r="C9" s="25"/>
      <c r="D9" s="26">
        <v>22.1</v>
      </c>
      <c r="E9" s="24" t="s">
        <v>520</v>
      </c>
      <c r="F9" s="27" t="s">
        <v>524</v>
      </c>
      <c r="G9" s="28"/>
      <c r="H9" s="28"/>
      <c r="I9" s="24">
        <v>12</v>
      </c>
      <c r="J9" s="24" t="s">
        <v>33</v>
      </c>
      <c r="K9" s="24" t="s">
        <v>526</v>
      </c>
      <c r="L9" s="24" t="str">
        <f t="shared" si="0"/>
        <v>Normal</v>
      </c>
      <c r="M9" s="23">
        <v>0.27089999999999997</v>
      </c>
      <c r="N9" s="23">
        <f t="shared" si="1"/>
        <v>0.27089999999999997</v>
      </c>
      <c r="O9" s="24" t="s">
        <v>526</v>
      </c>
      <c r="P9" s="23">
        <v>4.4999999999999998E-2</v>
      </c>
      <c r="Q9" s="29">
        <v>1.1834</v>
      </c>
      <c r="R9" s="29"/>
      <c r="S9" s="24" t="s">
        <v>527</v>
      </c>
      <c r="T9" s="24" t="str">
        <f t="shared" si="2"/>
        <v>Censure haute</v>
      </c>
      <c r="U9" s="24" t="s">
        <v>35</v>
      </c>
      <c r="V9" s="24" t="str">
        <f t="shared" si="3"/>
        <v/>
      </c>
      <c r="W9" s="24" t="s">
        <v>527</v>
      </c>
      <c r="X9" s="23">
        <v>0.32100000000000001</v>
      </c>
      <c r="Y9" s="23">
        <v>6.1807999999999996</v>
      </c>
      <c r="Z9" s="23"/>
      <c r="AA9" s="24" t="s">
        <v>527</v>
      </c>
      <c r="AB9" s="24" t="str">
        <f t="shared" si="4"/>
        <v>Non testé</v>
      </c>
      <c r="AC9" s="23" t="s">
        <v>44</v>
      </c>
      <c r="AD9" s="23" t="s">
        <v>561</v>
      </c>
      <c r="AE9" s="23" t="str">
        <f t="shared" si="5"/>
        <v/>
      </c>
      <c r="AF9" s="23"/>
      <c r="AG9" s="23" t="str">
        <f t="shared" si="6"/>
        <v/>
      </c>
      <c r="AH9" s="24" t="s">
        <v>502</v>
      </c>
      <c r="AI9" s="23">
        <v>2.0680000000000001</v>
      </c>
      <c r="AJ9" s="23">
        <v>1.9137999999999999</v>
      </c>
      <c r="AK9" s="23">
        <v>1.8862000000000001</v>
      </c>
      <c r="AL9" s="24" t="s">
        <v>527</v>
      </c>
      <c r="AM9" s="24">
        <v>210</v>
      </c>
      <c r="AN9" s="24">
        <v>0</v>
      </c>
      <c r="AO9" s="24" t="str">
        <f>IF(ISBLANK(AM9),"",IF(AM9=92,IF(T9="Censure haute",120,""),IF(AB9="Censure haute",120,"")))</f>
        <v/>
      </c>
    </row>
    <row r="10" spans="1:41" x14ac:dyDescent="0.3">
      <c r="A10" s="24" t="s">
        <v>53</v>
      </c>
      <c r="B10" s="24" t="s">
        <v>517</v>
      </c>
      <c r="C10" s="30" t="s">
        <v>519</v>
      </c>
      <c r="D10" s="26">
        <v>26.3</v>
      </c>
      <c r="E10" s="24" t="s">
        <v>520</v>
      </c>
      <c r="F10" s="27" t="s">
        <v>525</v>
      </c>
      <c r="G10" s="28">
        <v>44453</v>
      </c>
      <c r="H10" s="28">
        <v>44476</v>
      </c>
      <c r="I10" s="24">
        <v>15</v>
      </c>
      <c r="J10" s="24" t="s">
        <v>43</v>
      </c>
      <c r="K10" s="24" t="s">
        <v>527</v>
      </c>
      <c r="L10" s="24" t="str">
        <f t="shared" si="0"/>
        <v>Normal</v>
      </c>
      <c r="M10" s="23">
        <v>4.4375</v>
      </c>
      <c r="N10" s="23">
        <f t="shared" si="1"/>
        <v>4.4375</v>
      </c>
      <c r="O10" s="24" t="s">
        <v>526</v>
      </c>
      <c r="P10" s="23">
        <v>4.4999999999999998E-2</v>
      </c>
      <c r="Q10" s="23">
        <v>1.1458999999999999</v>
      </c>
      <c r="R10" s="23"/>
      <c r="S10" s="23" t="s">
        <v>526</v>
      </c>
      <c r="T10" s="24" t="str">
        <f t="shared" si="2"/>
        <v>Censure haute</v>
      </c>
      <c r="U10" s="24" t="s">
        <v>35</v>
      </c>
      <c r="V10" s="24" t="str">
        <f t="shared" si="3"/>
        <v/>
      </c>
      <c r="W10" s="24" t="s">
        <v>527</v>
      </c>
      <c r="X10" s="23">
        <v>3.3290000000000002</v>
      </c>
      <c r="Y10" s="23">
        <v>4.2488999999999999</v>
      </c>
      <c r="Z10" s="23"/>
      <c r="AA10" s="24" t="s">
        <v>527</v>
      </c>
      <c r="AB10" s="24" t="str">
        <f t="shared" si="4"/>
        <v>Non testé</v>
      </c>
      <c r="AC10" s="23" t="s">
        <v>44</v>
      </c>
      <c r="AD10" s="23" t="s">
        <v>561</v>
      </c>
      <c r="AE10" s="23" t="str">
        <f t="shared" si="5"/>
        <v/>
      </c>
      <c r="AF10" s="23"/>
      <c r="AG10" s="23" t="str">
        <f t="shared" si="6"/>
        <v/>
      </c>
      <c r="AH10" s="24" t="s">
        <v>502</v>
      </c>
      <c r="AI10" s="23">
        <v>2.835</v>
      </c>
      <c r="AJ10" s="23">
        <v>1.7662</v>
      </c>
      <c r="AK10" s="23">
        <v>1.643</v>
      </c>
      <c r="AL10" s="24" t="s">
        <v>527</v>
      </c>
      <c r="AM10" s="24">
        <v>210</v>
      </c>
      <c r="AN10" s="24">
        <v>0</v>
      </c>
      <c r="AO10" s="24" t="str">
        <f>IF(ISBLANK(AM10),"",IF(AM10=92,IF(T10="Censure haute",120,""),IF(AB10="Censure haute",120,"")))</f>
        <v/>
      </c>
    </row>
    <row r="11" spans="1:41" x14ac:dyDescent="0.3">
      <c r="A11" s="24" t="s">
        <v>56</v>
      </c>
      <c r="B11" s="24" t="s">
        <v>517</v>
      </c>
      <c r="C11" s="25"/>
      <c r="D11" s="26">
        <v>21.4</v>
      </c>
      <c r="E11" s="24" t="s">
        <v>520</v>
      </c>
      <c r="F11" s="27" t="s">
        <v>524</v>
      </c>
      <c r="G11" s="28"/>
      <c r="H11" s="28"/>
      <c r="I11" s="24">
        <v>12</v>
      </c>
      <c r="J11" s="24" t="s">
        <v>33</v>
      </c>
      <c r="K11" s="24" t="s">
        <v>526</v>
      </c>
      <c r="L11" s="24" t="str">
        <f t="shared" si="0"/>
        <v>Normal</v>
      </c>
      <c r="M11" s="23">
        <v>0.29370000000000002</v>
      </c>
      <c r="N11" s="23">
        <f t="shared" si="1"/>
        <v>0.29370000000000002</v>
      </c>
      <c r="O11" s="24" t="s">
        <v>526</v>
      </c>
      <c r="P11" s="23">
        <v>4.5999999999999999E-2</v>
      </c>
      <c r="Q11" s="29">
        <v>1.9887999999999999</v>
      </c>
      <c r="R11" s="29"/>
      <c r="S11" s="24" t="s">
        <v>527</v>
      </c>
      <c r="T11" s="24" t="str">
        <f t="shared" si="2"/>
        <v>Echec technique</v>
      </c>
      <c r="U11" s="24" t="s">
        <v>44</v>
      </c>
      <c r="V11" s="24" t="str">
        <f t="shared" si="3"/>
        <v/>
      </c>
      <c r="W11" s="24" t="s">
        <v>502</v>
      </c>
      <c r="X11" s="23">
        <v>2.5590000000000002</v>
      </c>
      <c r="Y11" s="23">
        <v>7.1226000000000003</v>
      </c>
      <c r="Z11" s="23"/>
      <c r="AA11" s="24" t="s">
        <v>527</v>
      </c>
      <c r="AB11" s="24" t="str">
        <f t="shared" si="4"/>
        <v>Censure haute</v>
      </c>
      <c r="AC11" s="23" t="s">
        <v>35</v>
      </c>
      <c r="AD11" s="23" t="s">
        <v>561</v>
      </c>
      <c r="AE11" s="23" t="str">
        <f t="shared" si="5"/>
        <v/>
      </c>
      <c r="AF11" s="23"/>
      <c r="AG11" s="23" t="str">
        <f t="shared" si="6"/>
        <v/>
      </c>
      <c r="AH11" s="24" t="s">
        <v>527</v>
      </c>
      <c r="AI11" s="23">
        <v>1.1319999999999999</v>
      </c>
      <c r="AJ11" s="23">
        <v>4.0133999999999999</v>
      </c>
      <c r="AK11" s="23"/>
      <c r="AL11" s="24" t="s">
        <v>527</v>
      </c>
      <c r="AM11" s="24">
        <v>210</v>
      </c>
      <c r="AN11" s="24">
        <v>0</v>
      </c>
      <c r="AO11" s="24">
        <f>IF(ISBLANK(AM11),"",IF(AM11=92,IF(T11="Censure haute",120,""),IF(AB11="Censure haute",120,"")))</f>
        <v>120</v>
      </c>
    </row>
    <row r="12" spans="1:41" x14ac:dyDescent="0.3">
      <c r="A12" s="24" t="s">
        <v>57</v>
      </c>
      <c r="B12" s="24" t="s">
        <v>517</v>
      </c>
      <c r="C12" s="25" t="s">
        <v>518</v>
      </c>
      <c r="D12" s="26">
        <v>20.100000000000001</v>
      </c>
      <c r="E12" s="24" t="s">
        <v>521</v>
      </c>
      <c r="F12" s="27" t="s">
        <v>524</v>
      </c>
      <c r="G12" s="28"/>
      <c r="H12" s="28"/>
      <c r="I12" s="24">
        <v>15</v>
      </c>
      <c r="J12" s="24" t="s">
        <v>43</v>
      </c>
      <c r="K12" s="24" t="s">
        <v>526</v>
      </c>
      <c r="L12" s="24" t="str">
        <f t="shared" si="0"/>
        <v>Normal</v>
      </c>
      <c r="M12" s="23">
        <v>0.66500000000000004</v>
      </c>
      <c r="N12" s="23">
        <f t="shared" si="1"/>
        <v>0.66500000000000004</v>
      </c>
      <c r="O12" s="24" t="s">
        <v>526</v>
      </c>
      <c r="P12" s="23">
        <v>4.8000000000000001E-2</v>
      </c>
      <c r="Q12" s="29">
        <v>1.1387</v>
      </c>
      <c r="R12" s="29"/>
      <c r="S12" s="24" t="s">
        <v>527</v>
      </c>
      <c r="T12" s="24" t="str">
        <f t="shared" si="2"/>
        <v>Echec technique</v>
      </c>
      <c r="U12" s="24" t="s">
        <v>44</v>
      </c>
      <c r="V12" s="24" t="str">
        <f t="shared" si="3"/>
        <v/>
      </c>
      <c r="W12" s="24" t="s">
        <v>502</v>
      </c>
      <c r="X12" s="23">
        <v>3.3000000000000002E-2</v>
      </c>
      <c r="Y12" s="23">
        <v>0.90110000000000001</v>
      </c>
      <c r="Z12" s="23"/>
      <c r="AA12" s="24" t="s">
        <v>526</v>
      </c>
      <c r="AB12" s="24" t="str">
        <f t="shared" si="4"/>
        <v>Censure haute</v>
      </c>
      <c r="AC12" s="23" t="s">
        <v>35</v>
      </c>
      <c r="AD12" s="23" t="s">
        <v>561</v>
      </c>
      <c r="AE12" s="23" t="str">
        <f t="shared" si="5"/>
        <v/>
      </c>
      <c r="AF12" s="23"/>
      <c r="AG12" s="23" t="str">
        <f t="shared" si="6"/>
        <v/>
      </c>
      <c r="AH12" s="24" t="s">
        <v>527</v>
      </c>
      <c r="AI12" s="23">
        <v>1.9450000000000001</v>
      </c>
      <c r="AJ12" s="23">
        <v>0.60329999999999995</v>
      </c>
      <c r="AK12" s="23"/>
      <c r="AL12" s="24" t="s">
        <v>526</v>
      </c>
      <c r="AM12" s="24">
        <v>210</v>
      </c>
      <c r="AN12" s="24">
        <v>0</v>
      </c>
      <c r="AO12" s="24">
        <f>IF(ISBLANK(AM12),"",IF(AM12=92,IF(T12="Censure haute",120,""),IF(AB12="Censure haute",120,"")))</f>
        <v>120</v>
      </c>
    </row>
    <row r="13" spans="1:41" x14ac:dyDescent="0.3">
      <c r="A13" s="24" t="s">
        <v>58</v>
      </c>
      <c r="B13" s="24" t="s">
        <v>517</v>
      </c>
      <c r="C13" s="30" t="s">
        <v>518</v>
      </c>
      <c r="D13" s="26">
        <v>18.600000000000001</v>
      </c>
      <c r="E13" s="24" t="s">
        <v>521</v>
      </c>
      <c r="F13" s="27" t="s">
        <v>524</v>
      </c>
      <c r="G13" s="28"/>
      <c r="H13" s="28"/>
      <c r="I13" s="24">
        <v>12</v>
      </c>
      <c r="J13" s="24" t="s">
        <v>33</v>
      </c>
      <c r="K13" s="24" t="s">
        <v>526</v>
      </c>
      <c r="L13" s="24" t="str">
        <f t="shared" si="0"/>
        <v>Normal</v>
      </c>
      <c r="M13" s="23">
        <v>0.36499999999999999</v>
      </c>
      <c r="N13" s="23">
        <f t="shared" si="1"/>
        <v>0.36499999999999999</v>
      </c>
      <c r="O13" s="24" t="s">
        <v>526</v>
      </c>
      <c r="P13" s="23">
        <v>5.1999999999999998E-2</v>
      </c>
      <c r="Q13" s="29">
        <v>8.3099999999999993E-2</v>
      </c>
      <c r="R13" s="29">
        <v>8.14E-2</v>
      </c>
      <c r="S13" s="24" t="s">
        <v>526</v>
      </c>
      <c r="T13" s="24" t="str">
        <f t="shared" si="2"/>
        <v>Censure haute</v>
      </c>
      <c r="U13" s="24" t="s">
        <v>35</v>
      </c>
      <c r="V13" s="24" t="str">
        <f t="shared" si="3"/>
        <v/>
      </c>
      <c r="W13" s="24" t="s">
        <v>527</v>
      </c>
      <c r="X13" s="23">
        <v>3.3759999999999999</v>
      </c>
      <c r="Y13" s="23">
        <v>0.1192</v>
      </c>
      <c r="Z13" s="23"/>
      <c r="AA13" s="24" t="s">
        <v>526</v>
      </c>
      <c r="AB13" s="24" t="str">
        <f t="shared" si="4"/>
        <v>Censure haute</v>
      </c>
      <c r="AC13" s="23" t="s">
        <v>35</v>
      </c>
      <c r="AD13" s="23" t="s">
        <v>561</v>
      </c>
      <c r="AE13" s="23" t="str">
        <f t="shared" si="5"/>
        <v/>
      </c>
      <c r="AF13" s="23"/>
      <c r="AG13" s="23" t="str">
        <f t="shared" si="6"/>
        <v/>
      </c>
      <c r="AH13" s="24" t="s">
        <v>527</v>
      </c>
      <c r="AI13" s="23">
        <v>2.3460000000000001</v>
      </c>
      <c r="AJ13" s="23">
        <v>2.2869000000000002</v>
      </c>
      <c r="AK13" s="23"/>
      <c r="AL13" s="24" t="s">
        <v>527</v>
      </c>
      <c r="AM13" s="24">
        <v>210</v>
      </c>
      <c r="AN13" s="24">
        <v>0</v>
      </c>
      <c r="AO13" s="24">
        <f>IF(ISBLANK(AM13),"",IF(AM13=92,IF(T13="Censure haute",120,""),IF(AB13="Censure haute",120,"")))</f>
        <v>120</v>
      </c>
    </row>
    <row r="14" spans="1:41" x14ac:dyDescent="0.3">
      <c r="A14" s="24" t="s">
        <v>60</v>
      </c>
      <c r="B14" s="24" t="s">
        <v>516</v>
      </c>
      <c r="C14" s="25" t="s">
        <v>519</v>
      </c>
      <c r="D14" s="26">
        <v>30.8</v>
      </c>
      <c r="E14" s="24" t="s">
        <v>522</v>
      </c>
      <c r="F14" s="27" t="s">
        <v>524</v>
      </c>
      <c r="G14" s="28"/>
      <c r="H14" s="28"/>
      <c r="I14" s="24">
        <v>15</v>
      </c>
      <c r="J14" s="24" t="s">
        <v>43</v>
      </c>
      <c r="K14" s="24" t="s">
        <v>526</v>
      </c>
      <c r="L14" s="24" t="str">
        <f t="shared" si="0"/>
        <v>Normal</v>
      </c>
      <c r="M14" s="23">
        <v>0.77669999999999995</v>
      </c>
      <c r="N14" s="23">
        <f t="shared" si="1"/>
        <v>0.77669999999999995</v>
      </c>
      <c r="O14" s="24" t="s">
        <v>526</v>
      </c>
      <c r="P14" s="23">
        <v>5.2999999999999999E-2</v>
      </c>
      <c r="Q14" s="29">
        <v>0.53700000000000003</v>
      </c>
      <c r="R14" s="29"/>
      <c r="S14" s="24" t="s">
        <v>526</v>
      </c>
      <c r="T14" s="24" t="str">
        <f t="shared" si="2"/>
        <v>Censure haute</v>
      </c>
      <c r="U14" s="24" t="s">
        <v>35</v>
      </c>
      <c r="V14" s="24" t="str">
        <f t="shared" si="3"/>
        <v/>
      </c>
      <c r="W14" s="24" t="s">
        <v>527</v>
      </c>
      <c r="X14" s="23">
        <v>1.131</v>
      </c>
      <c r="Y14" s="23">
        <v>7.0446</v>
      </c>
      <c r="Z14" s="23"/>
      <c r="AA14" s="24" t="s">
        <v>526</v>
      </c>
      <c r="AB14" s="24" t="str">
        <f t="shared" si="4"/>
        <v>Censure haute</v>
      </c>
      <c r="AC14" s="23" t="s">
        <v>35</v>
      </c>
      <c r="AD14" s="23" t="s">
        <v>561</v>
      </c>
      <c r="AE14" s="23" t="str">
        <f t="shared" si="5"/>
        <v/>
      </c>
      <c r="AF14" s="23"/>
      <c r="AG14" s="23" t="str">
        <f t="shared" si="6"/>
        <v/>
      </c>
      <c r="AH14" s="24" t="s">
        <v>527</v>
      </c>
      <c r="AI14" s="23">
        <v>0.73199999999999998</v>
      </c>
      <c r="AJ14" s="23">
        <v>1.6982999999999999</v>
      </c>
      <c r="AK14" s="23"/>
      <c r="AL14" s="24" t="s">
        <v>527</v>
      </c>
      <c r="AM14" s="24">
        <v>210</v>
      </c>
      <c r="AN14" s="24">
        <v>0</v>
      </c>
      <c r="AO14" s="24">
        <f>IF(ISBLANK(AM14),"",IF(AM14=92,IF(T14="Censure haute",120,""),IF(AB14="Censure haute",120,"")))</f>
        <v>120</v>
      </c>
    </row>
    <row r="15" spans="1:41" x14ac:dyDescent="0.3">
      <c r="A15" s="24" t="s">
        <v>61</v>
      </c>
      <c r="B15" s="24" t="s">
        <v>517</v>
      </c>
      <c r="C15" s="25" t="s">
        <v>518</v>
      </c>
      <c r="D15" s="26">
        <v>17.8</v>
      </c>
      <c r="E15" s="24" t="s">
        <v>521</v>
      </c>
      <c r="F15" s="27" t="s">
        <v>524</v>
      </c>
      <c r="G15" s="28"/>
      <c r="H15" s="28"/>
      <c r="I15" s="24">
        <v>12</v>
      </c>
      <c r="J15" s="24" t="s">
        <v>33</v>
      </c>
      <c r="K15" s="24" t="s">
        <v>526</v>
      </c>
      <c r="L15" s="24" t="str">
        <f t="shared" si="0"/>
        <v>Normal</v>
      </c>
      <c r="M15" s="23">
        <v>0.67549999999999999</v>
      </c>
      <c r="N15" s="23">
        <f t="shared" si="1"/>
        <v>0.67549999999999999</v>
      </c>
      <c r="O15" s="24" t="s">
        <v>526</v>
      </c>
      <c r="P15" s="23">
        <v>5.6000000000000001E-2</v>
      </c>
      <c r="Q15" s="29">
        <v>0.13320000000000001</v>
      </c>
      <c r="R15" s="29"/>
      <c r="S15" s="24" t="s">
        <v>526</v>
      </c>
      <c r="T15" s="24" t="str">
        <f t="shared" si="2"/>
        <v>Echec technique</v>
      </c>
      <c r="U15" s="24" t="s">
        <v>44</v>
      </c>
      <c r="V15" s="24" t="str">
        <f t="shared" si="3"/>
        <v/>
      </c>
      <c r="W15" s="24" t="s">
        <v>502</v>
      </c>
      <c r="X15" s="23">
        <v>0.90500000000000003</v>
      </c>
      <c r="Y15" s="23">
        <v>2.6568000000000001</v>
      </c>
      <c r="Z15" s="23"/>
      <c r="AA15" s="24" t="s">
        <v>527</v>
      </c>
      <c r="AB15" s="24" t="str">
        <f t="shared" si="4"/>
        <v>Non testé</v>
      </c>
      <c r="AC15" s="23" t="s">
        <v>44</v>
      </c>
      <c r="AD15" s="23" t="s">
        <v>561</v>
      </c>
      <c r="AE15" s="23" t="str">
        <f t="shared" si="5"/>
        <v/>
      </c>
      <c r="AF15" s="23"/>
      <c r="AG15" s="23" t="str">
        <f t="shared" si="6"/>
        <v/>
      </c>
      <c r="AH15" s="24" t="s">
        <v>502</v>
      </c>
      <c r="AI15" s="23">
        <v>3.5</v>
      </c>
      <c r="AJ15" s="23">
        <v>2.3841000000000001</v>
      </c>
      <c r="AK15" s="23"/>
      <c r="AL15" s="24" t="s">
        <v>527</v>
      </c>
      <c r="AM15" s="24">
        <v>210</v>
      </c>
      <c r="AN15" s="24">
        <v>0</v>
      </c>
      <c r="AO15" s="24" t="str">
        <f>IF(ISBLANK(AM15),"",IF(AM15=92,IF(T15="Censure haute",120,""),IF(AB15="Censure haute",120,"")))</f>
        <v/>
      </c>
    </row>
    <row r="16" spans="1:41" x14ac:dyDescent="0.3">
      <c r="A16" s="24" t="s">
        <v>62</v>
      </c>
      <c r="B16" s="24" t="s">
        <v>516</v>
      </c>
      <c r="C16" s="30" t="s">
        <v>518</v>
      </c>
      <c r="D16" s="26">
        <v>16.8</v>
      </c>
      <c r="E16" s="24" t="s">
        <v>521</v>
      </c>
      <c r="F16" s="27" t="s">
        <v>524</v>
      </c>
      <c r="G16" s="28"/>
      <c r="H16" s="28"/>
      <c r="I16" s="24">
        <v>15</v>
      </c>
      <c r="J16" s="24" t="s">
        <v>43</v>
      </c>
      <c r="K16" s="24" t="s">
        <v>526</v>
      </c>
      <c r="L16" s="24" t="str">
        <f t="shared" si="0"/>
        <v>Normal</v>
      </c>
      <c r="M16" s="23">
        <v>0.34310000000000002</v>
      </c>
      <c r="N16" s="23">
        <f t="shared" si="1"/>
        <v>0.34310000000000002</v>
      </c>
      <c r="O16" s="24" t="s">
        <v>526</v>
      </c>
      <c r="P16" s="23">
        <v>5.7000000000000002E-2</v>
      </c>
      <c r="Q16" s="29">
        <v>0.3231</v>
      </c>
      <c r="R16" s="29"/>
      <c r="S16" s="24" t="s">
        <v>526</v>
      </c>
      <c r="T16" s="24" t="str">
        <f t="shared" si="2"/>
        <v>Censure haute</v>
      </c>
      <c r="U16" s="24" t="s">
        <v>35</v>
      </c>
      <c r="V16" s="24" t="str">
        <f t="shared" si="3"/>
        <v/>
      </c>
      <c r="W16" s="24" t="s">
        <v>527</v>
      </c>
      <c r="X16" s="23">
        <v>4.1000000000000002E-2</v>
      </c>
      <c r="Y16" s="23">
        <v>5.6357999999999997</v>
      </c>
      <c r="Z16" s="23"/>
      <c r="AA16" s="24" t="s">
        <v>527</v>
      </c>
      <c r="AB16" s="24" t="str">
        <f t="shared" si="4"/>
        <v>Censure haute</v>
      </c>
      <c r="AC16" s="23" t="s">
        <v>35</v>
      </c>
      <c r="AD16" s="23" t="s">
        <v>561</v>
      </c>
      <c r="AE16" s="23" t="str">
        <f t="shared" si="5"/>
        <v/>
      </c>
      <c r="AF16" s="23"/>
      <c r="AG16" s="23" t="str">
        <f t="shared" si="6"/>
        <v/>
      </c>
      <c r="AH16" s="24" t="s">
        <v>527</v>
      </c>
      <c r="AI16" s="23">
        <v>3.5999999999999997E-2</v>
      </c>
      <c r="AJ16" s="23">
        <v>3.0552999999999999</v>
      </c>
      <c r="AK16" s="23"/>
      <c r="AL16" s="24" t="s">
        <v>527</v>
      </c>
      <c r="AM16" s="24">
        <v>210</v>
      </c>
      <c r="AN16" s="24">
        <v>0</v>
      </c>
      <c r="AO16" s="24">
        <f>IF(ISBLANK(AM16),"",IF(AM16=92,IF(T16="Censure haute",120,""),IF(AB16="Censure haute",120,"")))</f>
        <v>120</v>
      </c>
    </row>
    <row r="17" spans="1:41" x14ac:dyDescent="0.3">
      <c r="A17" s="24" t="s">
        <v>63</v>
      </c>
      <c r="B17" s="24" t="s">
        <v>516</v>
      </c>
      <c r="C17" s="25"/>
      <c r="D17" s="26">
        <v>16.600000000000001</v>
      </c>
      <c r="E17" s="24" t="s">
        <v>521</v>
      </c>
      <c r="F17" s="27" t="s">
        <v>524</v>
      </c>
      <c r="G17" s="28"/>
      <c r="H17" s="28"/>
      <c r="I17" s="24">
        <v>15</v>
      </c>
      <c r="J17" s="24" t="s">
        <v>43</v>
      </c>
      <c r="K17" s="24" t="s">
        <v>526</v>
      </c>
      <c r="L17" s="24" t="str">
        <f t="shared" si="0"/>
        <v>Normal</v>
      </c>
      <c r="M17" s="23">
        <v>1</v>
      </c>
      <c r="N17" s="23">
        <f t="shared" si="1"/>
        <v>1</v>
      </c>
      <c r="O17" s="24" t="s">
        <v>526</v>
      </c>
      <c r="P17" s="23">
        <v>6.3E-2</v>
      </c>
      <c r="Q17" s="29">
        <v>0.73599999999999999</v>
      </c>
      <c r="R17" s="29"/>
      <c r="S17" s="24" t="s">
        <v>526</v>
      </c>
      <c r="T17" s="24" t="str">
        <f t="shared" si="2"/>
        <v>Censure haute</v>
      </c>
      <c r="U17" s="24" t="s">
        <v>35</v>
      </c>
      <c r="V17" s="24" t="str">
        <f t="shared" si="3"/>
        <v/>
      </c>
      <c r="W17" s="24" t="s">
        <v>527</v>
      </c>
      <c r="X17" s="23">
        <v>0.86799999999999999</v>
      </c>
      <c r="Y17" s="23">
        <v>0.36609999999999998</v>
      </c>
      <c r="Z17" s="23"/>
      <c r="AA17" s="24" t="s">
        <v>526</v>
      </c>
      <c r="AB17" s="24" t="str">
        <f t="shared" si="4"/>
        <v>Censure haute</v>
      </c>
      <c r="AC17" s="23" t="s">
        <v>35</v>
      </c>
      <c r="AD17" s="23" t="s">
        <v>561</v>
      </c>
      <c r="AE17" s="23" t="str">
        <f t="shared" si="5"/>
        <v/>
      </c>
      <c r="AF17" s="23"/>
      <c r="AG17" s="23" t="str">
        <f t="shared" si="6"/>
        <v/>
      </c>
      <c r="AH17" s="24" t="s">
        <v>527</v>
      </c>
      <c r="AI17" s="23">
        <v>0.38900000000000001</v>
      </c>
      <c r="AJ17" s="23">
        <v>3.9965999999999999</v>
      </c>
      <c r="AK17" s="23"/>
      <c r="AL17" s="24" t="s">
        <v>527</v>
      </c>
      <c r="AM17" s="24">
        <v>210</v>
      </c>
      <c r="AN17" s="24">
        <v>0</v>
      </c>
      <c r="AO17" s="24">
        <f>IF(ISBLANK(AM17),"",IF(AM17=92,IF(T17="Censure haute",120,""),IF(AB17="Censure haute",120,"")))</f>
        <v>120</v>
      </c>
    </row>
    <row r="18" spans="1:41" x14ac:dyDescent="0.3">
      <c r="A18" s="24" t="s">
        <v>64</v>
      </c>
      <c r="B18" s="24" t="s">
        <v>516</v>
      </c>
      <c r="C18" s="30" t="s">
        <v>518</v>
      </c>
      <c r="D18" s="26">
        <v>19.3</v>
      </c>
      <c r="E18" s="24" t="s">
        <v>521</v>
      </c>
      <c r="F18" s="27" t="s">
        <v>524</v>
      </c>
      <c r="G18" s="28"/>
      <c r="H18" s="28"/>
      <c r="I18" s="24">
        <v>12</v>
      </c>
      <c r="J18" s="24" t="s">
        <v>33</v>
      </c>
      <c r="K18" s="24" t="s">
        <v>526</v>
      </c>
      <c r="L18" s="24" t="str">
        <f t="shared" si="0"/>
        <v>Normal</v>
      </c>
      <c r="M18" s="23">
        <v>0.43070000000000003</v>
      </c>
      <c r="N18" s="23">
        <f t="shared" si="1"/>
        <v>0.43070000000000003</v>
      </c>
      <c r="O18" s="24" t="s">
        <v>526</v>
      </c>
      <c r="P18" s="23">
        <v>6.4000000000000001E-2</v>
      </c>
      <c r="Q18" s="29">
        <v>0.43969999999999998</v>
      </c>
      <c r="R18" s="29">
        <v>0.4511</v>
      </c>
      <c r="S18" s="24" t="s">
        <v>526</v>
      </c>
      <c r="T18" s="24" t="str">
        <f t="shared" si="2"/>
        <v>Censure haute</v>
      </c>
      <c r="U18" s="24" t="s">
        <v>35</v>
      </c>
      <c r="V18" s="24" t="str">
        <f t="shared" si="3"/>
        <v/>
      </c>
      <c r="W18" s="24" t="s">
        <v>527</v>
      </c>
      <c r="X18" s="23">
        <v>0.128</v>
      </c>
      <c r="Y18" s="23">
        <v>0.34660000000000002</v>
      </c>
      <c r="Z18" s="23"/>
      <c r="AA18" s="24" t="s">
        <v>526</v>
      </c>
      <c r="AB18" s="24" t="str">
        <f t="shared" si="4"/>
        <v>Censure haute</v>
      </c>
      <c r="AC18" s="23" t="s">
        <v>35</v>
      </c>
      <c r="AD18" s="23" t="s">
        <v>561</v>
      </c>
      <c r="AE18" s="23" t="str">
        <f t="shared" si="5"/>
        <v/>
      </c>
      <c r="AF18" s="23"/>
      <c r="AG18" s="23" t="str">
        <f t="shared" si="6"/>
        <v/>
      </c>
      <c r="AH18" s="24" t="s">
        <v>527</v>
      </c>
      <c r="AI18" s="23">
        <v>0.14599999999999999</v>
      </c>
      <c r="AJ18" s="23">
        <v>4.1619000000000002</v>
      </c>
      <c r="AK18" s="23"/>
      <c r="AL18" s="24" t="s">
        <v>527</v>
      </c>
      <c r="AM18" s="24">
        <v>210</v>
      </c>
      <c r="AN18" s="24">
        <v>0</v>
      </c>
      <c r="AO18" s="24">
        <f>IF(ISBLANK(AM18),"",IF(AM18=92,IF(T18="Censure haute",120,""),IF(AB18="Censure haute",120,"")))</f>
        <v>120</v>
      </c>
    </row>
    <row r="19" spans="1:41" x14ac:dyDescent="0.3">
      <c r="A19" s="24" t="s">
        <v>66</v>
      </c>
      <c r="B19" s="24" t="s">
        <v>516</v>
      </c>
      <c r="C19" s="25"/>
      <c r="D19" s="26">
        <v>21.2</v>
      </c>
      <c r="E19" s="24" t="s">
        <v>521</v>
      </c>
      <c r="F19" s="27" t="s">
        <v>524</v>
      </c>
      <c r="G19" s="28"/>
      <c r="H19" s="28"/>
      <c r="I19" s="24">
        <v>12</v>
      </c>
      <c r="J19" s="24" t="s">
        <v>33</v>
      </c>
      <c r="K19" s="24" t="s">
        <v>526</v>
      </c>
      <c r="L19" s="24" t="str">
        <f t="shared" si="0"/>
        <v>Normal</v>
      </c>
      <c r="M19" s="23">
        <v>1.0447</v>
      </c>
      <c r="N19" s="23">
        <f t="shared" si="1"/>
        <v>1.0447</v>
      </c>
      <c r="O19" s="24" t="s">
        <v>526</v>
      </c>
      <c r="P19" s="23">
        <v>6.5000000000000002E-2</v>
      </c>
      <c r="Q19" s="29">
        <v>2.6629</v>
      </c>
      <c r="R19" s="29"/>
      <c r="S19" s="24" t="s">
        <v>527</v>
      </c>
      <c r="T19" s="24" t="str">
        <f t="shared" si="2"/>
        <v>Censure haute</v>
      </c>
      <c r="U19" s="24" t="s">
        <v>35</v>
      </c>
      <c r="V19" s="24" t="str">
        <f t="shared" si="3"/>
        <v/>
      </c>
      <c r="W19" s="24" t="s">
        <v>527</v>
      </c>
      <c r="X19" s="23">
        <v>0.26</v>
      </c>
      <c r="Y19" s="23">
        <v>5.6681999999999997</v>
      </c>
      <c r="Z19" s="23"/>
      <c r="AA19" s="24" t="s">
        <v>527</v>
      </c>
      <c r="AB19" s="24" t="str">
        <f t="shared" si="4"/>
        <v>Censure haute</v>
      </c>
      <c r="AC19" s="24" t="s">
        <v>35</v>
      </c>
      <c r="AD19" s="23" t="s">
        <v>561</v>
      </c>
      <c r="AE19" s="23" t="str">
        <f t="shared" si="5"/>
        <v/>
      </c>
      <c r="AF19" s="24"/>
      <c r="AG19" s="23" t="str">
        <f t="shared" si="6"/>
        <v/>
      </c>
      <c r="AH19" s="24" t="s">
        <v>527</v>
      </c>
      <c r="AI19" s="23">
        <v>0.19600000000000001</v>
      </c>
      <c r="AJ19" s="23">
        <v>3.5558000000000001</v>
      </c>
      <c r="AK19" s="23"/>
      <c r="AL19" s="24" t="s">
        <v>527</v>
      </c>
      <c r="AM19" s="24">
        <v>210</v>
      </c>
      <c r="AN19" s="24">
        <v>0</v>
      </c>
      <c r="AO19" s="24">
        <f>IF(ISBLANK(AM19),"",IF(AM19=92,IF(T19="Censure haute",120,""),IF(AB19="Censure haute",120,"")))</f>
        <v>120</v>
      </c>
    </row>
    <row r="20" spans="1:41" x14ac:dyDescent="0.3">
      <c r="A20" s="24" t="s">
        <v>67</v>
      </c>
      <c r="B20" s="24" t="s">
        <v>517</v>
      </c>
      <c r="C20" s="25"/>
      <c r="D20" s="26">
        <v>21.9</v>
      </c>
      <c r="E20" s="24" t="s">
        <v>520</v>
      </c>
      <c r="F20" s="27" t="s">
        <v>524</v>
      </c>
      <c r="G20" s="28"/>
      <c r="H20" s="28"/>
      <c r="I20" s="24">
        <v>12</v>
      </c>
      <c r="J20" s="24" t="s">
        <v>33</v>
      </c>
      <c r="K20" s="24" t="s">
        <v>526</v>
      </c>
      <c r="L20" s="24" t="str">
        <f t="shared" si="0"/>
        <v>Normal</v>
      </c>
      <c r="M20" s="23">
        <v>0.87019999999999997</v>
      </c>
      <c r="N20" s="23">
        <f t="shared" si="1"/>
        <v>0.87019999999999997</v>
      </c>
      <c r="O20" s="24" t="s">
        <v>526</v>
      </c>
      <c r="P20" s="23">
        <v>6.5000000000000002E-2</v>
      </c>
      <c r="Q20" s="29">
        <v>6.9900000000000004E-2</v>
      </c>
      <c r="R20" s="29"/>
      <c r="S20" s="24" t="s">
        <v>526</v>
      </c>
      <c r="T20" s="24" t="str">
        <f t="shared" si="2"/>
        <v>Normal</v>
      </c>
      <c r="U20" s="24">
        <v>17.030799999999999</v>
      </c>
      <c r="V20" s="24">
        <f t="shared" si="3"/>
        <v>17.030799999999999</v>
      </c>
      <c r="W20" s="24" t="s">
        <v>527</v>
      </c>
      <c r="X20" s="23">
        <v>0.60599999999999998</v>
      </c>
      <c r="Y20" s="23">
        <v>0.99580000000000002</v>
      </c>
      <c r="Z20" s="23"/>
      <c r="AA20" s="24" t="s">
        <v>526</v>
      </c>
      <c r="AB20" s="24" t="str">
        <f t="shared" si="4"/>
        <v>Non testé</v>
      </c>
      <c r="AC20" s="23" t="s">
        <v>44</v>
      </c>
      <c r="AD20" s="23" t="s">
        <v>561</v>
      </c>
      <c r="AE20" s="23" t="str">
        <f t="shared" si="5"/>
        <v/>
      </c>
      <c r="AF20" s="23"/>
      <c r="AG20" s="23" t="str">
        <f t="shared" si="6"/>
        <v/>
      </c>
      <c r="AH20" s="24" t="s">
        <v>502</v>
      </c>
      <c r="AI20" s="23">
        <v>0.50600000000000001</v>
      </c>
      <c r="AJ20" s="23">
        <v>0.52400000000000002</v>
      </c>
      <c r="AK20" s="23"/>
      <c r="AL20" s="24" t="s">
        <v>526</v>
      </c>
      <c r="AM20" s="24">
        <v>92</v>
      </c>
      <c r="AN20" s="24">
        <v>1</v>
      </c>
      <c r="AO20" s="24" t="str">
        <f>IF(ISBLANK(AM20),"",IF(AM20=92,IF(T20="Censure haute",120,""),IF(AB20="Censure haute",120,"")))</f>
        <v/>
      </c>
    </row>
    <row r="21" spans="1:41" x14ac:dyDescent="0.3">
      <c r="A21" s="24" t="s">
        <v>68</v>
      </c>
      <c r="B21" s="24" t="s">
        <v>516</v>
      </c>
      <c r="C21" s="30" t="s">
        <v>518</v>
      </c>
      <c r="D21" s="26">
        <v>25.9</v>
      </c>
      <c r="E21" s="24" t="s">
        <v>520</v>
      </c>
      <c r="F21" s="27" t="s">
        <v>524</v>
      </c>
      <c r="G21" s="28"/>
      <c r="H21" s="28"/>
      <c r="I21" s="24">
        <v>15</v>
      </c>
      <c r="J21" s="24" t="s">
        <v>43</v>
      </c>
      <c r="K21" s="24" t="s">
        <v>527</v>
      </c>
      <c r="L21" s="24" t="str">
        <f t="shared" si="0"/>
        <v>Normal</v>
      </c>
      <c r="M21" s="23">
        <v>0.51819999999999999</v>
      </c>
      <c r="N21" s="23">
        <f t="shared" si="1"/>
        <v>0.51819999999999999</v>
      </c>
      <c r="O21" s="24" t="s">
        <v>526</v>
      </c>
      <c r="P21" s="23">
        <v>6.5000000000000002E-2</v>
      </c>
      <c r="Q21" s="29">
        <v>0.25929999999999997</v>
      </c>
      <c r="R21" s="29"/>
      <c r="S21" s="24" t="s">
        <v>526</v>
      </c>
      <c r="T21" s="24" t="str">
        <f t="shared" si="2"/>
        <v>Censure haute</v>
      </c>
      <c r="U21" s="24" t="s">
        <v>35</v>
      </c>
      <c r="V21" s="24" t="str">
        <f t="shared" si="3"/>
        <v/>
      </c>
      <c r="W21" s="24" t="s">
        <v>527</v>
      </c>
      <c r="X21" s="23">
        <v>0.38400000000000001</v>
      </c>
      <c r="Y21" s="23">
        <v>0.1082</v>
      </c>
      <c r="Z21" s="23"/>
      <c r="AA21" s="24" t="s">
        <v>526</v>
      </c>
      <c r="AB21" s="24" t="str">
        <f t="shared" si="4"/>
        <v>Non testé</v>
      </c>
      <c r="AC21" s="23" t="s">
        <v>44</v>
      </c>
      <c r="AD21" s="23" t="s">
        <v>561</v>
      </c>
      <c r="AE21" s="23" t="str">
        <f t="shared" si="5"/>
        <v/>
      </c>
      <c r="AF21" s="23"/>
      <c r="AG21" s="23" t="str">
        <f t="shared" si="6"/>
        <v/>
      </c>
      <c r="AH21" s="24" t="s">
        <v>502</v>
      </c>
      <c r="AI21" s="23">
        <v>1.256</v>
      </c>
      <c r="AJ21" s="23">
        <v>3.0861000000000001</v>
      </c>
      <c r="AK21" s="23"/>
      <c r="AL21" s="24" t="s">
        <v>527</v>
      </c>
      <c r="AM21" s="24">
        <v>210</v>
      </c>
      <c r="AN21" s="24">
        <v>0</v>
      </c>
      <c r="AO21" s="24" t="str">
        <f>IF(ISBLANK(AM21),"",IF(AM21=92,IF(T21="Censure haute",120,""),IF(AB21="Censure haute",120,"")))</f>
        <v/>
      </c>
    </row>
    <row r="22" spans="1:41" x14ac:dyDescent="0.3">
      <c r="A22" s="24" t="s">
        <v>69</v>
      </c>
      <c r="B22" s="24" t="s">
        <v>516</v>
      </c>
      <c r="C22" s="30"/>
      <c r="D22" s="26">
        <v>17.100000000000001</v>
      </c>
      <c r="E22" s="24" t="s">
        <v>521</v>
      </c>
      <c r="F22" s="27" t="s">
        <v>524</v>
      </c>
      <c r="G22" s="28"/>
      <c r="H22" s="28"/>
      <c r="I22" s="24">
        <v>14</v>
      </c>
      <c r="J22" s="24" t="s">
        <v>43</v>
      </c>
      <c r="K22" s="24" t="s">
        <v>526</v>
      </c>
      <c r="L22" s="24" t="str">
        <f t="shared" si="0"/>
        <v>Normal</v>
      </c>
      <c r="M22" s="23">
        <v>0.60580000000000001</v>
      </c>
      <c r="N22" s="23">
        <f t="shared" si="1"/>
        <v>0.60580000000000001</v>
      </c>
      <c r="O22" s="24" t="s">
        <v>526</v>
      </c>
      <c r="P22" s="23">
        <v>6.7000000000000004E-2</v>
      </c>
      <c r="Q22" s="29">
        <v>0.39779999999999999</v>
      </c>
      <c r="R22" s="29"/>
      <c r="S22" s="24" t="s">
        <v>526</v>
      </c>
      <c r="T22" s="24" t="str">
        <f t="shared" si="2"/>
        <v>Censure haute</v>
      </c>
      <c r="U22" s="24" t="s">
        <v>35</v>
      </c>
      <c r="V22" s="24" t="str">
        <f t="shared" si="3"/>
        <v/>
      </c>
      <c r="W22" s="24" t="s">
        <v>527</v>
      </c>
      <c r="X22" s="23">
        <v>0.40300000000000002</v>
      </c>
      <c r="Y22" s="23">
        <v>8.6099999999999996E-2</v>
      </c>
      <c r="Z22" s="23"/>
      <c r="AA22" s="24" t="s">
        <v>526</v>
      </c>
      <c r="AB22" s="24" t="str">
        <f t="shared" si="4"/>
        <v>Non testé</v>
      </c>
      <c r="AC22" s="23" t="s">
        <v>44</v>
      </c>
      <c r="AD22" s="23" t="s">
        <v>561</v>
      </c>
      <c r="AE22" s="23" t="str">
        <f t="shared" si="5"/>
        <v/>
      </c>
      <c r="AF22" s="23"/>
      <c r="AG22" s="23" t="str">
        <f t="shared" si="6"/>
        <v/>
      </c>
      <c r="AH22" s="24" t="s">
        <v>502</v>
      </c>
      <c r="AI22" s="23">
        <v>0.47899999999999998</v>
      </c>
      <c r="AJ22" s="23">
        <v>1.9323999999999999</v>
      </c>
      <c r="AK22" s="23"/>
      <c r="AL22" s="24" t="s">
        <v>527</v>
      </c>
      <c r="AM22" s="24">
        <v>210</v>
      </c>
      <c r="AN22" s="24">
        <v>0</v>
      </c>
      <c r="AO22" s="24" t="str">
        <f>IF(ISBLANK(AM22),"",IF(AM22=92,IF(T22="Censure haute",120,""),IF(AB22="Censure haute",120,"")))</f>
        <v/>
      </c>
    </row>
    <row r="23" spans="1:41" x14ac:dyDescent="0.3">
      <c r="A23" s="24" t="s">
        <v>70</v>
      </c>
      <c r="B23" s="24" t="s">
        <v>516</v>
      </c>
      <c r="C23" s="30" t="s">
        <v>518</v>
      </c>
      <c r="D23" s="26">
        <v>34.200000000000003</v>
      </c>
      <c r="E23" s="24" t="s">
        <v>522</v>
      </c>
      <c r="F23" s="27" t="s">
        <v>524</v>
      </c>
      <c r="G23" s="28"/>
      <c r="H23" s="28"/>
      <c r="I23" s="24">
        <v>11</v>
      </c>
      <c r="J23" s="24" t="s">
        <v>33</v>
      </c>
      <c r="K23" s="24" t="s">
        <v>526</v>
      </c>
      <c r="L23" s="24" t="str">
        <f t="shared" si="0"/>
        <v>Normal</v>
      </c>
      <c r="M23" s="23">
        <v>1.0216000000000001</v>
      </c>
      <c r="N23" s="23">
        <f t="shared" si="1"/>
        <v>1.0216000000000001</v>
      </c>
      <c r="O23" s="24" t="s">
        <v>526</v>
      </c>
      <c r="P23" s="23">
        <v>7.1999999999999995E-2</v>
      </c>
      <c r="Q23" s="23">
        <v>0.1416</v>
      </c>
      <c r="R23" s="23"/>
      <c r="S23" s="23" t="s">
        <v>526</v>
      </c>
      <c r="T23" s="24" t="str">
        <f t="shared" si="2"/>
        <v>Echec technique</v>
      </c>
      <c r="U23" s="24" t="s">
        <v>44</v>
      </c>
      <c r="V23" s="24" t="str">
        <f t="shared" si="3"/>
        <v/>
      </c>
      <c r="W23" s="24" t="s">
        <v>502</v>
      </c>
      <c r="X23" s="23">
        <v>0.745</v>
      </c>
      <c r="Y23" s="23">
        <v>1.7825</v>
      </c>
      <c r="Z23" s="23"/>
      <c r="AA23" s="24" t="s">
        <v>527</v>
      </c>
      <c r="AB23" s="24" t="str">
        <f t="shared" si="4"/>
        <v>Non testé</v>
      </c>
      <c r="AC23" s="24" t="s">
        <v>44</v>
      </c>
      <c r="AD23" s="23" t="s">
        <v>561</v>
      </c>
      <c r="AE23" s="23" t="str">
        <f t="shared" si="5"/>
        <v/>
      </c>
      <c r="AF23" s="24"/>
      <c r="AG23" s="23" t="str">
        <f t="shared" si="6"/>
        <v/>
      </c>
      <c r="AH23" s="24" t="s">
        <v>502</v>
      </c>
      <c r="AI23" s="23">
        <v>2.6779999999999999</v>
      </c>
      <c r="AJ23" s="23">
        <v>6.2190000000000003</v>
      </c>
      <c r="AK23" s="23"/>
      <c r="AL23" s="24" t="s">
        <v>527</v>
      </c>
      <c r="AM23" s="24">
        <v>210</v>
      </c>
      <c r="AN23" s="24">
        <v>0</v>
      </c>
      <c r="AO23" s="24" t="str">
        <f>IF(ISBLANK(AM23),"",IF(AM23=92,IF(T23="Censure haute",120,""),IF(AB23="Censure haute",120,"")))</f>
        <v/>
      </c>
    </row>
    <row r="24" spans="1:41" x14ac:dyDescent="0.3">
      <c r="A24" s="24" t="s">
        <v>71</v>
      </c>
      <c r="B24" s="24" t="s">
        <v>516</v>
      </c>
      <c r="C24" s="25" t="s">
        <v>518</v>
      </c>
      <c r="D24" s="26">
        <v>22.3</v>
      </c>
      <c r="E24" s="24" t="s">
        <v>520</v>
      </c>
      <c r="F24" s="27" t="s">
        <v>524</v>
      </c>
      <c r="G24" s="28"/>
      <c r="H24" s="28"/>
      <c r="I24" s="24">
        <v>12</v>
      </c>
      <c r="J24" s="24" t="s">
        <v>33</v>
      </c>
      <c r="K24" s="24" t="s">
        <v>526</v>
      </c>
      <c r="L24" s="24" t="str">
        <f t="shared" si="0"/>
        <v>Normal</v>
      </c>
      <c r="M24" s="23">
        <v>0.90890000000000004</v>
      </c>
      <c r="N24" s="23">
        <f t="shared" si="1"/>
        <v>0.90890000000000004</v>
      </c>
      <c r="O24" s="24" t="s">
        <v>526</v>
      </c>
      <c r="P24" s="23">
        <v>7.2999999999999995E-2</v>
      </c>
      <c r="Q24" s="29">
        <v>1.6025</v>
      </c>
      <c r="R24" s="29"/>
      <c r="S24" s="24" t="s">
        <v>527</v>
      </c>
      <c r="T24" s="24" t="str">
        <f t="shared" si="2"/>
        <v>Censure haute</v>
      </c>
      <c r="U24" s="24" t="s">
        <v>35</v>
      </c>
      <c r="V24" s="24" t="str">
        <f t="shared" si="3"/>
        <v/>
      </c>
      <c r="W24" s="24" t="s">
        <v>527</v>
      </c>
      <c r="X24" s="23">
        <v>5.0999999999999997E-2</v>
      </c>
      <c r="Y24" s="23">
        <v>0.61380000000000001</v>
      </c>
      <c r="Z24" s="23"/>
      <c r="AA24" s="24" t="s">
        <v>526</v>
      </c>
      <c r="AB24" s="24" t="str">
        <f t="shared" si="4"/>
        <v>Censure haute</v>
      </c>
      <c r="AC24" s="23" t="s">
        <v>35</v>
      </c>
      <c r="AD24" s="23" t="s">
        <v>561</v>
      </c>
      <c r="AE24" s="23" t="str">
        <f t="shared" si="5"/>
        <v/>
      </c>
      <c r="AF24" s="23"/>
      <c r="AG24" s="23" t="str">
        <f t="shared" si="6"/>
        <v/>
      </c>
      <c r="AH24" s="24" t="s">
        <v>527</v>
      </c>
      <c r="AI24" s="23">
        <v>7.2999999999999995E-2</v>
      </c>
      <c r="AJ24" s="23">
        <v>0.25</v>
      </c>
      <c r="AK24" s="23"/>
      <c r="AL24" s="24" t="s">
        <v>526</v>
      </c>
      <c r="AM24" s="24">
        <v>210</v>
      </c>
      <c r="AN24" s="24">
        <v>0</v>
      </c>
      <c r="AO24" s="24">
        <f>IF(ISBLANK(AM24),"",IF(AM24=92,IF(T24="Censure haute",120,""),IF(AB24="Censure haute",120,"")))</f>
        <v>120</v>
      </c>
    </row>
    <row r="25" spans="1:41" x14ac:dyDescent="0.3">
      <c r="A25" s="24" t="s">
        <v>72</v>
      </c>
      <c r="B25" s="24" t="s">
        <v>517</v>
      </c>
      <c r="C25" s="25" t="s">
        <v>518</v>
      </c>
      <c r="D25" s="26">
        <v>28.6</v>
      </c>
      <c r="E25" s="24" t="s">
        <v>522</v>
      </c>
      <c r="F25" s="27" t="s">
        <v>524</v>
      </c>
      <c r="G25" s="28"/>
      <c r="H25" s="28"/>
      <c r="I25" s="24">
        <v>15</v>
      </c>
      <c r="J25" s="24" t="s">
        <v>43</v>
      </c>
      <c r="K25" s="24" t="s">
        <v>526</v>
      </c>
      <c r="L25" s="24" t="str">
        <f t="shared" si="0"/>
        <v>Normal</v>
      </c>
      <c r="M25" s="23">
        <v>1.1533</v>
      </c>
      <c r="N25" s="23">
        <f t="shared" si="1"/>
        <v>1.1533</v>
      </c>
      <c r="O25" s="24" t="s">
        <v>526</v>
      </c>
      <c r="P25" s="23">
        <v>7.3999999999999996E-2</v>
      </c>
      <c r="Q25" s="29">
        <v>0.45710000000000001</v>
      </c>
      <c r="R25" s="29"/>
      <c r="S25" s="24" t="s">
        <v>526</v>
      </c>
      <c r="T25" s="24" t="str">
        <f t="shared" si="2"/>
        <v>Echec technique</v>
      </c>
      <c r="U25" s="24" t="s">
        <v>44</v>
      </c>
      <c r="V25" s="24" t="str">
        <f t="shared" si="3"/>
        <v/>
      </c>
      <c r="W25" s="24" t="s">
        <v>502</v>
      </c>
      <c r="X25" s="23">
        <v>7.6999999999999999E-2</v>
      </c>
      <c r="Y25" s="23">
        <v>1.4790000000000001</v>
      </c>
      <c r="Z25" s="23"/>
      <c r="AA25" s="24" t="s">
        <v>527</v>
      </c>
      <c r="AB25" s="24" t="str">
        <f t="shared" si="4"/>
        <v>Non testé</v>
      </c>
      <c r="AC25" s="23" t="s">
        <v>44</v>
      </c>
      <c r="AD25" s="23" t="s">
        <v>561</v>
      </c>
      <c r="AE25" s="23" t="str">
        <f t="shared" si="5"/>
        <v/>
      </c>
      <c r="AF25" s="23"/>
      <c r="AG25" s="23" t="str">
        <f t="shared" si="6"/>
        <v/>
      </c>
      <c r="AH25" s="24" t="s">
        <v>502</v>
      </c>
      <c r="AI25" s="23">
        <v>1.246</v>
      </c>
      <c r="AJ25" s="23">
        <v>1.2029000000000001</v>
      </c>
      <c r="AK25" s="23"/>
      <c r="AL25" s="24" t="s">
        <v>527</v>
      </c>
      <c r="AM25" s="24">
        <v>210</v>
      </c>
      <c r="AN25" s="24">
        <v>0</v>
      </c>
      <c r="AO25" s="24" t="str">
        <f>IF(ISBLANK(AM25),"",IF(AM25=92,IF(T25="Censure haute",120,""),IF(AB25="Censure haute",120,"")))</f>
        <v/>
      </c>
    </row>
    <row r="26" spans="1:41" x14ac:dyDescent="0.3">
      <c r="A26" s="24" t="s">
        <v>73</v>
      </c>
      <c r="B26" s="24" t="s">
        <v>516</v>
      </c>
      <c r="C26" s="25" t="s">
        <v>518</v>
      </c>
      <c r="D26" s="26">
        <v>17.2</v>
      </c>
      <c r="E26" s="24" t="s">
        <v>521</v>
      </c>
      <c r="F26" s="27" t="s">
        <v>524</v>
      </c>
      <c r="G26" s="28"/>
      <c r="H26" s="28"/>
      <c r="I26" s="24">
        <v>12</v>
      </c>
      <c r="J26" s="24" t="s">
        <v>33</v>
      </c>
      <c r="K26" s="24" t="s">
        <v>526</v>
      </c>
      <c r="L26" s="24" t="str">
        <f t="shared" si="0"/>
        <v>Normal</v>
      </c>
      <c r="M26" s="23">
        <v>1.1533</v>
      </c>
      <c r="N26" s="23">
        <f t="shared" si="1"/>
        <v>1.1533</v>
      </c>
      <c r="O26" s="24" t="s">
        <v>526</v>
      </c>
      <c r="P26" s="23">
        <v>8.8999999999999996E-2</v>
      </c>
      <c r="Q26" s="29">
        <v>0.2923</v>
      </c>
      <c r="R26" s="29"/>
      <c r="S26" s="24" t="s">
        <v>526</v>
      </c>
      <c r="T26" s="24" t="str">
        <f t="shared" si="2"/>
        <v>Echec technique</v>
      </c>
      <c r="U26" s="24" t="s">
        <v>44</v>
      </c>
      <c r="V26" s="24" t="str">
        <f t="shared" si="3"/>
        <v/>
      </c>
      <c r="W26" s="24" t="s">
        <v>502</v>
      </c>
      <c r="X26" s="23">
        <v>0.68400000000000005</v>
      </c>
      <c r="Y26" s="23">
        <v>3.0044</v>
      </c>
      <c r="Z26" s="23"/>
      <c r="AA26" s="24" t="s">
        <v>527</v>
      </c>
      <c r="AB26" s="24" t="str">
        <f t="shared" si="4"/>
        <v>Non testé</v>
      </c>
      <c r="AC26" s="23" t="s">
        <v>44</v>
      </c>
      <c r="AD26" s="23" t="s">
        <v>561</v>
      </c>
      <c r="AE26" s="23" t="str">
        <f t="shared" si="5"/>
        <v/>
      </c>
      <c r="AF26" s="23"/>
      <c r="AG26" s="23" t="str">
        <f t="shared" si="6"/>
        <v/>
      </c>
      <c r="AH26" s="24" t="s">
        <v>502</v>
      </c>
      <c r="AI26" s="23">
        <v>0.36499999999999999</v>
      </c>
      <c r="AJ26" s="23">
        <v>1.3504</v>
      </c>
      <c r="AK26" s="23"/>
      <c r="AL26" s="24" t="s">
        <v>527</v>
      </c>
      <c r="AM26" s="24">
        <v>210</v>
      </c>
      <c r="AN26" s="24">
        <v>0</v>
      </c>
      <c r="AO26" s="24" t="str">
        <f>IF(ISBLANK(AM26),"",IF(AM26=92,IF(T26="Censure haute",120,""),IF(AB26="Censure haute",120,"")))</f>
        <v/>
      </c>
    </row>
    <row r="27" spans="1:41" x14ac:dyDescent="0.3">
      <c r="A27" s="24" t="s">
        <v>74</v>
      </c>
      <c r="B27" s="24" t="s">
        <v>516</v>
      </c>
      <c r="C27" s="30" t="s">
        <v>518</v>
      </c>
      <c r="D27" s="26">
        <v>27.2</v>
      </c>
      <c r="E27" s="24" t="s">
        <v>520</v>
      </c>
      <c r="F27" s="27" t="s">
        <v>524</v>
      </c>
      <c r="G27" s="28"/>
      <c r="H27" s="28"/>
      <c r="I27" s="24">
        <v>15</v>
      </c>
      <c r="J27" s="24" t="s">
        <v>43</v>
      </c>
      <c r="K27" s="24" t="s">
        <v>527</v>
      </c>
      <c r="L27" s="24" t="str">
        <f t="shared" si="0"/>
        <v>Normal</v>
      </c>
      <c r="M27" s="23">
        <v>1.3894</v>
      </c>
      <c r="N27" s="23">
        <f t="shared" si="1"/>
        <v>1.3894</v>
      </c>
      <c r="O27" s="24" t="s">
        <v>526</v>
      </c>
      <c r="P27" s="23">
        <v>8.8999999999999996E-2</v>
      </c>
      <c r="Q27" s="29">
        <v>5.8599999999999999E-2</v>
      </c>
      <c r="R27" s="29"/>
      <c r="S27" s="24" t="s">
        <v>526</v>
      </c>
      <c r="T27" s="24" t="str">
        <f t="shared" si="2"/>
        <v>Censure haute</v>
      </c>
      <c r="U27" s="24" t="s">
        <v>35</v>
      </c>
      <c r="V27" s="24" t="str">
        <f t="shared" si="3"/>
        <v/>
      </c>
      <c r="W27" s="24" t="s">
        <v>527</v>
      </c>
      <c r="X27" s="23">
        <v>3.5</v>
      </c>
      <c r="Y27" s="23">
        <v>5.0045000000000002</v>
      </c>
      <c r="Z27" s="23"/>
      <c r="AA27" s="24" t="s">
        <v>527</v>
      </c>
      <c r="AB27" s="24" t="str">
        <f t="shared" si="4"/>
        <v>Normal</v>
      </c>
      <c r="AC27" s="23">
        <v>600531</v>
      </c>
      <c r="AD27" s="23">
        <v>60.053100000000001</v>
      </c>
      <c r="AE27" s="23" t="str">
        <f t="shared" si="5"/>
        <v/>
      </c>
      <c r="AF27" s="23"/>
      <c r="AG27" s="23" t="str">
        <f t="shared" si="6"/>
        <v/>
      </c>
      <c r="AH27" s="24" t="s">
        <v>527</v>
      </c>
      <c r="AI27" s="23">
        <v>2.8130000000000002</v>
      </c>
      <c r="AJ27" s="23">
        <v>1.8802000000000001</v>
      </c>
      <c r="AK27" s="23"/>
      <c r="AL27" s="24" t="s">
        <v>527</v>
      </c>
      <c r="AM27" s="24"/>
      <c r="AN27" s="24"/>
      <c r="AO27" s="24" t="str">
        <f>IF(ISBLANK(AM27),"",IF(AM27=92,IF(T27="Censure haute",120,""),IF(AB27="Censure haute",120,"")))</f>
        <v/>
      </c>
    </row>
    <row r="28" spans="1:41" x14ac:dyDescent="0.3">
      <c r="A28" s="24" t="s">
        <v>75</v>
      </c>
      <c r="B28" s="24" t="s">
        <v>517</v>
      </c>
      <c r="C28" s="25"/>
      <c r="D28" s="26">
        <v>16.399999999999999</v>
      </c>
      <c r="E28" s="24" t="s">
        <v>521</v>
      </c>
      <c r="F28" s="27" t="s">
        <v>524</v>
      </c>
      <c r="G28" s="28"/>
      <c r="H28" s="28"/>
      <c r="I28" s="24">
        <v>12</v>
      </c>
      <c r="J28" s="24" t="s">
        <v>33</v>
      </c>
      <c r="K28" s="24" t="s">
        <v>527</v>
      </c>
      <c r="L28" s="24" t="str">
        <f t="shared" si="0"/>
        <v>Normal</v>
      </c>
      <c r="M28" s="23">
        <v>1.8263</v>
      </c>
      <c r="N28" s="23">
        <f t="shared" si="1"/>
        <v>1.8263</v>
      </c>
      <c r="O28" s="24" t="s">
        <v>526</v>
      </c>
      <c r="P28" s="23">
        <v>0.1</v>
      </c>
      <c r="Q28" s="29">
        <v>3.0590000000000002</v>
      </c>
      <c r="R28" s="29"/>
      <c r="S28" s="24" t="s">
        <v>527</v>
      </c>
      <c r="T28" s="24" t="str">
        <f t="shared" si="2"/>
        <v>Normal</v>
      </c>
      <c r="U28" s="24">
        <v>45.420099999999998</v>
      </c>
      <c r="V28" s="24">
        <f t="shared" si="3"/>
        <v>45.420099999999998</v>
      </c>
      <c r="W28" s="24" t="s">
        <v>527</v>
      </c>
      <c r="X28" s="23">
        <v>0.20699999999999999</v>
      </c>
      <c r="Y28" s="23">
        <v>1.6463000000000001</v>
      </c>
      <c r="Z28" s="23"/>
      <c r="AA28" s="24" t="s">
        <v>527</v>
      </c>
      <c r="AB28" s="24" t="str">
        <f t="shared" si="4"/>
        <v>Normal</v>
      </c>
      <c r="AC28" s="23">
        <v>979592</v>
      </c>
      <c r="AD28" s="23">
        <v>97.959199999999996</v>
      </c>
      <c r="AE28" s="23" t="str">
        <f t="shared" si="5"/>
        <v/>
      </c>
      <c r="AF28" s="23"/>
      <c r="AG28" s="23" t="str">
        <f t="shared" si="6"/>
        <v/>
      </c>
      <c r="AH28" s="24" t="s">
        <v>527</v>
      </c>
      <c r="AI28" s="23">
        <v>0.218</v>
      </c>
      <c r="AJ28" s="23">
        <v>5.7515999999999998</v>
      </c>
      <c r="AK28" s="23"/>
      <c r="AL28" s="24" t="s">
        <v>527</v>
      </c>
      <c r="AM28" s="24"/>
      <c r="AN28" s="24"/>
      <c r="AO28" s="24" t="str">
        <f>IF(ISBLANK(AM28),"",IF(AM28=92,IF(T28="Censure haute",120,""),IF(AB28="Censure haute",120,"")))</f>
        <v/>
      </c>
    </row>
    <row r="29" spans="1:41" x14ac:dyDescent="0.3">
      <c r="A29" s="24" t="s">
        <v>76</v>
      </c>
      <c r="B29" s="24" t="s">
        <v>517</v>
      </c>
      <c r="C29" s="25" t="s">
        <v>518</v>
      </c>
      <c r="D29" s="26">
        <v>16.8</v>
      </c>
      <c r="E29" s="24" t="s">
        <v>521</v>
      </c>
      <c r="F29" s="27" t="s">
        <v>524</v>
      </c>
      <c r="G29" s="28"/>
      <c r="H29" s="28"/>
      <c r="I29" s="24">
        <v>12</v>
      </c>
      <c r="J29" s="24" t="s">
        <v>33</v>
      </c>
      <c r="K29" s="24" t="s">
        <v>526</v>
      </c>
      <c r="L29" s="24" t="str">
        <f t="shared" si="0"/>
        <v>Normal</v>
      </c>
      <c r="M29" s="23">
        <v>1.1752</v>
      </c>
      <c r="N29" s="23">
        <f t="shared" si="1"/>
        <v>1.1752</v>
      </c>
      <c r="O29" s="24" t="s">
        <v>526</v>
      </c>
      <c r="P29" s="23">
        <v>0.10100000000000001</v>
      </c>
      <c r="Q29" s="29">
        <v>0.9143</v>
      </c>
      <c r="R29" s="29"/>
      <c r="S29" s="24" t="s">
        <v>526</v>
      </c>
      <c r="T29" s="24" t="str">
        <f t="shared" si="2"/>
        <v>Echec technique</v>
      </c>
      <c r="U29" s="24" t="s">
        <v>44</v>
      </c>
      <c r="V29" s="24" t="str">
        <f t="shared" si="3"/>
        <v/>
      </c>
      <c r="W29" s="24" t="s">
        <v>502</v>
      </c>
      <c r="X29" s="23">
        <v>1.45</v>
      </c>
      <c r="Y29" s="23">
        <v>0.58279999999999998</v>
      </c>
      <c r="Z29" s="23"/>
      <c r="AA29" s="24" t="s">
        <v>526</v>
      </c>
      <c r="AB29" s="24" t="str">
        <f t="shared" si="4"/>
        <v>Censure haute</v>
      </c>
      <c r="AC29" s="23" t="s">
        <v>35</v>
      </c>
      <c r="AD29" s="23" t="s">
        <v>561</v>
      </c>
      <c r="AE29" s="23" t="str">
        <f t="shared" si="5"/>
        <v/>
      </c>
      <c r="AF29" s="23"/>
      <c r="AG29" s="23" t="str">
        <f t="shared" si="6"/>
        <v/>
      </c>
      <c r="AH29" s="24" t="s">
        <v>527</v>
      </c>
      <c r="AI29" s="23">
        <v>0.97199999999999998</v>
      </c>
      <c r="AJ29" s="23">
        <v>0.41599999999999998</v>
      </c>
      <c r="AK29" s="23"/>
      <c r="AL29" s="24" t="s">
        <v>526</v>
      </c>
      <c r="AM29" s="24">
        <v>210</v>
      </c>
      <c r="AN29" s="24">
        <v>0</v>
      </c>
      <c r="AO29" s="24">
        <f>IF(ISBLANK(AM29),"",IF(AM29=92,IF(T29="Censure haute",120,""),IF(AB29="Censure haute",120,"")))</f>
        <v>120</v>
      </c>
    </row>
    <row r="30" spans="1:41" x14ac:dyDescent="0.3">
      <c r="A30" s="24" t="s">
        <v>77</v>
      </c>
      <c r="B30" s="24" t="s">
        <v>516</v>
      </c>
      <c r="C30" s="25"/>
      <c r="D30" s="26">
        <v>19.5</v>
      </c>
      <c r="E30" s="24" t="s">
        <v>521</v>
      </c>
      <c r="F30" s="27" t="s">
        <v>524</v>
      </c>
      <c r="G30" s="28"/>
      <c r="H30" s="28"/>
      <c r="I30" s="24">
        <v>15</v>
      </c>
      <c r="J30" s="24" t="s">
        <v>43</v>
      </c>
      <c r="K30" s="24" t="s">
        <v>526</v>
      </c>
      <c r="L30" s="24" t="str">
        <f t="shared" si="0"/>
        <v>Normal</v>
      </c>
      <c r="M30" s="23">
        <v>1.5474000000000001</v>
      </c>
      <c r="N30" s="23">
        <f t="shared" si="1"/>
        <v>1.5474000000000001</v>
      </c>
      <c r="O30" s="24" t="s">
        <v>526</v>
      </c>
      <c r="P30" s="23">
        <v>0.152</v>
      </c>
      <c r="Q30" s="29">
        <v>0.34949999999999998</v>
      </c>
      <c r="R30" s="29"/>
      <c r="S30" s="24" t="s">
        <v>526</v>
      </c>
      <c r="T30" s="24" t="str">
        <f t="shared" si="2"/>
        <v>Echec technique</v>
      </c>
      <c r="U30" s="24" t="s">
        <v>44</v>
      </c>
      <c r="V30" s="24" t="str">
        <f t="shared" si="3"/>
        <v/>
      </c>
      <c r="W30" s="24" t="s">
        <v>502</v>
      </c>
      <c r="X30" s="23">
        <v>0.114</v>
      </c>
      <c r="Y30" s="23">
        <v>2.0442</v>
      </c>
      <c r="Z30" s="23"/>
      <c r="AA30" s="24" t="s">
        <v>527</v>
      </c>
      <c r="AB30" s="24" t="str">
        <f t="shared" si="4"/>
        <v>Non testé</v>
      </c>
      <c r="AC30" s="23" t="s">
        <v>44</v>
      </c>
      <c r="AD30" s="23" t="s">
        <v>561</v>
      </c>
      <c r="AE30" s="23" t="str">
        <f t="shared" si="5"/>
        <v/>
      </c>
      <c r="AF30" s="23"/>
      <c r="AG30" s="23" t="str">
        <f t="shared" si="6"/>
        <v/>
      </c>
      <c r="AH30" s="24" t="s">
        <v>502</v>
      </c>
      <c r="AI30" s="23">
        <v>0.14199999999999999</v>
      </c>
      <c r="AJ30" s="23">
        <v>5.2397999999999998</v>
      </c>
      <c r="AK30" s="23"/>
      <c r="AL30" s="24" t="s">
        <v>527</v>
      </c>
      <c r="AM30" s="24">
        <v>210</v>
      </c>
      <c r="AN30" s="24">
        <v>0</v>
      </c>
      <c r="AO30" s="24" t="str">
        <f>IF(ISBLANK(AM30),"",IF(AM30=92,IF(T30="Censure haute",120,""),IF(AB30="Censure haute",120,"")))</f>
        <v/>
      </c>
    </row>
    <row r="31" spans="1:41" x14ac:dyDescent="0.3">
      <c r="A31" s="24" t="s">
        <v>78</v>
      </c>
      <c r="B31" s="24" t="s">
        <v>516</v>
      </c>
      <c r="C31" s="25" t="s">
        <v>519</v>
      </c>
      <c r="D31" s="26">
        <v>37.700000000000003</v>
      </c>
      <c r="E31" s="24" t="s">
        <v>522</v>
      </c>
      <c r="F31" s="27" t="s">
        <v>524</v>
      </c>
      <c r="G31" s="28"/>
      <c r="H31" s="28"/>
      <c r="I31" s="24">
        <v>15</v>
      </c>
      <c r="J31" s="24" t="s">
        <v>43</v>
      </c>
      <c r="K31" s="24" t="s">
        <v>527</v>
      </c>
      <c r="L31" s="24" t="str">
        <f t="shared" si="0"/>
        <v>Normal</v>
      </c>
      <c r="M31" s="23">
        <v>3.6057999999999999</v>
      </c>
      <c r="N31" s="23">
        <f t="shared" si="1"/>
        <v>3.6057999999999999</v>
      </c>
      <c r="O31" s="24" t="s">
        <v>526</v>
      </c>
      <c r="P31" s="23">
        <v>0.2</v>
      </c>
      <c r="Q31" s="29">
        <v>0.47249999999999998</v>
      </c>
      <c r="R31" s="29"/>
      <c r="S31" s="24" t="s">
        <v>526</v>
      </c>
      <c r="T31" s="24" t="str">
        <f t="shared" si="2"/>
        <v>Censure haute</v>
      </c>
      <c r="U31" s="24" t="s">
        <v>35</v>
      </c>
      <c r="V31" s="24" t="str">
        <f t="shared" si="3"/>
        <v/>
      </c>
      <c r="W31" s="24" t="s">
        <v>527</v>
      </c>
      <c r="X31" s="23">
        <v>2.5</v>
      </c>
      <c r="Y31" s="23">
        <v>0.4194</v>
      </c>
      <c r="Z31" s="23"/>
      <c r="AA31" s="24" t="s">
        <v>526</v>
      </c>
      <c r="AB31" s="24" t="str">
        <f t="shared" si="4"/>
        <v>Non testé</v>
      </c>
      <c r="AC31" s="23" t="s">
        <v>44</v>
      </c>
      <c r="AD31" s="23" t="s">
        <v>561</v>
      </c>
      <c r="AE31" s="23" t="str">
        <f t="shared" si="5"/>
        <v/>
      </c>
      <c r="AF31" s="23"/>
      <c r="AG31" s="23" t="str">
        <f t="shared" si="6"/>
        <v/>
      </c>
      <c r="AH31" s="24" t="s">
        <v>502</v>
      </c>
      <c r="AI31" s="23">
        <v>1.843</v>
      </c>
      <c r="AJ31" s="23">
        <v>1.2684</v>
      </c>
      <c r="AK31" s="23"/>
      <c r="AL31" s="24" t="s">
        <v>527</v>
      </c>
      <c r="AM31" s="24">
        <v>210</v>
      </c>
      <c r="AN31" s="24">
        <v>0</v>
      </c>
      <c r="AO31" s="24" t="str">
        <f>IF(ISBLANK(AM31),"",IF(AM31=92,IF(T31="Censure haute",120,""),IF(AB31="Censure haute",120,"")))</f>
        <v/>
      </c>
    </row>
    <row r="32" spans="1:41" x14ac:dyDescent="0.3">
      <c r="A32" s="24" t="s">
        <v>79</v>
      </c>
      <c r="B32" s="24" t="s">
        <v>516</v>
      </c>
      <c r="C32" s="25" t="s">
        <v>519</v>
      </c>
      <c r="D32" s="26">
        <v>20.5</v>
      </c>
      <c r="E32" s="24" t="s">
        <v>521</v>
      </c>
      <c r="F32" s="27" t="s">
        <v>524</v>
      </c>
      <c r="G32" s="28"/>
      <c r="H32" s="28"/>
      <c r="I32" s="24">
        <v>12</v>
      </c>
      <c r="J32" s="24" t="s">
        <v>33</v>
      </c>
      <c r="K32" s="24" t="s">
        <v>526</v>
      </c>
      <c r="L32" s="24" t="str">
        <f t="shared" si="0"/>
        <v>Normal</v>
      </c>
      <c r="M32" s="23">
        <v>4.1935000000000002</v>
      </c>
      <c r="N32" s="23">
        <f t="shared" si="1"/>
        <v>4.1935000000000002</v>
      </c>
      <c r="O32" s="24" t="s">
        <v>526</v>
      </c>
      <c r="P32" s="23">
        <v>0.20599999999999999</v>
      </c>
      <c r="Q32" s="29">
        <v>1.3844000000000001</v>
      </c>
      <c r="R32" s="29"/>
      <c r="S32" s="24" t="s">
        <v>527</v>
      </c>
      <c r="T32" s="24" t="str">
        <f t="shared" si="2"/>
        <v>Censure haute</v>
      </c>
      <c r="U32" s="24" t="s">
        <v>35</v>
      </c>
      <c r="V32" s="24" t="str">
        <f t="shared" si="3"/>
        <v/>
      </c>
      <c r="W32" s="24" t="s">
        <v>527</v>
      </c>
      <c r="X32" s="23">
        <v>6.8000000000000005E-2</v>
      </c>
      <c r="Y32" s="23">
        <v>1.2465999999999999</v>
      </c>
      <c r="Z32" s="23"/>
      <c r="AA32" s="24" t="s">
        <v>527</v>
      </c>
      <c r="AB32" s="24" t="str">
        <f t="shared" si="4"/>
        <v>Censure haute</v>
      </c>
      <c r="AC32" s="23" t="s">
        <v>35</v>
      </c>
      <c r="AD32" s="23" t="s">
        <v>561</v>
      </c>
      <c r="AE32" s="23" t="str">
        <f t="shared" si="5"/>
        <v/>
      </c>
      <c r="AF32" s="23"/>
      <c r="AG32" s="23" t="str">
        <f t="shared" si="6"/>
        <v/>
      </c>
      <c r="AH32" s="24" t="s">
        <v>527</v>
      </c>
      <c r="AI32" s="23">
        <v>6.7000000000000004E-2</v>
      </c>
      <c r="AJ32" s="23">
        <v>5.7789000000000001</v>
      </c>
      <c r="AK32" s="23"/>
      <c r="AL32" s="24" t="s">
        <v>527</v>
      </c>
      <c r="AM32" s="24">
        <v>210</v>
      </c>
      <c r="AN32" s="24">
        <v>0</v>
      </c>
      <c r="AO32" s="24">
        <f>IF(ISBLANK(AM32),"",IF(AM32=92,IF(T32="Censure haute",120,""),IF(AB32="Censure haute",120,"")))</f>
        <v>120</v>
      </c>
    </row>
    <row r="33" spans="1:41" x14ac:dyDescent="0.3">
      <c r="A33" s="24" t="s">
        <v>80</v>
      </c>
      <c r="B33" s="24" t="s">
        <v>516</v>
      </c>
      <c r="C33" s="25" t="s">
        <v>518</v>
      </c>
      <c r="D33" s="26">
        <v>18.8</v>
      </c>
      <c r="E33" s="24" t="s">
        <v>521</v>
      </c>
      <c r="F33" s="27" t="s">
        <v>524</v>
      </c>
      <c r="G33" s="28"/>
      <c r="H33" s="28"/>
      <c r="I33" s="24">
        <v>14</v>
      </c>
      <c r="J33" s="24" t="s">
        <v>43</v>
      </c>
      <c r="K33" s="24" t="s">
        <v>526</v>
      </c>
      <c r="L33" s="24" t="str">
        <f t="shared" si="0"/>
        <v>Normal</v>
      </c>
      <c r="M33" s="23">
        <v>4.7742000000000004</v>
      </c>
      <c r="N33" s="23">
        <f t="shared" si="1"/>
        <v>4.7742000000000004</v>
      </c>
      <c r="O33" s="24" t="s">
        <v>526</v>
      </c>
      <c r="P33" s="23">
        <v>0.23200000000000001</v>
      </c>
      <c r="Q33" s="29">
        <v>1.8153999999999999</v>
      </c>
      <c r="R33" s="29"/>
      <c r="S33" s="24" t="s">
        <v>527</v>
      </c>
      <c r="T33" s="24" t="str">
        <f t="shared" si="2"/>
        <v>Normal</v>
      </c>
      <c r="U33" s="24">
        <v>48.759099999999997</v>
      </c>
      <c r="V33" s="24">
        <f t="shared" si="3"/>
        <v>48.759099999999997</v>
      </c>
      <c r="W33" s="24" t="s">
        <v>527</v>
      </c>
      <c r="X33" s="23">
        <v>3.4209999999999998</v>
      </c>
      <c r="Y33" s="23">
        <v>1.5938000000000001</v>
      </c>
      <c r="Z33" s="23"/>
      <c r="AA33" s="24" t="s">
        <v>527</v>
      </c>
      <c r="AB33" s="24" t="str">
        <f t="shared" si="4"/>
        <v>Normal</v>
      </c>
      <c r="AC33" s="23">
        <v>378616</v>
      </c>
      <c r="AD33" s="23">
        <v>37.861600000000003</v>
      </c>
      <c r="AE33" s="23" t="str">
        <f t="shared" si="5"/>
        <v/>
      </c>
      <c r="AF33" s="23"/>
      <c r="AG33" s="23" t="str">
        <f t="shared" si="6"/>
        <v/>
      </c>
      <c r="AH33" s="23" t="s">
        <v>527</v>
      </c>
      <c r="AI33" s="23">
        <v>3.3969999999999998</v>
      </c>
      <c r="AJ33" s="23">
        <v>0.82930000000000004</v>
      </c>
      <c r="AK33" s="23"/>
      <c r="AL33" s="24" t="s">
        <v>526</v>
      </c>
      <c r="AM33" s="24"/>
      <c r="AN33" s="24"/>
      <c r="AO33" s="24" t="str">
        <f>IF(ISBLANK(AM33),"",IF(AM33=92,IF(T33="Censure haute",120,""),IF(AB33="Censure haute",120,"")))</f>
        <v/>
      </c>
    </row>
    <row r="34" spans="1:41" x14ac:dyDescent="0.3">
      <c r="A34" s="24" t="s">
        <v>81</v>
      </c>
      <c r="B34" s="24" t="s">
        <v>517</v>
      </c>
      <c r="C34" s="25" t="s">
        <v>518</v>
      </c>
      <c r="D34" s="26">
        <v>18.399999999999999</v>
      </c>
      <c r="E34" s="24" t="s">
        <v>521</v>
      </c>
      <c r="F34" s="27" t="s">
        <v>524</v>
      </c>
      <c r="G34" s="28"/>
      <c r="H34" s="28"/>
      <c r="I34" s="24">
        <v>15</v>
      </c>
      <c r="J34" s="24" t="s">
        <v>43</v>
      </c>
      <c r="K34" s="24" t="s">
        <v>526</v>
      </c>
      <c r="L34" s="24" t="str">
        <f t="shared" si="0"/>
        <v>Normal</v>
      </c>
      <c r="M34" s="23">
        <v>6.0145999999999997</v>
      </c>
      <c r="N34" s="23">
        <f t="shared" si="1"/>
        <v>6.0145999999999997</v>
      </c>
      <c r="O34" s="24" t="s">
        <v>526</v>
      </c>
      <c r="P34" s="23">
        <v>0.29199999999999998</v>
      </c>
      <c r="Q34" s="29">
        <v>0.2923</v>
      </c>
      <c r="R34" s="29"/>
      <c r="S34" s="24" t="s">
        <v>526</v>
      </c>
      <c r="T34" s="24" t="str">
        <f t="shared" si="2"/>
        <v>Normal</v>
      </c>
      <c r="U34" s="24">
        <v>22.6736</v>
      </c>
      <c r="V34" s="24">
        <f t="shared" si="3"/>
        <v>22.6736</v>
      </c>
      <c r="W34" s="24" t="s">
        <v>527</v>
      </c>
      <c r="X34" s="23">
        <v>0.38200000000000001</v>
      </c>
      <c r="Y34" s="23">
        <v>2.8168000000000002</v>
      </c>
      <c r="Z34" s="23"/>
      <c r="AA34" s="24" t="s">
        <v>527</v>
      </c>
      <c r="AB34" s="24" t="str">
        <f t="shared" si="4"/>
        <v>Normal</v>
      </c>
      <c r="AC34" s="23">
        <v>140227</v>
      </c>
      <c r="AD34" s="23">
        <v>14.0227</v>
      </c>
      <c r="AE34" s="23" t="str">
        <f t="shared" si="5"/>
        <v/>
      </c>
      <c r="AF34" s="23"/>
      <c r="AG34" s="23" t="str">
        <f t="shared" si="6"/>
        <v/>
      </c>
      <c r="AH34" s="24" t="s">
        <v>527</v>
      </c>
      <c r="AI34" s="23">
        <v>1.631</v>
      </c>
      <c r="AJ34" s="23">
        <v>1.1209</v>
      </c>
      <c r="AK34" s="23"/>
      <c r="AL34" s="24" t="s">
        <v>527</v>
      </c>
      <c r="AM34" s="24"/>
      <c r="AN34" s="24"/>
      <c r="AO34" s="24" t="str">
        <f>IF(ISBLANK(AM34),"",IF(AM34=92,IF(T34="Censure haute",120,""),IF(AB34="Censure haute",120,"")))</f>
        <v/>
      </c>
    </row>
    <row r="35" spans="1:41" x14ac:dyDescent="0.3">
      <c r="A35" s="24" t="s">
        <v>82</v>
      </c>
      <c r="B35" s="24" t="s">
        <v>516</v>
      </c>
      <c r="C35" s="25" t="s">
        <v>518</v>
      </c>
      <c r="D35" s="26">
        <v>17.2</v>
      </c>
      <c r="E35" s="24" t="s">
        <v>521</v>
      </c>
      <c r="F35" s="27" t="s">
        <v>524</v>
      </c>
      <c r="G35" s="28"/>
      <c r="H35" s="28"/>
      <c r="I35" s="24">
        <v>12</v>
      </c>
      <c r="J35" s="24" t="s">
        <v>33</v>
      </c>
      <c r="K35" s="24" t="s">
        <v>526</v>
      </c>
      <c r="L35" s="24" t="str">
        <f t="shared" si="0"/>
        <v>Normal</v>
      </c>
      <c r="M35" s="23">
        <v>7.0608000000000004</v>
      </c>
      <c r="N35" s="23">
        <f t="shared" si="1"/>
        <v>7.0608000000000004</v>
      </c>
      <c r="O35" s="24" t="s">
        <v>526</v>
      </c>
      <c r="P35" s="23">
        <v>0.34300000000000003</v>
      </c>
      <c r="Q35" s="29">
        <v>3.0045000000000002</v>
      </c>
      <c r="R35" s="29"/>
      <c r="S35" s="24" t="s">
        <v>527</v>
      </c>
      <c r="T35" s="24" t="str">
        <f t="shared" si="2"/>
        <v>Echec technique</v>
      </c>
      <c r="U35" s="24" t="s">
        <v>44</v>
      </c>
      <c r="V35" s="24" t="str">
        <f t="shared" si="3"/>
        <v/>
      </c>
      <c r="W35" s="24" t="s">
        <v>502</v>
      </c>
      <c r="X35" s="23">
        <v>0.25600000000000001</v>
      </c>
      <c r="Y35" s="23">
        <v>1.8033999999999999</v>
      </c>
      <c r="Z35" s="23"/>
      <c r="AA35" s="24" t="s">
        <v>527</v>
      </c>
      <c r="AB35" s="24" t="str">
        <f t="shared" si="4"/>
        <v>Non testé</v>
      </c>
      <c r="AC35" s="23" t="s">
        <v>44</v>
      </c>
      <c r="AD35" s="23" t="s">
        <v>561</v>
      </c>
      <c r="AE35" s="23" t="str">
        <f t="shared" si="5"/>
        <v/>
      </c>
      <c r="AF35" s="23"/>
      <c r="AG35" s="23" t="str">
        <f t="shared" si="6"/>
        <v/>
      </c>
      <c r="AH35" s="24" t="s">
        <v>502</v>
      </c>
      <c r="AI35" s="23">
        <v>2.6829999999999998</v>
      </c>
      <c r="AJ35" s="23">
        <v>6.8460000000000001</v>
      </c>
      <c r="AK35" s="23"/>
      <c r="AL35" s="24" t="s">
        <v>527</v>
      </c>
      <c r="AM35" s="24">
        <v>210</v>
      </c>
      <c r="AN35" s="24">
        <v>0</v>
      </c>
      <c r="AO35" s="24" t="str">
        <f>IF(ISBLANK(AM35),"",IF(AM35=92,IF(T35="Censure haute",120,""),IF(AB35="Censure haute",120,"")))</f>
        <v/>
      </c>
    </row>
    <row r="36" spans="1:41" x14ac:dyDescent="0.3">
      <c r="A36" s="24" t="s">
        <v>83</v>
      </c>
      <c r="B36" s="24" t="s">
        <v>516</v>
      </c>
      <c r="C36" s="30" t="s">
        <v>519</v>
      </c>
      <c r="D36" s="26">
        <v>18.100000000000001</v>
      </c>
      <c r="E36" s="24" t="s">
        <v>521</v>
      </c>
      <c r="F36" s="27" t="s">
        <v>524</v>
      </c>
      <c r="G36" s="28"/>
      <c r="H36" s="28"/>
      <c r="I36" s="24">
        <v>15</v>
      </c>
      <c r="J36" s="24" t="s">
        <v>43</v>
      </c>
      <c r="K36" s="24" t="s">
        <v>527</v>
      </c>
      <c r="L36" s="24" t="str">
        <f t="shared" si="0"/>
        <v>Normal</v>
      </c>
      <c r="M36" s="23">
        <v>7.7225999999999999</v>
      </c>
      <c r="N36" s="23">
        <f t="shared" si="1"/>
        <v>7.7225999999999999</v>
      </c>
      <c r="O36" s="24" t="s">
        <v>526</v>
      </c>
      <c r="P36" s="23">
        <v>0.36</v>
      </c>
      <c r="Q36" s="29">
        <v>0.67689999999999995</v>
      </c>
      <c r="R36" s="29"/>
      <c r="S36" s="24" t="s">
        <v>526</v>
      </c>
      <c r="T36" s="24" t="str">
        <f t="shared" si="2"/>
        <v>Normal</v>
      </c>
      <c r="U36" s="24">
        <v>7.5744999999999996</v>
      </c>
      <c r="V36" s="24">
        <f t="shared" si="3"/>
        <v>7.5744999999999996</v>
      </c>
      <c r="W36" s="24" t="s">
        <v>526</v>
      </c>
      <c r="X36" s="23">
        <v>0.38</v>
      </c>
      <c r="Y36" s="23">
        <v>0.4415</v>
      </c>
      <c r="Z36" s="23"/>
      <c r="AA36" s="24" t="s">
        <v>526</v>
      </c>
      <c r="AB36" s="24" t="str">
        <f t="shared" si="4"/>
        <v>Censure haute</v>
      </c>
      <c r="AC36" s="23" t="s">
        <v>35</v>
      </c>
      <c r="AD36" s="23" t="s">
        <v>561</v>
      </c>
      <c r="AE36" s="23" t="str">
        <f t="shared" si="5"/>
        <v/>
      </c>
      <c r="AF36" s="23"/>
      <c r="AG36" s="23" t="str">
        <f t="shared" si="6"/>
        <v/>
      </c>
      <c r="AH36" s="24" t="s">
        <v>527</v>
      </c>
      <c r="AI36" s="23">
        <v>3.0230000000000001</v>
      </c>
      <c r="AJ36" s="23">
        <v>6.5983999999999998</v>
      </c>
      <c r="AK36" s="23"/>
      <c r="AL36" s="24" t="s">
        <v>527</v>
      </c>
      <c r="AM36" s="24"/>
      <c r="AN36" s="24"/>
      <c r="AO36" s="24" t="str">
        <f>IF(ISBLANK(AM36),"",IF(AM36=92,IF(T36="Censure haute",120,""),IF(AB36="Censure haute",120,"")))</f>
        <v/>
      </c>
    </row>
    <row r="37" spans="1:41" x14ac:dyDescent="0.3">
      <c r="A37" s="24" t="s">
        <v>84</v>
      </c>
      <c r="B37" s="24" t="s">
        <v>517</v>
      </c>
      <c r="C37" s="25"/>
      <c r="D37" s="26">
        <v>21.7</v>
      </c>
      <c r="E37" s="24" t="s">
        <v>521</v>
      </c>
      <c r="F37" s="27" t="s">
        <v>524</v>
      </c>
      <c r="G37" s="28"/>
      <c r="H37" s="28"/>
      <c r="I37" s="24">
        <v>15</v>
      </c>
      <c r="J37" s="24" t="s">
        <v>43</v>
      </c>
      <c r="K37" s="24" t="s">
        <v>527</v>
      </c>
      <c r="L37" s="24" t="str">
        <f t="shared" si="0"/>
        <v>Normal</v>
      </c>
      <c r="M37" s="23">
        <v>8.9726999999999997</v>
      </c>
      <c r="N37" s="23">
        <f t="shared" si="1"/>
        <v>8.9726999999999997</v>
      </c>
      <c r="O37" s="24" t="s">
        <v>503</v>
      </c>
      <c r="P37" s="23">
        <v>0.42</v>
      </c>
      <c r="Q37" s="29">
        <v>1.2052</v>
      </c>
      <c r="R37" s="29"/>
      <c r="S37" s="24" t="s">
        <v>527</v>
      </c>
      <c r="T37" s="24" t="str">
        <f t="shared" si="2"/>
        <v>Censure haute</v>
      </c>
      <c r="U37" s="24" t="s">
        <v>35</v>
      </c>
      <c r="V37" s="24" t="str">
        <f t="shared" si="3"/>
        <v/>
      </c>
      <c r="W37" s="24" t="s">
        <v>527</v>
      </c>
      <c r="X37" s="23">
        <v>2.78</v>
      </c>
      <c r="Y37" s="23">
        <v>5.0761000000000003</v>
      </c>
      <c r="Z37" s="23"/>
      <c r="AA37" s="24" t="s">
        <v>527</v>
      </c>
      <c r="AB37" s="24" t="str">
        <f t="shared" si="4"/>
        <v>Censure haute</v>
      </c>
      <c r="AC37" s="23" t="s">
        <v>35</v>
      </c>
      <c r="AD37" s="23" t="s">
        <v>561</v>
      </c>
      <c r="AE37" s="23" t="str">
        <f t="shared" si="5"/>
        <v/>
      </c>
      <c r="AF37" s="23"/>
      <c r="AG37" s="23" t="str">
        <f t="shared" si="6"/>
        <v/>
      </c>
      <c r="AH37" s="24" t="s">
        <v>527</v>
      </c>
      <c r="AI37" s="23">
        <v>1.2210000000000001</v>
      </c>
      <c r="AJ37" s="23">
        <v>2.4363000000000001</v>
      </c>
      <c r="AK37" s="23"/>
      <c r="AL37" s="24" t="s">
        <v>527</v>
      </c>
      <c r="AM37" s="24">
        <v>210</v>
      </c>
      <c r="AN37" s="24">
        <v>0</v>
      </c>
      <c r="AO37" s="24">
        <f>IF(ISBLANK(AM37),"",IF(AM37=92,IF(T37="Censure haute",120,""),IF(AB37="Censure haute",120,"")))</f>
        <v>120</v>
      </c>
    </row>
    <row r="38" spans="1:41" x14ac:dyDescent="0.3">
      <c r="A38" s="24" t="s">
        <v>86</v>
      </c>
      <c r="B38" s="24" t="s">
        <v>516</v>
      </c>
      <c r="C38" s="30" t="s">
        <v>518</v>
      </c>
      <c r="D38" s="26">
        <v>18</v>
      </c>
      <c r="E38" s="24" t="s">
        <v>521</v>
      </c>
      <c r="F38" s="27" t="s">
        <v>524</v>
      </c>
      <c r="G38" s="28"/>
      <c r="H38" s="28"/>
      <c r="I38" s="24">
        <v>15</v>
      </c>
      <c r="J38" s="24" t="s">
        <v>43</v>
      </c>
      <c r="K38" s="24" t="s">
        <v>527</v>
      </c>
      <c r="L38" s="24" t="str">
        <f t="shared" si="0"/>
        <v>Normal</v>
      </c>
      <c r="M38" s="23">
        <v>9.5533000000000001</v>
      </c>
      <c r="N38" s="23">
        <f t="shared" si="1"/>
        <v>9.5533000000000001</v>
      </c>
      <c r="O38" s="24" t="s">
        <v>503</v>
      </c>
      <c r="P38" s="23">
        <v>0.44600000000000001</v>
      </c>
      <c r="Q38" s="29">
        <v>9.0899999999999995E-2</v>
      </c>
      <c r="R38" s="29"/>
      <c r="S38" s="24" t="s">
        <v>526</v>
      </c>
      <c r="T38" s="24" t="str">
        <f t="shared" si="2"/>
        <v>Censure haute</v>
      </c>
      <c r="U38" s="24" t="s">
        <v>35</v>
      </c>
      <c r="V38" s="24" t="str">
        <f t="shared" si="3"/>
        <v/>
      </c>
      <c r="W38" s="24" t="s">
        <v>527</v>
      </c>
      <c r="X38" s="23">
        <v>0.251</v>
      </c>
      <c r="Y38" s="23">
        <v>1.3080000000000001</v>
      </c>
      <c r="Z38" s="23"/>
      <c r="AA38" s="24" t="s">
        <v>526</v>
      </c>
      <c r="AB38" s="24" t="str">
        <f t="shared" si="4"/>
        <v>Normal</v>
      </c>
      <c r="AC38" s="23">
        <v>345493</v>
      </c>
      <c r="AD38" s="23">
        <v>34.549300000000002</v>
      </c>
      <c r="AE38" s="23" t="str">
        <f t="shared" si="5"/>
        <v/>
      </c>
      <c r="AF38" s="23"/>
      <c r="AG38" s="23" t="str">
        <f t="shared" si="6"/>
        <v/>
      </c>
      <c r="AH38" s="24" t="s">
        <v>527</v>
      </c>
      <c r="AI38" s="23">
        <v>1.774</v>
      </c>
      <c r="AJ38" s="23">
        <v>0.74139999999999995</v>
      </c>
      <c r="AK38" s="23"/>
      <c r="AL38" s="24" t="s">
        <v>526</v>
      </c>
      <c r="AM38" s="24"/>
      <c r="AN38" s="24"/>
      <c r="AO38" s="24" t="str">
        <f>IF(ISBLANK(AM38),"",IF(AM38=92,IF(T38="Censure haute",120,""),IF(AB38="Censure haute",120,"")))</f>
        <v/>
      </c>
    </row>
    <row r="39" spans="1:41" x14ac:dyDescent="0.3">
      <c r="A39" s="24" t="s">
        <v>87</v>
      </c>
      <c r="B39" s="24" t="s">
        <v>517</v>
      </c>
      <c r="C39" s="25" t="s">
        <v>518</v>
      </c>
      <c r="D39" s="26">
        <v>19.8</v>
      </c>
      <c r="E39" s="24" t="s">
        <v>521</v>
      </c>
      <c r="F39" s="27" t="s">
        <v>524</v>
      </c>
      <c r="G39" s="28"/>
      <c r="H39" s="28"/>
      <c r="I39" s="24">
        <v>12</v>
      </c>
      <c r="J39" s="24" t="s">
        <v>33</v>
      </c>
      <c r="K39" s="24" t="s">
        <v>526</v>
      </c>
      <c r="L39" s="24" t="str">
        <f t="shared" si="0"/>
        <v>Normal</v>
      </c>
      <c r="M39" s="23">
        <v>9.9123999999999999</v>
      </c>
      <c r="N39" s="23">
        <f t="shared" si="1"/>
        <v>9.9123999999999999</v>
      </c>
      <c r="O39" s="24" t="s">
        <v>503</v>
      </c>
      <c r="P39" s="23">
        <v>0.47</v>
      </c>
      <c r="Q39" s="29">
        <v>0.86350000000000005</v>
      </c>
      <c r="R39" s="29">
        <v>0.79420000000000002</v>
      </c>
      <c r="S39" s="24" t="s">
        <v>526</v>
      </c>
      <c r="T39" s="24" t="str">
        <f t="shared" si="2"/>
        <v>Censure haute</v>
      </c>
      <c r="U39" s="24" t="s">
        <v>35</v>
      </c>
      <c r="V39" s="24" t="str">
        <f t="shared" si="3"/>
        <v/>
      </c>
      <c r="W39" s="24" t="s">
        <v>527</v>
      </c>
      <c r="X39" s="23">
        <v>2.3220000000000001</v>
      </c>
      <c r="Y39" s="23">
        <v>2.8294999999999999</v>
      </c>
      <c r="Z39" s="23"/>
      <c r="AA39" s="24" t="s">
        <v>527</v>
      </c>
      <c r="AB39" s="24" t="str">
        <f t="shared" si="4"/>
        <v>Censure haute</v>
      </c>
      <c r="AC39" s="23" t="s">
        <v>35</v>
      </c>
      <c r="AD39" s="23" t="s">
        <v>561</v>
      </c>
      <c r="AE39" s="23" t="str">
        <f t="shared" si="5"/>
        <v/>
      </c>
      <c r="AF39" s="23"/>
      <c r="AG39" s="23" t="str">
        <f t="shared" si="6"/>
        <v/>
      </c>
      <c r="AH39" s="24" t="s">
        <v>527</v>
      </c>
      <c r="AI39" s="23">
        <v>1.4530000000000001</v>
      </c>
      <c r="AJ39" s="23">
        <v>0.56779999999999997</v>
      </c>
      <c r="AK39" s="23"/>
      <c r="AL39" s="24" t="s">
        <v>526</v>
      </c>
      <c r="AM39" s="24">
        <v>210</v>
      </c>
      <c r="AN39" s="24">
        <v>0</v>
      </c>
      <c r="AO39" s="24">
        <f>IF(ISBLANK(AM39),"",IF(AM39=92,IF(T39="Censure haute",120,""),IF(AB39="Censure haute",120,"")))</f>
        <v>120</v>
      </c>
    </row>
    <row r="40" spans="1:41" x14ac:dyDescent="0.3">
      <c r="A40" s="24" t="s">
        <v>89</v>
      </c>
      <c r="B40" s="24" t="s">
        <v>517</v>
      </c>
      <c r="C40" s="25" t="s">
        <v>518</v>
      </c>
      <c r="D40" s="26">
        <v>21.5</v>
      </c>
      <c r="E40" s="24" t="s">
        <v>521</v>
      </c>
      <c r="F40" s="27" t="s">
        <v>524</v>
      </c>
      <c r="G40" s="28"/>
      <c r="H40" s="28"/>
      <c r="I40" s="24">
        <v>14</v>
      </c>
      <c r="J40" s="24" t="s">
        <v>43</v>
      </c>
      <c r="K40" s="24" t="s">
        <v>527</v>
      </c>
      <c r="L40" s="24" t="str">
        <f t="shared" si="0"/>
        <v>Normal</v>
      </c>
      <c r="M40" s="23">
        <v>9.6495999999999995</v>
      </c>
      <c r="N40" s="23">
        <f t="shared" si="1"/>
        <v>9.6495999999999995</v>
      </c>
      <c r="O40" s="24" t="s">
        <v>503</v>
      </c>
      <c r="P40" s="23">
        <v>0.48599999999999999</v>
      </c>
      <c r="Q40" s="29">
        <v>0.32750000000000001</v>
      </c>
      <c r="R40" s="29"/>
      <c r="S40" s="24" t="s">
        <v>526</v>
      </c>
      <c r="T40" s="24" t="str">
        <f t="shared" si="2"/>
        <v>Censure haute</v>
      </c>
      <c r="U40" s="24" t="s">
        <v>35</v>
      </c>
      <c r="V40" s="24" t="str">
        <f t="shared" si="3"/>
        <v/>
      </c>
      <c r="W40" s="24" t="s">
        <v>527</v>
      </c>
      <c r="X40" s="23">
        <v>3.3740000000000001</v>
      </c>
      <c r="Y40" s="23">
        <v>0.16489999999999999</v>
      </c>
      <c r="Z40" s="23"/>
      <c r="AA40" s="24" t="s">
        <v>526</v>
      </c>
      <c r="AB40" s="24" t="str">
        <f t="shared" si="4"/>
        <v>Non testé</v>
      </c>
      <c r="AC40" s="23" t="s">
        <v>44</v>
      </c>
      <c r="AD40" s="23" t="s">
        <v>561</v>
      </c>
      <c r="AE40" s="23" t="str">
        <f t="shared" si="5"/>
        <v/>
      </c>
      <c r="AF40" s="23"/>
      <c r="AG40" s="23" t="str">
        <f t="shared" si="6"/>
        <v/>
      </c>
      <c r="AH40" s="24" t="s">
        <v>502</v>
      </c>
      <c r="AI40" s="23">
        <v>1.8979999999999999</v>
      </c>
      <c r="AJ40" s="23">
        <v>1.3340000000000001</v>
      </c>
      <c r="AK40" s="23"/>
      <c r="AL40" s="24" t="s">
        <v>527</v>
      </c>
      <c r="AM40" s="24">
        <v>210</v>
      </c>
      <c r="AN40" s="24">
        <v>0</v>
      </c>
      <c r="AO40" s="24" t="str">
        <f>IF(ISBLANK(AM40),"",IF(AM40=92,IF(T40="Censure haute",120,""),IF(AB40="Censure haute",120,"")))</f>
        <v/>
      </c>
    </row>
    <row r="41" spans="1:41" x14ac:dyDescent="0.3">
      <c r="A41" s="24" t="s">
        <v>90</v>
      </c>
      <c r="B41" s="24" t="s">
        <v>516</v>
      </c>
      <c r="C41" s="30" t="s">
        <v>518</v>
      </c>
      <c r="D41" s="26">
        <v>20.7</v>
      </c>
      <c r="E41" s="24" t="s">
        <v>521</v>
      </c>
      <c r="F41" s="27" t="s">
        <v>524</v>
      </c>
      <c r="G41" s="28"/>
      <c r="H41" s="28"/>
      <c r="I41" s="24">
        <v>12</v>
      </c>
      <c r="J41" s="24" t="s">
        <v>33</v>
      </c>
      <c r="K41" s="24" t="s">
        <v>526</v>
      </c>
      <c r="L41" s="24" t="str">
        <f t="shared" si="0"/>
        <v>Normal</v>
      </c>
      <c r="M41" s="23">
        <v>10.7494</v>
      </c>
      <c r="N41" s="23">
        <f t="shared" si="1"/>
        <v>10.7494</v>
      </c>
      <c r="O41" s="24" t="s">
        <v>503</v>
      </c>
      <c r="P41" s="23">
        <v>0.51600000000000001</v>
      </c>
      <c r="Q41" s="23">
        <v>0.1142</v>
      </c>
      <c r="R41" s="23">
        <v>0.1797</v>
      </c>
      <c r="S41" s="23" t="s">
        <v>526</v>
      </c>
      <c r="T41" s="24" t="str">
        <f t="shared" si="2"/>
        <v>Censure haute</v>
      </c>
      <c r="U41" s="24" t="s">
        <v>35</v>
      </c>
      <c r="V41" s="24" t="str">
        <f t="shared" si="3"/>
        <v/>
      </c>
      <c r="W41" s="24" t="s">
        <v>527</v>
      </c>
      <c r="X41" s="23">
        <v>2.8279999999999998</v>
      </c>
      <c r="Y41" s="23">
        <v>0.12559999999999999</v>
      </c>
      <c r="Z41" s="23"/>
      <c r="AA41" s="24" t="s">
        <v>526</v>
      </c>
      <c r="AB41" s="24" t="str">
        <f t="shared" si="4"/>
        <v>Normal</v>
      </c>
      <c r="AC41" s="31">
        <v>1071762</v>
      </c>
      <c r="AD41" s="23">
        <v>107.17619999999999</v>
      </c>
      <c r="AE41" s="23" t="str">
        <f t="shared" si="5"/>
        <v/>
      </c>
      <c r="AF41" s="24"/>
      <c r="AG41" s="23" t="str">
        <f t="shared" si="6"/>
        <v/>
      </c>
      <c r="AH41" s="24" t="s">
        <v>527</v>
      </c>
      <c r="AI41" s="23">
        <v>1.7050000000000001</v>
      </c>
      <c r="AJ41" s="23">
        <v>9.2999999999999999E-2</v>
      </c>
      <c r="AK41" s="23"/>
      <c r="AL41" s="24" t="s">
        <v>526</v>
      </c>
      <c r="AM41" s="24">
        <v>182</v>
      </c>
      <c r="AN41" s="24">
        <v>1</v>
      </c>
      <c r="AO41" s="24" t="str">
        <f>IF(ISBLANK(AM41),"",IF(AM41=92,IF(T41="Censure haute",120,""),IF(AB41="Censure haute",120,"")))</f>
        <v/>
      </c>
    </row>
    <row r="42" spans="1:41" x14ac:dyDescent="0.3">
      <c r="A42" s="24" t="s">
        <v>92</v>
      </c>
      <c r="B42" s="24" t="s">
        <v>516</v>
      </c>
      <c r="C42" s="25"/>
      <c r="D42" s="26">
        <v>22.2</v>
      </c>
      <c r="E42" s="24" t="s">
        <v>520</v>
      </c>
      <c r="F42" s="27" t="s">
        <v>524</v>
      </c>
      <c r="G42" s="28"/>
      <c r="H42" s="28"/>
      <c r="I42" s="24">
        <v>12</v>
      </c>
      <c r="J42" s="24" t="s">
        <v>33</v>
      </c>
      <c r="K42" s="24" t="s">
        <v>526</v>
      </c>
      <c r="L42" s="24" t="str">
        <f t="shared" si="0"/>
        <v>Normal</v>
      </c>
      <c r="M42" s="23">
        <v>0.71040000000000003</v>
      </c>
      <c r="N42" s="23">
        <f t="shared" si="1"/>
        <v>0.71040000000000003</v>
      </c>
      <c r="O42" s="24" t="s">
        <v>526</v>
      </c>
      <c r="P42" s="23">
        <v>0.55000000000000004</v>
      </c>
      <c r="Q42" s="29">
        <v>0.72929999999999995</v>
      </c>
      <c r="R42" s="29"/>
      <c r="S42" s="24" t="s">
        <v>526</v>
      </c>
      <c r="T42" s="24" t="str">
        <f t="shared" si="2"/>
        <v>Censure haute</v>
      </c>
      <c r="U42" s="24" t="s">
        <v>35</v>
      </c>
      <c r="V42" s="24" t="str">
        <f t="shared" si="3"/>
        <v/>
      </c>
      <c r="W42" s="24" t="s">
        <v>527</v>
      </c>
      <c r="X42" s="23">
        <v>5.2999999999999999E-2</v>
      </c>
      <c r="Y42" s="23">
        <v>0.44419999999999998</v>
      </c>
      <c r="Z42" s="23"/>
      <c r="AA42" s="24" t="s">
        <v>526</v>
      </c>
      <c r="AB42" s="24" t="str">
        <f t="shared" si="4"/>
        <v>Censure haute</v>
      </c>
      <c r="AC42" s="23" t="s">
        <v>35</v>
      </c>
      <c r="AD42" s="23" t="s">
        <v>561</v>
      </c>
      <c r="AE42" s="23" t="str">
        <f t="shared" si="5"/>
        <v/>
      </c>
      <c r="AF42" s="23"/>
      <c r="AG42" s="23" t="str">
        <f t="shared" si="6"/>
        <v/>
      </c>
      <c r="AH42" s="24" t="s">
        <v>527</v>
      </c>
      <c r="AI42" s="23">
        <v>4.3999999999999997E-2</v>
      </c>
      <c r="AJ42" s="23">
        <v>0.2276</v>
      </c>
      <c r="AK42" s="23"/>
      <c r="AL42" s="24" t="s">
        <v>526</v>
      </c>
      <c r="AM42" s="24">
        <v>210</v>
      </c>
      <c r="AN42" s="24">
        <v>0</v>
      </c>
      <c r="AO42" s="24">
        <f>IF(ISBLANK(AM42),"",IF(AM42=92,IF(T42="Censure haute",120,""),IF(AB42="Censure haute",120,"")))</f>
        <v>120</v>
      </c>
    </row>
    <row r="43" spans="1:41" x14ac:dyDescent="0.3">
      <c r="A43" s="24" t="s">
        <v>93</v>
      </c>
      <c r="B43" s="24" t="s">
        <v>516</v>
      </c>
      <c r="C43" s="25" t="s">
        <v>519</v>
      </c>
      <c r="D43" s="26">
        <v>18.8</v>
      </c>
      <c r="E43" s="24" t="s">
        <v>521</v>
      </c>
      <c r="F43" s="27" t="s">
        <v>524</v>
      </c>
      <c r="G43" s="28"/>
      <c r="H43" s="28"/>
      <c r="I43" s="24">
        <v>12</v>
      </c>
      <c r="J43" s="24" t="s">
        <v>33</v>
      </c>
      <c r="K43" s="24" t="s">
        <v>526</v>
      </c>
      <c r="L43" s="24" t="str">
        <f t="shared" si="0"/>
        <v>Normal</v>
      </c>
      <c r="M43" s="23">
        <v>13.458399999999999</v>
      </c>
      <c r="N43" s="23">
        <f t="shared" si="1"/>
        <v>13.458399999999999</v>
      </c>
      <c r="O43" s="24" t="s">
        <v>527</v>
      </c>
      <c r="P43" s="23">
        <v>0.57599999999999996</v>
      </c>
      <c r="Q43" s="29">
        <v>1.0515000000000001</v>
      </c>
      <c r="R43" s="29"/>
      <c r="S43" s="24" t="s">
        <v>526</v>
      </c>
      <c r="T43" s="24" t="str">
        <f t="shared" si="2"/>
        <v>Censure haute</v>
      </c>
      <c r="U43" s="24" t="s">
        <v>35</v>
      </c>
      <c r="V43" s="24" t="str">
        <f t="shared" si="3"/>
        <v/>
      </c>
      <c r="W43" s="24" t="s">
        <v>527</v>
      </c>
      <c r="X43" s="23">
        <v>0.56999999999999995</v>
      </c>
      <c r="Y43" s="23">
        <v>6.0571000000000002</v>
      </c>
      <c r="Z43" s="23"/>
      <c r="AA43" s="24" t="s">
        <v>527</v>
      </c>
      <c r="AB43" s="24" t="str">
        <f t="shared" si="4"/>
        <v>Censure haute</v>
      </c>
      <c r="AC43" s="23" t="s">
        <v>35</v>
      </c>
      <c r="AD43" s="23" t="s">
        <v>561</v>
      </c>
      <c r="AE43" s="23" t="str">
        <f t="shared" si="5"/>
        <v/>
      </c>
      <c r="AF43" s="23"/>
      <c r="AG43" s="23" t="str">
        <f t="shared" si="6"/>
        <v/>
      </c>
      <c r="AH43" s="24" t="s">
        <v>527</v>
      </c>
      <c r="AI43" s="23">
        <v>2.605</v>
      </c>
      <c r="AJ43" s="23">
        <v>3.0670000000000002</v>
      </c>
      <c r="AK43" s="23"/>
      <c r="AL43" s="24" t="s">
        <v>527</v>
      </c>
      <c r="AM43" s="24">
        <v>210</v>
      </c>
      <c r="AN43" s="24">
        <v>0</v>
      </c>
      <c r="AO43" s="24">
        <f>IF(ISBLANK(AM43),"",IF(AM43=92,IF(T43="Censure haute",120,""),IF(AB43="Censure haute",120,"")))</f>
        <v>120</v>
      </c>
    </row>
    <row r="44" spans="1:41" x14ac:dyDescent="0.3">
      <c r="A44" s="24" t="s">
        <v>94</v>
      </c>
      <c r="B44" s="24" t="s">
        <v>517</v>
      </c>
      <c r="C44" s="30" t="s">
        <v>518</v>
      </c>
      <c r="D44" s="26">
        <v>18.2</v>
      </c>
      <c r="E44" s="24" t="s">
        <v>521</v>
      </c>
      <c r="F44" s="27" t="s">
        <v>524</v>
      </c>
      <c r="G44" s="28"/>
      <c r="H44" s="28"/>
      <c r="I44" s="24">
        <v>15</v>
      </c>
      <c r="J44" s="24" t="s">
        <v>43</v>
      </c>
      <c r="K44" s="24" t="s">
        <v>527</v>
      </c>
      <c r="L44" s="24" t="str">
        <f t="shared" si="0"/>
        <v>Normal</v>
      </c>
      <c r="M44" s="23">
        <v>15.814</v>
      </c>
      <c r="N44" s="23">
        <f t="shared" si="1"/>
        <v>15.814</v>
      </c>
      <c r="O44" s="24" t="s">
        <v>527</v>
      </c>
      <c r="P44" s="23">
        <v>0.71199999999999997</v>
      </c>
      <c r="Q44" s="29">
        <v>0.4642</v>
      </c>
      <c r="R44" s="29"/>
      <c r="S44" s="24" t="s">
        <v>526</v>
      </c>
      <c r="T44" s="24" t="str">
        <f t="shared" si="2"/>
        <v>Echec technique</v>
      </c>
      <c r="U44" s="24" t="s">
        <v>44</v>
      </c>
      <c r="V44" s="24" t="str">
        <f t="shared" si="3"/>
        <v/>
      </c>
      <c r="W44" s="24" t="s">
        <v>502</v>
      </c>
      <c r="X44" s="23">
        <v>3.4620000000000002</v>
      </c>
      <c r="Y44" s="23">
        <v>0.54930000000000001</v>
      </c>
      <c r="Z44" s="23"/>
      <c r="AA44" s="24" t="s">
        <v>526</v>
      </c>
      <c r="AB44" s="24" t="str">
        <f t="shared" si="4"/>
        <v>Censure haute</v>
      </c>
      <c r="AC44" s="23" t="s">
        <v>35</v>
      </c>
      <c r="AD44" s="23" t="s">
        <v>561</v>
      </c>
      <c r="AE44" s="23" t="str">
        <f t="shared" si="5"/>
        <v/>
      </c>
      <c r="AF44" s="23"/>
      <c r="AG44" s="23" t="str">
        <f t="shared" si="6"/>
        <v/>
      </c>
      <c r="AH44" s="24" t="s">
        <v>527</v>
      </c>
      <c r="AI44" s="23">
        <v>2.835</v>
      </c>
      <c r="AJ44" s="23">
        <v>6.2375999999999996</v>
      </c>
      <c r="AK44" s="23"/>
      <c r="AL44" s="24" t="s">
        <v>527</v>
      </c>
      <c r="AM44" s="24">
        <v>210</v>
      </c>
      <c r="AN44" s="24">
        <v>0</v>
      </c>
      <c r="AO44" s="24">
        <f>IF(ISBLANK(AM44),"",IF(AM44=92,IF(T44="Censure haute",120,""),IF(AB44="Censure haute",120,"")))</f>
        <v>120</v>
      </c>
    </row>
    <row r="45" spans="1:41" x14ac:dyDescent="0.3">
      <c r="A45" s="24" t="s">
        <v>95</v>
      </c>
      <c r="B45" s="24" t="s">
        <v>517</v>
      </c>
      <c r="C45" s="25" t="s">
        <v>518</v>
      </c>
      <c r="D45" s="26">
        <v>15.9</v>
      </c>
      <c r="E45" s="24" t="s">
        <v>521</v>
      </c>
      <c r="F45" s="27" t="s">
        <v>524</v>
      </c>
      <c r="G45" s="28"/>
      <c r="H45" s="28"/>
      <c r="I45" s="24">
        <v>12</v>
      </c>
      <c r="J45" s="24" t="s">
        <v>33</v>
      </c>
      <c r="K45" s="24" t="s">
        <v>527</v>
      </c>
      <c r="L45" s="24" t="str">
        <f t="shared" si="0"/>
        <v>Normal</v>
      </c>
      <c r="M45" s="23">
        <v>16.281400000000001</v>
      </c>
      <c r="N45" s="23">
        <f t="shared" si="1"/>
        <v>16.281400000000001</v>
      </c>
      <c r="O45" s="24" t="s">
        <v>527</v>
      </c>
      <c r="P45" s="23">
        <v>0.71599999999999997</v>
      </c>
      <c r="Q45" s="29">
        <v>4.4161000000000001</v>
      </c>
      <c r="R45" s="29"/>
      <c r="S45" s="24" t="s">
        <v>527</v>
      </c>
      <c r="T45" s="24" t="str">
        <f t="shared" si="2"/>
        <v>Censure haute</v>
      </c>
      <c r="U45" s="24" t="s">
        <v>35</v>
      </c>
      <c r="V45" s="24" t="str">
        <f t="shared" si="3"/>
        <v/>
      </c>
      <c r="W45" s="24" t="s">
        <v>527</v>
      </c>
      <c r="X45" s="23">
        <v>2.6890000000000001</v>
      </c>
      <c r="Y45" s="23">
        <v>5.9366000000000003</v>
      </c>
      <c r="Z45" s="23"/>
      <c r="AA45" s="24" t="s">
        <v>527</v>
      </c>
      <c r="AB45" s="24" t="str">
        <f t="shared" si="4"/>
        <v>Censure haute</v>
      </c>
      <c r="AC45" s="23" t="s">
        <v>35</v>
      </c>
      <c r="AD45" s="23" t="s">
        <v>561</v>
      </c>
      <c r="AE45" s="23" t="str">
        <f t="shared" si="5"/>
        <v/>
      </c>
      <c r="AF45" s="23"/>
      <c r="AG45" s="23" t="str">
        <f t="shared" si="6"/>
        <v/>
      </c>
      <c r="AH45" s="24" t="s">
        <v>527</v>
      </c>
      <c r="AI45" s="23">
        <v>3.1549999999999998</v>
      </c>
      <c r="AJ45" s="23">
        <v>3.7700999999999998</v>
      </c>
      <c r="AK45" s="23"/>
      <c r="AL45" s="24" t="s">
        <v>527</v>
      </c>
      <c r="AM45" s="24"/>
      <c r="AN45" s="24"/>
      <c r="AO45" s="24" t="str">
        <f>IF(ISBLANK(AM45),"",IF(AM45=92,IF(T45="Censure haute",120,""),IF(AB45="Censure haute",120,"")))</f>
        <v/>
      </c>
    </row>
    <row r="46" spans="1:41" x14ac:dyDescent="0.3">
      <c r="A46" s="24" t="s">
        <v>96</v>
      </c>
      <c r="B46" s="24" t="s">
        <v>517</v>
      </c>
      <c r="C46" s="30"/>
      <c r="D46" s="26">
        <v>16.5</v>
      </c>
      <c r="E46" s="24" t="s">
        <v>521</v>
      </c>
      <c r="F46" s="27" t="s">
        <v>524</v>
      </c>
      <c r="G46" s="28"/>
      <c r="H46" s="28"/>
      <c r="I46" s="24">
        <v>12</v>
      </c>
      <c r="J46" s="24" t="s">
        <v>33</v>
      </c>
      <c r="K46" s="24" t="s">
        <v>527</v>
      </c>
      <c r="L46" s="24" t="str">
        <f t="shared" si="0"/>
        <v>Normal</v>
      </c>
      <c r="M46" s="23">
        <v>17.751899999999999</v>
      </c>
      <c r="N46" s="23">
        <f t="shared" si="1"/>
        <v>17.751899999999999</v>
      </c>
      <c r="O46" s="24" t="s">
        <v>527</v>
      </c>
      <c r="P46" s="23">
        <v>0.78700000000000003</v>
      </c>
      <c r="Q46" s="29">
        <v>0.60909999999999997</v>
      </c>
      <c r="R46" s="29"/>
      <c r="S46" s="24" t="s">
        <v>526</v>
      </c>
      <c r="T46" s="24" t="str">
        <f t="shared" si="2"/>
        <v>Censure haute</v>
      </c>
      <c r="U46" s="24" t="s">
        <v>35</v>
      </c>
      <c r="V46" s="24" t="str">
        <f t="shared" si="3"/>
        <v/>
      </c>
      <c r="W46" s="24" t="s">
        <v>527</v>
      </c>
      <c r="X46" s="23">
        <v>3.5</v>
      </c>
      <c r="Y46" s="23">
        <v>0.37219999999999998</v>
      </c>
      <c r="Z46" s="23"/>
      <c r="AA46" s="24" t="s">
        <v>526</v>
      </c>
      <c r="AB46" s="24" t="str">
        <f t="shared" si="4"/>
        <v>Censure haute</v>
      </c>
      <c r="AC46" s="23" t="s">
        <v>35</v>
      </c>
      <c r="AD46" s="23" t="s">
        <v>561</v>
      </c>
      <c r="AE46" s="23" t="str">
        <f t="shared" si="5"/>
        <v/>
      </c>
      <c r="AF46" s="23"/>
      <c r="AG46" s="23" t="str">
        <f t="shared" si="6"/>
        <v/>
      </c>
      <c r="AH46" s="24" t="s">
        <v>527</v>
      </c>
      <c r="AI46" s="23">
        <v>2.1179999999999999</v>
      </c>
      <c r="AJ46" s="23">
        <v>5.7107000000000001</v>
      </c>
      <c r="AK46" s="23"/>
      <c r="AL46" s="24" t="s">
        <v>526</v>
      </c>
      <c r="AM46" s="24">
        <v>210</v>
      </c>
      <c r="AN46" s="24">
        <v>0</v>
      </c>
      <c r="AO46" s="24">
        <f>IF(ISBLANK(AM46),"",IF(AM46=92,IF(T46="Censure haute",120,""),IF(AB46="Censure haute",120,"")))</f>
        <v>120</v>
      </c>
    </row>
    <row r="47" spans="1:41" x14ac:dyDescent="0.3">
      <c r="A47" s="24" t="s">
        <v>97</v>
      </c>
      <c r="B47" s="24" t="s">
        <v>517</v>
      </c>
      <c r="C47" s="25"/>
      <c r="D47" s="26">
        <v>21</v>
      </c>
      <c r="E47" s="24" t="s">
        <v>521</v>
      </c>
      <c r="F47" s="27" t="s">
        <v>524</v>
      </c>
      <c r="G47" s="28"/>
      <c r="H47" s="28"/>
      <c r="I47" s="24">
        <v>15</v>
      </c>
      <c r="J47" s="24" t="s">
        <v>43</v>
      </c>
      <c r="K47" s="24" t="s">
        <v>526</v>
      </c>
      <c r="L47" s="24" t="str">
        <f t="shared" si="0"/>
        <v>Normal</v>
      </c>
      <c r="M47" s="23">
        <v>18.718599999999999</v>
      </c>
      <c r="N47" s="23">
        <f t="shared" si="1"/>
        <v>18.718599999999999</v>
      </c>
      <c r="O47" s="24" t="s">
        <v>527</v>
      </c>
      <c r="P47" s="23">
        <v>0.81299999999999994</v>
      </c>
      <c r="Q47" s="29">
        <v>4.1943000000000001</v>
      </c>
      <c r="R47" s="29"/>
      <c r="S47" s="24" t="s">
        <v>527</v>
      </c>
      <c r="T47" s="24" t="str">
        <f t="shared" si="2"/>
        <v>Censure haute</v>
      </c>
      <c r="U47" s="24" t="s">
        <v>35</v>
      </c>
      <c r="V47" s="24" t="str">
        <f t="shared" si="3"/>
        <v/>
      </c>
      <c r="W47" s="24" t="s">
        <v>527</v>
      </c>
      <c r="X47" s="23">
        <v>2.7930000000000001</v>
      </c>
      <c r="Y47" s="23">
        <v>5.7367999999999997</v>
      </c>
      <c r="Z47" s="23"/>
      <c r="AA47" s="24" t="s">
        <v>527</v>
      </c>
      <c r="AB47" s="24" t="str">
        <f t="shared" si="4"/>
        <v>Non testé</v>
      </c>
      <c r="AC47" s="23" t="s">
        <v>44</v>
      </c>
      <c r="AD47" s="23" t="s">
        <v>561</v>
      </c>
      <c r="AE47" s="23" t="str">
        <f t="shared" si="5"/>
        <v/>
      </c>
      <c r="AF47" s="23"/>
      <c r="AG47" s="23" t="str">
        <f t="shared" si="6"/>
        <v/>
      </c>
      <c r="AH47" s="24" t="s">
        <v>502</v>
      </c>
      <c r="AI47" s="23">
        <v>1.61</v>
      </c>
      <c r="AJ47" s="23">
        <v>2.7349000000000001</v>
      </c>
      <c r="AK47" s="23"/>
      <c r="AL47" s="24" t="s">
        <v>527</v>
      </c>
      <c r="AM47" s="24">
        <v>210</v>
      </c>
      <c r="AN47" s="24">
        <v>0</v>
      </c>
      <c r="AO47" s="24" t="str">
        <f>IF(ISBLANK(AM47),"",IF(AM47=92,IF(T47="Censure haute",120,""),IF(AB47="Censure haute",120,"")))</f>
        <v/>
      </c>
    </row>
    <row r="48" spans="1:41" x14ac:dyDescent="0.3">
      <c r="A48" s="24" t="s">
        <v>98</v>
      </c>
      <c r="B48" s="24" t="s">
        <v>517</v>
      </c>
      <c r="C48" s="30" t="s">
        <v>518</v>
      </c>
      <c r="D48" s="26">
        <v>19.2</v>
      </c>
      <c r="E48" s="24" t="s">
        <v>521</v>
      </c>
      <c r="F48" s="27" t="s">
        <v>524</v>
      </c>
      <c r="G48" s="28"/>
      <c r="H48" s="28"/>
      <c r="I48" s="24">
        <v>12</v>
      </c>
      <c r="J48" s="24" t="s">
        <v>33</v>
      </c>
      <c r="K48" s="24" t="s">
        <v>527</v>
      </c>
      <c r="L48" s="24" t="str">
        <f t="shared" si="0"/>
        <v>Normal</v>
      </c>
      <c r="M48" s="23">
        <v>20.1524</v>
      </c>
      <c r="N48" s="23">
        <f t="shared" si="1"/>
        <v>20.1524</v>
      </c>
      <c r="O48" s="24" t="s">
        <v>527</v>
      </c>
      <c r="P48" s="23">
        <v>0.878</v>
      </c>
      <c r="Q48" s="29">
        <v>0.61070000000000002</v>
      </c>
      <c r="R48" s="29"/>
      <c r="S48" s="24" t="s">
        <v>526</v>
      </c>
      <c r="T48" s="24" t="str">
        <f t="shared" si="2"/>
        <v>Censure haute</v>
      </c>
      <c r="U48" s="24" t="s">
        <v>35</v>
      </c>
      <c r="V48" s="24" t="str">
        <f t="shared" si="3"/>
        <v/>
      </c>
      <c r="W48" s="24" t="s">
        <v>527</v>
      </c>
      <c r="X48" s="23">
        <v>7.3800000000000004E-2</v>
      </c>
      <c r="Y48" s="23">
        <v>6.2152000000000003</v>
      </c>
      <c r="Z48" s="23"/>
      <c r="AA48" s="24" t="s">
        <v>527</v>
      </c>
      <c r="AB48" s="24" t="str">
        <f t="shared" si="4"/>
        <v>Non testé</v>
      </c>
      <c r="AC48" s="24" t="s">
        <v>44</v>
      </c>
      <c r="AD48" s="23" t="s">
        <v>561</v>
      </c>
      <c r="AE48" s="23" t="str">
        <f t="shared" si="5"/>
        <v/>
      </c>
      <c r="AF48" s="24"/>
      <c r="AG48" s="23" t="str">
        <f t="shared" si="6"/>
        <v/>
      </c>
      <c r="AH48" s="24" t="s">
        <v>502</v>
      </c>
      <c r="AI48" s="23">
        <v>2.9790000000000001</v>
      </c>
      <c r="AJ48" s="23">
        <v>4.9855</v>
      </c>
      <c r="AK48" s="23"/>
      <c r="AL48" s="24" t="s">
        <v>527</v>
      </c>
      <c r="AM48" s="24">
        <v>210</v>
      </c>
      <c r="AN48" s="24">
        <v>0</v>
      </c>
      <c r="AO48" s="24" t="str">
        <f>IF(ISBLANK(AM48),"",IF(AM48=92,IF(T48="Censure haute",120,""),IF(AB48="Censure haute",120,"")))</f>
        <v/>
      </c>
    </row>
    <row r="49" spans="1:41" x14ac:dyDescent="0.3">
      <c r="A49" s="24" t="s">
        <v>99</v>
      </c>
      <c r="B49" s="24" t="s">
        <v>516</v>
      </c>
      <c r="C49" s="25" t="s">
        <v>518</v>
      </c>
      <c r="D49" s="26">
        <v>20.8</v>
      </c>
      <c r="E49" s="24" t="s">
        <v>521</v>
      </c>
      <c r="F49" s="27" t="s">
        <v>524</v>
      </c>
      <c r="G49" s="28"/>
      <c r="H49" s="28"/>
      <c r="I49" s="24">
        <v>15</v>
      </c>
      <c r="J49" s="24" t="s">
        <v>43</v>
      </c>
      <c r="K49" s="24" t="s">
        <v>527</v>
      </c>
      <c r="L49" s="24" t="str">
        <f t="shared" si="0"/>
        <v>Normal</v>
      </c>
      <c r="M49" s="23">
        <v>24.3443</v>
      </c>
      <c r="N49" s="23">
        <f t="shared" si="1"/>
        <v>24.3443</v>
      </c>
      <c r="O49" s="24" t="s">
        <v>527</v>
      </c>
      <c r="P49" s="23">
        <v>0.93400000000000005</v>
      </c>
      <c r="Q49" s="29">
        <v>0.21759999999999999</v>
      </c>
      <c r="R49" s="29">
        <v>0.25269999999999998</v>
      </c>
      <c r="S49" s="24" t="s">
        <v>526</v>
      </c>
      <c r="T49" s="24" t="str">
        <f t="shared" si="2"/>
        <v>Echec technique</v>
      </c>
      <c r="U49" s="24" t="s">
        <v>44</v>
      </c>
      <c r="V49" s="24" t="str">
        <f t="shared" si="3"/>
        <v/>
      </c>
      <c r="W49" s="24" t="s">
        <v>502</v>
      </c>
      <c r="X49" s="23">
        <v>2.4169999999999998</v>
      </c>
      <c r="Y49" s="23">
        <v>4.2184999999999997</v>
      </c>
      <c r="Z49" s="23"/>
      <c r="AA49" s="24" t="s">
        <v>527</v>
      </c>
      <c r="AB49" s="24" t="str">
        <f t="shared" si="4"/>
        <v>Censure haute</v>
      </c>
      <c r="AC49" s="23" t="s">
        <v>35</v>
      </c>
      <c r="AD49" s="23" t="s">
        <v>561</v>
      </c>
      <c r="AE49" s="23" t="str">
        <f t="shared" si="5"/>
        <v/>
      </c>
      <c r="AF49" s="23"/>
      <c r="AG49" s="23" t="str">
        <f t="shared" si="6"/>
        <v/>
      </c>
      <c r="AH49" s="24" t="s">
        <v>527</v>
      </c>
      <c r="AI49" s="23">
        <v>1.218</v>
      </c>
      <c r="AJ49" s="23">
        <v>1.3463000000000001</v>
      </c>
      <c r="AK49" s="23">
        <v>1.3073999999999999</v>
      </c>
      <c r="AL49" s="24" t="s">
        <v>527</v>
      </c>
      <c r="AM49" s="24">
        <v>210</v>
      </c>
      <c r="AN49" s="24">
        <v>0</v>
      </c>
      <c r="AO49" s="24">
        <f>IF(ISBLANK(AM49),"",IF(AM49=92,IF(T49="Censure haute",120,""),IF(AB49="Censure haute",120,"")))</f>
        <v>120</v>
      </c>
    </row>
    <row r="50" spans="1:41" x14ac:dyDescent="0.3">
      <c r="A50" s="24" t="s">
        <v>102</v>
      </c>
      <c r="B50" s="24" t="s">
        <v>517</v>
      </c>
      <c r="C50" s="25" t="s">
        <v>518</v>
      </c>
      <c r="D50" s="26">
        <v>21.6</v>
      </c>
      <c r="E50" s="24" t="s">
        <v>521</v>
      </c>
      <c r="F50" s="27" t="s">
        <v>524</v>
      </c>
      <c r="G50" s="28"/>
      <c r="H50" s="28"/>
      <c r="I50" s="24">
        <v>14</v>
      </c>
      <c r="J50" s="24" t="s">
        <v>43</v>
      </c>
      <c r="K50" s="24" t="s">
        <v>527</v>
      </c>
      <c r="L50" s="24" t="str">
        <f t="shared" si="0"/>
        <v>Normal</v>
      </c>
      <c r="M50" s="23">
        <v>26.8306</v>
      </c>
      <c r="N50" s="23">
        <f t="shared" si="1"/>
        <v>26.8306</v>
      </c>
      <c r="O50" s="24" t="s">
        <v>527</v>
      </c>
      <c r="P50" s="23">
        <v>1.04</v>
      </c>
      <c r="Q50" s="29">
        <v>0.3538</v>
      </c>
      <c r="R50" s="29"/>
      <c r="S50" s="24" t="s">
        <v>526</v>
      </c>
      <c r="T50" s="24" t="str">
        <f t="shared" si="2"/>
        <v>Normal</v>
      </c>
      <c r="U50" s="24">
        <v>19.379799999999999</v>
      </c>
      <c r="V50" s="24">
        <f t="shared" si="3"/>
        <v>19.379799999999999</v>
      </c>
      <c r="W50" s="24" t="s">
        <v>527</v>
      </c>
      <c r="X50" s="23">
        <v>2.9079999999999999</v>
      </c>
      <c r="Y50" s="23">
        <v>3.7195999999999998</v>
      </c>
      <c r="Z50" s="23"/>
      <c r="AA50" s="24" t="s">
        <v>527</v>
      </c>
      <c r="AB50" s="24" t="str">
        <f t="shared" si="4"/>
        <v>Normal</v>
      </c>
      <c r="AC50" s="23">
        <v>114731</v>
      </c>
      <c r="AD50" s="23">
        <v>11.473100000000001</v>
      </c>
      <c r="AE50" s="23" t="str">
        <f t="shared" si="5"/>
        <v/>
      </c>
      <c r="AF50" s="23"/>
      <c r="AG50" s="23" t="str">
        <f t="shared" si="6"/>
        <v/>
      </c>
      <c r="AH50" s="24" t="s">
        <v>527</v>
      </c>
      <c r="AI50" s="23">
        <v>2.2480000000000002</v>
      </c>
      <c r="AJ50" s="23">
        <v>1.3607</v>
      </c>
      <c r="AK50" s="23"/>
      <c r="AL50" s="24" t="s">
        <v>527</v>
      </c>
      <c r="AM50" s="24"/>
      <c r="AN50" s="24"/>
      <c r="AO50" s="24" t="str">
        <f>IF(ISBLANK(AM50),"",IF(AM50=92,IF(T50="Censure haute",120,""),IF(AB50="Censure haute",120,"")))</f>
        <v/>
      </c>
    </row>
    <row r="51" spans="1:41" x14ac:dyDescent="0.3">
      <c r="A51" s="24" t="s">
        <v>103</v>
      </c>
      <c r="B51" s="24" t="s">
        <v>517</v>
      </c>
      <c r="C51" s="25"/>
      <c r="D51" s="26">
        <v>24.2</v>
      </c>
      <c r="E51" s="24" t="s">
        <v>520</v>
      </c>
      <c r="F51" s="27" t="s">
        <v>524</v>
      </c>
      <c r="G51" s="28"/>
      <c r="H51" s="28"/>
      <c r="I51" s="24">
        <v>12</v>
      </c>
      <c r="J51" s="24" t="s">
        <v>33</v>
      </c>
      <c r="K51" s="24" t="s">
        <v>527</v>
      </c>
      <c r="L51" s="24" t="str">
        <f t="shared" si="0"/>
        <v>Normal</v>
      </c>
      <c r="M51" s="23">
        <v>31.6952</v>
      </c>
      <c r="N51" s="23">
        <f t="shared" si="1"/>
        <v>31.6952</v>
      </c>
      <c r="O51" s="24" t="s">
        <v>527</v>
      </c>
      <c r="P51" s="23">
        <v>1.181</v>
      </c>
      <c r="Q51" s="29">
        <v>9.7299999999999998E-2</v>
      </c>
      <c r="R51" s="29"/>
      <c r="S51" s="24" t="s">
        <v>526</v>
      </c>
      <c r="T51" s="24" t="str">
        <f t="shared" si="2"/>
        <v>Echec technique</v>
      </c>
      <c r="U51" s="24" t="s">
        <v>44</v>
      </c>
      <c r="V51" s="24" t="str">
        <f t="shared" si="3"/>
        <v/>
      </c>
      <c r="W51" s="24" t="s">
        <v>502</v>
      </c>
      <c r="X51" s="23">
        <v>3.3610000000000002</v>
      </c>
      <c r="Y51" s="23">
        <v>3.6427</v>
      </c>
      <c r="Z51" s="23"/>
      <c r="AA51" s="24" t="s">
        <v>527</v>
      </c>
      <c r="AB51" s="24" t="str">
        <f t="shared" si="4"/>
        <v>Censure haute</v>
      </c>
      <c r="AC51" s="23" t="s">
        <v>35</v>
      </c>
      <c r="AD51" s="23" t="s">
        <v>561</v>
      </c>
      <c r="AE51" s="23" t="str">
        <f t="shared" si="5"/>
        <v/>
      </c>
      <c r="AF51" s="23"/>
      <c r="AG51" s="23" t="str">
        <f t="shared" si="6"/>
        <v/>
      </c>
      <c r="AH51" s="23" t="s">
        <v>527</v>
      </c>
      <c r="AI51" s="23">
        <v>2.8079999999999998</v>
      </c>
      <c r="AJ51" s="23">
        <v>1.95</v>
      </c>
      <c r="AK51" s="23"/>
      <c r="AL51" s="23" t="s">
        <v>527</v>
      </c>
      <c r="AM51" s="24">
        <v>210</v>
      </c>
      <c r="AN51" s="24">
        <v>0</v>
      </c>
      <c r="AO51" s="24">
        <f>IF(ISBLANK(AM51),"",IF(AM51=92,IF(T51="Censure haute",120,""),IF(AB51="Censure haute",120,"")))</f>
        <v>120</v>
      </c>
    </row>
    <row r="52" spans="1:41" x14ac:dyDescent="0.3">
      <c r="A52" s="24" t="s">
        <v>104</v>
      </c>
      <c r="B52" s="24" t="s">
        <v>517</v>
      </c>
      <c r="C52" s="30"/>
      <c r="D52" s="26">
        <v>15.5</v>
      </c>
      <c r="E52" s="24" t="s">
        <v>521</v>
      </c>
      <c r="F52" s="27" t="s">
        <v>524</v>
      </c>
      <c r="G52" s="28"/>
      <c r="H52" s="28"/>
      <c r="I52" s="24">
        <v>11</v>
      </c>
      <c r="J52" s="24" t="s">
        <v>33</v>
      </c>
      <c r="K52" s="24" t="s">
        <v>527</v>
      </c>
      <c r="L52" s="24" t="str">
        <f t="shared" si="0"/>
        <v>Normal</v>
      </c>
      <c r="M52" s="23">
        <v>32.1524</v>
      </c>
      <c r="N52" s="23">
        <f t="shared" si="1"/>
        <v>32.1524</v>
      </c>
      <c r="O52" s="24" t="s">
        <v>527</v>
      </c>
      <c r="P52" s="23">
        <v>1.1930000000000001</v>
      </c>
      <c r="Q52" s="29">
        <v>0.1726</v>
      </c>
      <c r="R52" s="29"/>
      <c r="S52" s="24" t="s">
        <v>526</v>
      </c>
      <c r="T52" s="24" t="str">
        <f t="shared" si="2"/>
        <v>Echec technique</v>
      </c>
      <c r="U52" s="24" t="s">
        <v>44</v>
      </c>
      <c r="V52" s="24" t="str">
        <f t="shared" si="3"/>
        <v/>
      </c>
      <c r="W52" s="24" t="s">
        <v>502</v>
      </c>
      <c r="X52" s="23">
        <v>1.0920000000000001</v>
      </c>
      <c r="Y52" s="23">
        <v>3.5628000000000002</v>
      </c>
      <c r="Z52" s="23"/>
      <c r="AA52" s="24" t="s">
        <v>527</v>
      </c>
      <c r="AB52" s="24" t="str">
        <f t="shared" si="4"/>
        <v>Non testé</v>
      </c>
      <c r="AC52" s="24" t="s">
        <v>44</v>
      </c>
      <c r="AD52" s="23" t="s">
        <v>561</v>
      </c>
      <c r="AE52" s="23" t="str">
        <f t="shared" si="5"/>
        <v/>
      </c>
      <c r="AF52" s="24"/>
      <c r="AG52" s="23" t="str">
        <f t="shared" si="6"/>
        <v/>
      </c>
      <c r="AH52" s="24" t="s">
        <v>502</v>
      </c>
      <c r="AI52" s="23">
        <v>3.452</v>
      </c>
      <c r="AJ52" s="23">
        <v>1.2562</v>
      </c>
      <c r="AK52" s="23"/>
      <c r="AL52" s="24" t="s">
        <v>527</v>
      </c>
      <c r="AM52" s="24">
        <v>210</v>
      </c>
      <c r="AN52" s="24">
        <v>0</v>
      </c>
      <c r="AO52" s="24" t="str">
        <f>IF(ISBLANK(AM52),"",IF(AM52=92,IF(T52="Censure haute",120,""),IF(AB52="Censure haute",120,"")))</f>
        <v/>
      </c>
    </row>
    <row r="53" spans="1:41" x14ac:dyDescent="0.3">
      <c r="A53" s="24" t="s">
        <v>105</v>
      </c>
      <c r="B53" s="24" t="s">
        <v>516</v>
      </c>
      <c r="C53" s="25" t="s">
        <v>518</v>
      </c>
      <c r="D53" s="26">
        <v>15.9</v>
      </c>
      <c r="E53" s="24" t="s">
        <v>521</v>
      </c>
      <c r="F53" s="27" t="s">
        <v>524</v>
      </c>
      <c r="G53" s="28"/>
      <c r="H53" s="28"/>
      <c r="I53" s="24">
        <v>12</v>
      </c>
      <c r="J53" s="24" t="s">
        <v>33</v>
      </c>
      <c r="K53" s="24" t="s">
        <v>527</v>
      </c>
      <c r="L53" s="24" t="str">
        <f t="shared" si="0"/>
        <v>Normal</v>
      </c>
      <c r="M53" s="23">
        <v>28.619599999999998</v>
      </c>
      <c r="N53" s="23">
        <f t="shared" si="1"/>
        <v>28.619599999999998</v>
      </c>
      <c r="O53" s="24" t="s">
        <v>527</v>
      </c>
      <c r="P53" s="23">
        <v>1.196</v>
      </c>
      <c r="Q53" s="29">
        <v>6.3299999999999995E-2</v>
      </c>
      <c r="R53" s="29"/>
      <c r="S53" s="24" t="s">
        <v>526</v>
      </c>
      <c r="T53" s="24" t="str">
        <f t="shared" si="2"/>
        <v>Censure haute</v>
      </c>
      <c r="U53" s="24" t="s">
        <v>35</v>
      </c>
      <c r="V53" s="24" t="str">
        <f t="shared" si="3"/>
        <v/>
      </c>
      <c r="W53" s="24" t="s">
        <v>527</v>
      </c>
      <c r="X53" s="23">
        <v>3.3340000000000001</v>
      </c>
      <c r="Y53" s="23">
        <v>1.8589</v>
      </c>
      <c r="Z53" s="23"/>
      <c r="AA53" s="24" t="s">
        <v>527</v>
      </c>
      <c r="AB53" s="24" t="str">
        <f t="shared" si="4"/>
        <v>Censure haute</v>
      </c>
      <c r="AC53" s="23" t="s">
        <v>35</v>
      </c>
      <c r="AD53" s="23" t="s">
        <v>561</v>
      </c>
      <c r="AE53" s="23" t="str">
        <f t="shared" si="5"/>
        <v/>
      </c>
      <c r="AF53" s="23"/>
      <c r="AG53" s="23" t="str">
        <f t="shared" si="6"/>
        <v/>
      </c>
      <c r="AH53" s="24" t="s">
        <v>527</v>
      </c>
      <c r="AI53" s="23">
        <v>2.0750000000000002</v>
      </c>
      <c r="AJ53" s="23">
        <v>0.6472</v>
      </c>
      <c r="AK53" s="23"/>
      <c r="AL53" s="24" t="s">
        <v>526</v>
      </c>
      <c r="AM53" s="24">
        <v>210</v>
      </c>
      <c r="AN53" s="24">
        <v>0</v>
      </c>
      <c r="AO53" s="24">
        <f>IF(ISBLANK(AM53),"",IF(AM53=92,IF(T53="Censure haute",120,""),IF(AB53="Censure haute",120,"")))</f>
        <v>120</v>
      </c>
    </row>
    <row r="54" spans="1:41" x14ac:dyDescent="0.3">
      <c r="A54" s="24" t="s">
        <v>106</v>
      </c>
      <c r="B54" s="24" t="s">
        <v>516</v>
      </c>
      <c r="C54" s="30" t="s">
        <v>519</v>
      </c>
      <c r="D54" s="26">
        <v>18.2</v>
      </c>
      <c r="E54" s="24" t="s">
        <v>521</v>
      </c>
      <c r="F54" s="27" t="s">
        <v>524</v>
      </c>
      <c r="G54" s="28"/>
      <c r="H54" s="28"/>
      <c r="I54" s="24">
        <v>15</v>
      </c>
      <c r="J54" s="24" t="s">
        <v>43</v>
      </c>
      <c r="K54" s="24" t="s">
        <v>527</v>
      </c>
      <c r="L54" s="24" t="str">
        <f t="shared" si="0"/>
        <v>Normal</v>
      </c>
      <c r="M54" s="23">
        <v>33.295200000000001</v>
      </c>
      <c r="N54" s="23">
        <f t="shared" si="1"/>
        <v>33.295200000000001</v>
      </c>
      <c r="O54" s="24" t="s">
        <v>527</v>
      </c>
      <c r="P54" s="23">
        <v>1.2230000000000001</v>
      </c>
      <c r="Q54" s="29">
        <v>6.5100000000000005E-2</v>
      </c>
      <c r="R54" s="29"/>
      <c r="S54" s="24" t="s">
        <v>526</v>
      </c>
      <c r="T54" s="24" t="str">
        <f t="shared" si="2"/>
        <v>Echec technique</v>
      </c>
      <c r="U54" s="24" t="s">
        <v>44</v>
      </c>
      <c r="V54" s="24" t="str">
        <f t="shared" si="3"/>
        <v/>
      </c>
      <c r="W54" s="24" t="s">
        <v>502</v>
      </c>
      <c r="X54" s="23">
        <v>2.9809999999999999</v>
      </c>
      <c r="Y54" s="23">
        <v>0.96860000000000002</v>
      </c>
      <c r="Z54" s="23"/>
      <c r="AA54" s="24" t="s">
        <v>526</v>
      </c>
      <c r="AB54" s="24" t="str">
        <f t="shared" si="4"/>
        <v>Non testé</v>
      </c>
      <c r="AC54" s="23" t="s">
        <v>44</v>
      </c>
      <c r="AD54" s="23" t="s">
        <v>561</v>
      </c>
      <c r="AE54" s="23" t="str">
        <f t="shared" si="5"/>
        <v/>
      </c>
      <c r="AF54" s="23"/>
      <c r="AG54" s="23" t="str">
        <f t="shared" si="6"/>
        <v/>
      </c>
      <c r="AH54" s="24" t="s">
        <v>502</v>
      </c>
      <c r="AI54" s="23">
        <v>2.4689999999999999</v>
      </c>
      <c r="AJ54" s="23">
        <v>3.6941999999999999</v>
      </c>
      <c r="AK54" s="23"/>
      <c r="AL54" s="24" t="s">
        <v>527</v>
      </c>
      <c r="AM54" s="24">
        <v>210</v>
      </c>
      <c r="AN54" s="24">
        <v>0</v>
      </c>
      <c r="AO54" s="24" t="str">
        <f>IF(ISBLANK(AM54),"",IF(AM54=92,IF(T54="Censure haute",120,""),IF(AB54="Censure haute",120,"")))</f>
        <v/>
      </c>
    </row>
    <row r="55" spans="1:41" x14ac:dyDescent="0.3">
      <c r="A55" s="24" t="s">
        <v>107</v>
      </c>
      <c r="B55" s="24" t="s">
        <v>516</v>
      </c>
      <c r="C55" s="25"/>
      <c r="D55" s="26">
        <v>17.2</v>
      </c>
      <c r="E55" s="24" t="s">
        <v>521</v>
      </c>
      <c r="F55" s="27" t="s">
        <v>524</v>
      </c>
      <c r="G55" s="28"/>
      <c r="H55" s="28"/>
      <c r="I55" s="24">
        <v>12</v>
      </c>
      <c r="J55" s="24" t="s">
        <v>33</v>
      </c>
      <c r="K55" s="24" t="s">
        <v>526</v>
      </c>
      <c r="L55" s="24" t="str">
        <f t="shared" si="0"/>
        <v>Normal</v>
      </c>
      <c r="M55" s="23">
        <v>33.142099999999999</v>
      </c>
      <c r="N55" s="23">
        <f t="shared" si="1"/>
        <v>33.142099999999999</v>
      </c>
      <c r="O55" s="24" t="s">
        <v>527</v>
      </c>
      <c r="P55" s="23">
        <v>1.2829999999999999</v>
      </c>
      <c r="Q55" s="29">
        <v>0.56040000000000001</v>
      </c>
      <c r="R55" s="29"/>
      <c r="S55" s="24" t="s">
        <v>526</v>
      </c>
      <c r="T55" s="24" t="str">
        <f t="shared" si="2"/>
        <v>Echec technique</v>
      </c>
      <c r="U55" s="24" t="s">
        <v>44</v>
      </c>
      <c r="V55" s="24" t="str">
        <f t="shared" si="3"/>
        <v/>
      </c>
      <c r="W55" s="24" t="s">
        <v>502</v>
      </c>
      <c r="X55" s="23">
        <v>3.29</v>
      </c>
      <c r="Y55" s="23">
        <v>6.7725999999999997</v>
      </c>
      <c r="Z55" s="23"/>
      <c r="AA55" s="24" t="s">
        <v>527</v>
      </c>
      <c r="AB55" s="24" t="str">
        <f t="shared" si="4"/>
        <v>Censure haute</v>
      </c>
      <c r="AC55" s="23" t="s">
        <v>35</v>
      </c>
      <c r="AD55" s="23" t="s">
        <v>561</v>
      </c>
      <c r="AE55" s="23" t="str">
        <f t="shared" si="5"/>
        <v/>
      </c>
      <c r="AF55" s="23"/>
      <c r="AG55" s="23" t="str">
        <f t="shared" si="6"/>
        <v/>
      </c>
      <c r="AH55" s="24" t="s">
        <v>527</v>
      </c>
      <c r="AI55" s="23">
        <v>2.581</v>
      </c>
      <c r="AJ55" s="23">
        <v>3.6414</v>
      </c>
      <c r="AK55" s="23"/>
      <c r="AL55" s="24" t="s">
        <v>527</v>
      </c>
      <c r="AM55" s="24">
        <v>210</v>
      </c>
      <c r="AN55" s="24">
        <v>0</v>
      </c>
      <c r="AO55" s="24">
        <f>IF(ISBLANK(AM55),"",IF(AM55=92,IF(T55="Censure haute",120,""),IF(AB55="Censure haute",120,"")))</f>
        <v>120</v>
      </c>
    </row>
    <row r="56" spans="1:41" x14ac:dyDescent="0.3">
      <c r="A56" s="24" t="s">
        <v>108</v>
      </c>
      <c r="B56" s="24" t="s">
        <v>517</v>
      </c>
      <c r="C56" s="25" t="s">
        <v>518</v>
      </c>
      <c r="D56" s="26">
        <v>24.2</v>
      </c>
      <c r="E56" s="24" t="s">
        <v>520</v>
      </c>
      <c r="F56" s="27" t="s">
        <v>524</v>
      </c>
      <c r="G56" s="28"/>
      <c r="H56" s="28"/>
      <c r="I56" s="24">
        <v>12</v>
      </c>
      <c r="J56" s="24" t="s">
        <v>33</v>
      </c>
      <c r="K56" s="24" t="s">
        <v>526</v>
      </c>
      <c r="L56" s="24" t="str">
        <f t="shared" si="0"/>
        <v>Normal</v>
      </c>
      <c r="M56" s="23">
        <v>37.97</v>
      </c>
      <c r="N56" s="23">
        <f t="shared" si="1"/>
        <v>37.97</v>
      </c>
      <c r="O56" s="24" t="s">
        <v>527</v>
      </c>
      <c r="P56" s="23">
        <v>1.4039999999999999</v>
      </c>
      <c r="Q56" s="29">
        <v>1.3153999999999999</v>
      </c>
      <c r="R56" s="29"/>
      <c r="S56" s="24" t="s">
        <v>527</v>
      </c>
      <c r="T56" s="24" t="str">
        <f t="shared" si="2"/>
        <v>Censure haute</v>
      </c>
      <c r="U56" s="24" t="s">
        <v>35</v>
      </c>
      <c r="V56" s="24" t="str">
        <f t="shared" si="3"/>
        <v/>
      </c>
      <c r="W56" s="24" t="s">
        <v>527</v>
      </c>
      <c r="X56" s="23">
        <v>0.93400000000000005</v>
      </c>
      <c r="Y56" s="23">
        <v>5.5284000000000004</v>
      </c>
      <c r="Z56" s="23"/>
      <c r="AA56" s="24" t="s">
        <v>527</v>
      </c>
      <c r="AB56" s="24" t="str">
        <f t="shared" si="4"/>
        <v>Censure haute</v>
      </c>
      <c r="AC56" s="23" t="s">
        <v>35</v>
      </c>
      <c r="AD56" s="23" t="s">
        <v>561</v>
      </c>
      <c r="AE56" s="23" t="str">
        <f t="shared" si="5"/>
        <v/>
      </c>
      <c r="AF56" s="23"/>
      <c r="AG56" s="23" t="str">
        <f t="shared" si="6"/>
        <v/>
      </c>
      <c r="AH56" s="24" t="s">
        <v>527</v>
      </c>
      <c r="AI56" s="23">
        <v>3.379</v>
      </c>
      <c r="AJ56" s="23">
        <v>1.6347</v>
      </c>
      <c r="AK56" s="23"/>
      <c r="AL56" s="24" t="s">
        <v>527</v>
      </c>
      <c r="AM56" s="24">
        <v>210</v>
      </c>
      <c r="AN56" s="24">
        <v>0</v>
      </c>
      <c r="AO56" s="24">
        <f>IF(ISBLANK(AM56),"",IF(AM56=92,IF(T56="Censure haute",120,""),IF(AB56="Censure haute",120,"")))</f>
        <v>120</v>
      </c>
    </row>
    <row r="57" spans="1:41" x14ac:dyDescent="0.3">
      <c r="A57" s="24" t="s">
        <v>109</v>
      </c>
      <c r="B57" s="24" t="s">
        <v>516</v>
      </c>
      <c r="C57" s="25" t="s">
        <v>519</v>
      </c>
      <c r="D57" s="26">
        <v>16.3</v>
      </c>
      <c r="E57" s="24" t="s">
        <v>521</v>
      </c>
      <c r="F57" s="27" t="s">
        <v>524</v>
      </c>
      <c r="G57" s="28"/>
      <c r="H57" s="28"/>
      <c r="I57" s="24">
        <v>12</v>
      </c>
      <c r="J57" s="24" t="s">
        <v>33</v>
      </c>
      <c r="K57" s="24" t="s">
        <v>526</v>
      </c>
      <c r="L57" s="24" t="str">
        <f t="shared" si="0"/>
        <v>Normal</v>
      </c>
      <c r="M57" s="23">
        <v>41.012700000000002</v>
      </c>
      <c r="N57" s="23">
        <f t="shared" si="1"/>
        <v>41.012700000000002</v>
      </c>
      <c r="O57" s="24" t="s">
        <v>527</v>
      </c>
      <c r="P57" s="23">
        <v>1.466</v>
      </c>
      <c r="Q57" s="29">
        <v>0.8</v>
      </c>
      <c r="R57" s="29"/>
      <c r="S57" s="24" t="s">
        <v>526</v>
      </c>
      <c r="T57" s="24" t="str">
        <f t="shared" si="2"/>
        <v>Censure haute</v>
      </c>
      <c r="U57" s="24" t="s">
        <v>35</v>
      </c>
      <c r="V57" s="24" t="str">
        <f t="shared" si="3"/>
        <v/>
      </c>
      <c r="W57" s="24" t="s">
        <v>527</v>
      </c>
      <c r="X57" s="23">
        <v>1.63</v>
      </c>
      <c r="Y57" s="23">
        <v>0.6159</v>
      </c>
      <c r="Z57" s="23"/>
      <c r="AA57" s="24" t="s">
        <v>526</v>
      </c>
      <c r="AB57" s="24" t="str">
        <f t="shared" si="4"/>
        <v>Censure haute</v>
      </c>
      <c r="AC57" s="23" t="s">
        <v>35</v>
      </c>
      <c r="AD57" s="23" t="s">
        <v>561</v>
      </c>
      <c r="AE57" s="23" t="str">
        <f t="shared" si="5"/>
        <v/>
      </c>
      <c r="AF57" s="23"/>
      <c r="AG57" s="23" t="str">
        <f t="shared" si="6"/>
        <v/>
      </c>
      <c r="AH57" s="24" t="s">
        <v>527</v>
      </c>
      <c r="AI57" s="23">
        <v>1.2110000000000001</v>
      </c>
      <c r="AJ57" s="23">
        <v>0.22539999999999999</v>
      </c>
      <c r="AK57" s="23"/>
      <c r="AL57" s="24" t="s">
        <v>526</v>
      </c>
      <c r="AM57" s="24">
        <v>210</v>
      </c>
      <c r="AN57" s="24">
        <v>0</v>
      </c>
      <c r="AO57" s="24">
        <f>IF(ISBLANK(AM57),"",IF(AM57=92,IF(T57="Censure haute",120,""),IF(AB57="Censure haute",120,"")))</f>
        <v>120</v>
      </c>
    </row>
    <row r="58" spans="1:41" x14ac:dyDescent="0.3">
      <c r="A58" s="24" t="s">
        <v>110</v>
      </c>
      <c r="B58" s="24" t="s">
        <v>517</v>
      </c>
      <c r="C58" s="30" t="s">
        <v>518</v>
      </c>
      <c r="D58" s="26">
        <v>17.399999999999999</v>
      </c>
      <c r="E58" s="24" t="s">
        <v>521</v>
      </c>
      <c r="F58" s="27" t="s">
        <v>525</v>
      </c>
      <c r="G58" s="28">
        <v>44453</v>
      </c>
      <c r="H58" s="28">
        <v>44476</v>
      </c>
      <c r="I58" s="24">
        <v>15</v>
      </c>
      <c r="J58" s="24" t="s">
        <v>43</v>
      </c>
      <c r="K58" s="24" t="s">
        <v>526</v>
      </c>
      <c r="L58" s="24" t="str">
        <f t="shared" si="0"/>
        <v>Normal</v>
      </c>
      <c r="M58" s="23">
        <v>39.207700000000003</v>
      </c>
      <c r="N58" s="23">
        <f t="shared" si="1"/>
        <v>39.207700000000003</v>
      </c>
      <c r="O58" s="24" t="s">
        <v>527</v>
      </c>
      <c r="P58" s="23">
        <v>1.5580000000000001</v>
      </c>
      <c r="Q58" s="29">
        <v>0.2462</v>
      </c>
      <c r="R58" s="29"/>
      <c r="S58" s="24" t="s">
        <v>526</v>
      </c>
      <c r="T58" s="24" t="str">
        <f t="shared" si="2"/>
        <v>Normal</v>
      </c>
      <c r="U58" s="24">
        <v>8.0638000000000005</v>
      </c>
      <c r="V58" s="24">
        <f t="shared" si="3"/>
        <v>8.0638000000000005</v>
      </c>
      <c r="W58" s="24" t="s">
        <v>503</v>
      </c>
      <c r="X58" s="23">
        <v>3.5</v>
      </c>
      <c r="Y58" s="23">
        <v>1.0508</v>
      </c>
      <c r="Z58" s="23"/>
      <c r="AA58" s="24" t="s">
        <v>526</v>
      </c>
      <c r="AB58" s="24" t="str">
        <f t="shared" si="4"/>
        <v>Normal</v>
      </c>
      <c r="AC58" s="23">
        <v>109065</v>
      </c>
      <c r="AD58" s="23">
        <v>10.906499999999999</v>
      </c>
      <c r="AE58" s="23" t="str">
        <f t="shared" si="5"/>
        <v/>
      </c>
      <c r="AF58" s="23"/>
      <c r="AG58" s="23" t="str">
        <f t="shared" si="6"/>
        <v/>
      </c>
      <c r="AH58" s="24" t="s">
        <v>503</v>
      </c>
      <c r="AI58" s="23">
        <v>2.8359999999999999</v>
      </c>
      <c r="AJ58" s="23">
        <v>0.76429999999999998</v>
      </c>
      <c r="AK58" s="23"/>
      <c r="AL58" s="24" t="s">
        <v>526</v>
      </c>
      <c r="AM58" s="24"/>
      <c r="AN58" s="24"/>
      <c r="AO58" s="24" t="str">
        <f>IF(ISBLANK(AM58),"",IF(AM58=92,IF(T58="Censure haute",120,""),IF(AB58="Censure haute",120,"")))</f>
        <v/>
      </c>
    </row>
    <row r="59" spans="1:41" x14ac:dyDescent="0.3">
      <c r="A59" s="24" t="s">
        <v>111</v>
      </c>
      <c r="B59" s="24" t="s">
        <v>516</v>
      </c>
      <c r="C59" s="25" t="s">
        <v>518</v>
      </c>
      <c r="D59" s="26">
        <v>18</v>
      </c>
      <c r="E59" s="24" t="s">
        <v>521</v>
      </c>
      <c r="F59" s="27" t="s">
        <v>524</v>
      </c>
      <c r="G59" s="28"/>
      <c r="H59" s="28"/>
      <c r="I59" s="24">
        <v>12</v>
      </c>
      <c r="J59" s="24" t="s">
        <v>33</v>
      </c>
      <c r="K59" s="24" t="s">
        <v>526</v>
      </c>
      <c r="L59" s="24" t="str">
        <f t="shared" si="0"/>
        <v>Normal</v>
      </c>
      <c r="M59" s="23">
        <v>49.32</v>
      </c>
      <c r="N59" s="23">
        <f t="shared" si="1"/>
        <v>49.32</v>
      </c>
      <c r="O59" s="24" t="s">
        <v>527</v>
      </c>
      <c r="P59" s="23">
        <v>1.6739999999999999</v>
      </c>
      <c r="Q59" s="29">
        <v>1.5604</v>
      </c>
      <c r="R59" s="29"/>
      <c r="S59" s="24" t="s">
        <v>527</v>
      </c>
      <c r="T59" s="24" t="str">
        <f t="shared" si="2"/>
        <v>Echec technique</v>
      </c>
      <c r="U59" s="24" t="s">
        <v>44</v>
      </c>
      <c r="V59" s="24" t="str">
        <f t="shared" si="3"/>
        <v/>
      </c>
      <c r="W59" s="24" t="s">
        <v>502</v>
      </c>
      <c r="X59" s="23">
        <v>0.97099999999999997</v>
      </c>
      <c r="Y59" s="23">
        <v>2.0464000000000002</v>
      </c>
      <c r="Z59" s="23"/>
      <c r="AA59" s="24" t="s">
        <v>527</v>
      </c>
      <c r="AB59" s="24" t="str">
        <f t="shared" si="4"/>
        <v>Censure haute</v>
      </c>
      <c r="AC59" s="23" t="s">
        <v>35</v>
      </c>
      <c r="AD59" s="23" t="s">
        <v>561</v>
      </c>
      <c r="AE59" s="23" t="str">
        <f t="shared" si="5"/>
        <v/>
      </c>
      <c r="AF59" s="23"/>
      <c r="AG59" s="23" t="str">
        <f t="shared" si="6"/>
        <v/>
      </c>
      <c r="AH59" s="24" t="s">
        <v>527</v>
      </c>
      <c r="AI59" s="23">
        <v>0.74099999999999999</v>
      </c>
      <c r="AJ59" s="23">
        <v>1.6107</v>
      </c>
      <c r="AK59" s="23"/>
      <c r="AL59" s="24" t="s">
        <v>527</v>
      </c>
      <c r="AM59" s="24">
        <v>210</v>
      </c>
      <c r="AN59" s="24">
        <v>0</v>
      </c>
      <c r="AO59" s="24">
        <f>IF(ISBLANK(AM59),"",IF(AM59=92,IF(T59="Censure haute",120,""),IF(AB59="Censure haute",120,"")))</f>
        <v>120</v>
      </c>
    </row>
    <row r="60" spans="1:41" x14ac:dyDescent="0.3">
      <c r="A60" s="24" t="s">
        <v>112</v>
      </c>
      <c r="B60" s="24" t="s">
        <v>517</v>
      </c>
      <c r="C60" s="30" t="s">
        <v>518</v>
      </c>
      <c r="D60" s="26">
        <v>17.399999999999999</v>
      </c>
      <c r="E60" s="24" t="s">
        <v>521</v>
      </c>
      <c r="F60" s="27" t="s">
        <v>524</v>
      </c>
      <c r="G60" s="28"/>
      <c r="H60" s="28"/>
      <c r="I60" s="24">
        <v>15</v>
      </c>
      <c r="J60" s="24" t="s">
        <v>43</v>
      </c>
      <c r="K60" s="24" t="s">
        <v>526</v>
      </c>
      <c r="L60" s="24" t="str">
        <f t="shared" si="0"/>
        <v>Normal</v>
      </c>
      <c r="M60" s="23">
        <v>54.384900000000002</v>
      </c>
      <c r="N60" s="23">
        <f t="shared" si="1"/>
        <v>54.384900000000002</v>
      </c>
      <c r="O60" s="24" t="s">
        <v>527</v>
      </c>
      <c r="P60" s="23">
        <v>1.7410000000000001</v>
      </c>
      <c r="Q60" s="29">
        <v>9.6100000000000005E-2</v>
      </c>
      <c r="R60" s="29"/>
      <c r="S60" s="24" t="s">
        <v>526</v>
      </c>
      <c r="T60" s="24" t="str">
        <f t="shared" si="2"/>
        <v>Censure haute</v>
      </c>
      <c r="U60" s="24" t="s">
        <v>35</v>
      </c>
      <c r="V60" s="24" t="str">
        <f t="shared" si="3"/>
        <v/>
      </c>
      <c r="W60" s="24" t="s">
        <v>527</v>
      </c>
      <c r="X60" s="23">
        <v>1.2490000000000001</v>
      </c>
      <c r="Y60" s="23">
        <v>0.62329999999999997</v>
      </c>
      <c r="Z60" s="23"/>
      <c r="AA60" s="24" t="s">
        <v>526</v>
      </c>
      <c r="AB60" s="24" t="str">
        <f t="shared" si="4"/>
        <v>Censure haute</v>
      </c>
      <c r="AC60" s="23" t="s">
        <v>35</v>
      </c>
      <c r="AD60" s="23" t="s">
        <v>561</v>
      </c>
      <c r="AE60" s="23" t="str">
        <f t="shared" si="5"/>
        <v/>
      </c>
      <c r="AF60" s="23"/>
      <c r="AG60" s="23" t="str">
        <f t="shared" si="6"/>
        <v/>
      </c>
      <c r="AH60" s="24" t="s">
        <v>527</v>
      </c>
      <c r="AI60" s="23">
        <v>1.093</v>
      </c>
      <c r="AJ60" s="23">
        <v>0.56399999999999995</v>
      </c>
      <c r="AK60" s="23"/>
      <c r="AL60" s="24" t="s">
        <v>526</v>
      </c>
      <c r="AM60" s="24">
        <v>210</v>
      </c>
      <c r="AN60" s="24">
        <v>0</v>
      </c>
      <c r="AO60" s="24">
        <f>IF(ISBLANK(AM60),"",IF(AM60=92,IF(T60="Censure haute",120,""),IF(AB60="Censure haute",120,"")))</f>
        <v>120</v>
      </c>
    </row>
    <row r="61" spans="1:41" x14ac:dyDescent="0.3">
      <c r="A61" s="24" t="s">
        <v>113</v>
      </c>
      <c r="B61" s="24" t="s">
        <v>516</v>
      </c>
      <c r="C61" s="25" t="s">
        <v>518</v>
      </c>
      <c r="D61" s="26">
        <v>35.5</v>
      </c>
      <c r="E61" s="24" t="s">
        <v>522</v>
      </c>
      <c r="F61" s="27" t="s">
        <v>524</v>
      </c>
      <c r="G61" s="28"/>
      <c r="H61" s="28"/>
      <c r="I61" s="24">
        <v>14</v>
      </c>
      <c r="J61" s="24" t="s">
        <v>43</v>
      </c>
      <c r="K61" s="24" t="s">
        <v>526</v>
      </c>
      <c r="L61" s="24" t="str">
        <f t="shared" si="0"/>
        <v>Normal</v>
      </c>
      <c r="M61" s="23">
        <v>51.521700000000003</v>
      </c>
      <c r="N61" s="23">
        <f t="shared" si="1"/>
        <v>51.521700000000003</v>
      </c>
      <c r="O61" s="24" t="s">
        <v>527</v>
      </c>
      <c r="P61" s="23">
        <v>1.7789999999999999</v>
      </c>
      <c r="Q61" s="29">
        <v>0.42949999999999999</v>
      </c>
      <c r="R61" s="29"/>
      <c r="S61" s="24" t="s">
        <v>526</v>
      </c>
      <c r="T61" s="24" t="str">
        <f t="shared" si="2"/>
        <v>Censure haute</v>
      </c>
      <c r="U61" s="24" t="s">
        <v>35</v>
      </c>
      <c r="V61" s="24" t="str">
        <f t="shared" si="3"/>
        <v/>
      </c>
      <c r="W61" s="24" t="s">
        <v>527</v>
      </c>
      <c r="X61" s="23">
        <v>3.1019999999999999</v>
      </c>
      <c r="Y61" s="23">
        <v>0.36420000000000002</v>
      </c>
      <c r="Z61" s="23"/>
      <c r="AA61" s="24" t="s">
        <v>526</v>
      </c>
      <c r="AB61" s="24" t="str">
        <f t="shared" si="4"/>
        <v>Non testé</v>
      </c>
      <c r="AC61" s="23" t="s">
        <v>44</v>
      </c>
      <c r="AD61" s="23" t="s">
        <v>561</v>
      </c>
      <c r="AE61" s="23" t="str">
        <f t="shared" si="5"/>
        <v/>
      </c>
      <c r="AF61" s="23"/>
      <c r="AG61" s="23" t="str">
        <f t="shared" si="6"/>
        <v/>
      </c>
      <c r="AH61" s="24" t="s">
        <v>502</v>
      </c>
      <c r="AI61" s="23">
        <v>2.8069999999999999</v>
      </c>
      <c r="AJ61" s="23">
        <v>3.3653</v>
      </c>
      <c r="AK61" s="23"/>
      <c r="AL61" s="24" t="s">
        <v>527</v>
      </c>
      <c r="AM61" s="24">
        <v>210</v>
      </c>
      <c r="AN61" s="24">
        <v>0</v>
      </c>
      <c r="AO61" s="24" t="str">
        <f>IF(ISBLANK(AM61),"",IF(AM61=92,IF(T61="Censure haute",120,""),IF(AB61="Censure haute",120,"")))</f>
        <v/>
      </c>
    </row>
    <row r="62" spans="1:41" x14ac:dyDescent="0.3">
      <c r="A62" s="24" t="s">
        <v>114</v>
      </c>
      <c r="B62" s="24" t="s">
        <v>516</v>
      </c>
      <c r="C62" s="25" t="s">
        <v>518</v>
      </c>
      <c r="D62" s="26">
        <v>25.5</v>
      </c>
      <c r="E62" s="24" t="s">
        <v>520</v>
      </c>
      <c r="F62" s="27" t="s">
        <v>524</v>
      </c>
      <c r="G62" s="28"/>
      <c r="H62" s="28"/>
      <c r="I62" s="24">
        <v>12</v>
      </c>
      <c r="J62" s="24" t="s">
        <v>33</v>
      </c>
      <c r="K62" s="24" t="s">
        <v>527</v>
      </c>
      <c r="L62" s="24" t="str">
        <f t="shared" si="0"/>
        <v>Normal</v>
      </c>
      <c r="M62" s="23">
        <v>64.565200000000004</v>
      </c>
      <c r="N62" s="23">
        <f t="shared" si="1"/>
        <v>64.565200000000004</v>
      </c>
      <c r="O62" s="24" t="s">
        <v>527</v>
      </c>
      <c r="P62" s="23">
        <v>2.0190000000000001</v>
      </c>
      <c r="Q62" s="29">
        <v>0.1477</v>
      </c>
      <c r="R62" s="29"/>
      <c r="S62" s="24" t="s">
        <v>526</v>
      </c>
      <c r="T62" s="24" t="str">
        <f t="shared" si="2"/>
        <v>Echec technique</v>
      </c>
      <c r="U62" s="24" t="s">
        <v>44</v>
      </c>
      <c r="V62" s="24" t="str">
        <f t="shared" si="3"/>
        <v/>
      </c>
      <c r="W62" s="24" t="s">
        <v>502</v>
      </c>
      <c r="X62" s="23">
        <v>1.466</v>
      </c>
      <c r="Y62" s="23">
        <v>0.50319999999999998</v>
      </c>
      <c r="Z62" s="23"/>
      <c r="AA62" s="24" t="s">
        <v>526</v>
      </c>
      <c r="AB62" s="24" t="str">
        <f t="shared" si="4"/>
        <v>Censure haute</v>
      </c>
      <c r="AC62" s="23" t="s">
        <v>35</v>
      </c>
      <c r="AD62" s="23" t="s">
        <v>561</v>
      </c>
      <c r="AE62" s="23" t="str">
        <f t="shared" si="5"/>
        <v/>
      </c>
      <c r="AF62" s="23"/>
      <c r="AG62" s="23" t="str">
        <f t="shared" si="6"/>
        <v/>
      </c>
      <c r="AH62" s="24" t="s">
        <v>527</v>
      </c>
      <c r="AI62" s="23">
        <v>2.407</v>
      </c>
      <c r="AJ62" s="23">
        <v>0.62629999999999997</v>
      </c>
      <c r="AK62" s="23"/>
      <c r="AL62" s="24" t="s">
        <v>526</v>
      </c>
      <c r="AM62" s="24">
        <v>210</v>
      </c>
      <c r="AN62" s="24">
        <v>0</v>
      </c>
      <c r="AO62" s="24">
        <f>IF(ISBLANK(AM62),"",IF(AM62=92,IF(T62="Censure haute",120,""),IF(AB62="Censure haute",120,"")))</f>
        <v>120</v>
      </c>
    </row>
    <row r="63" spans="1:41" x14ac:dyDescent="0.3">
      <c r="A63" s="24" t="s">
        <v>115</v>
      </c>
      <c r="B63" s="24" t="s">
        <v>516</v>
      </c>
      <c r="C63" s="25"/>
      <c r="D63" s="26">
        <v>18.899999999999999</v>
      </c>
      <c r="E63" s="24" t="s">
        <v>521</v>
      </c>
      <c r="F63" s="27" t="s">
        <v>524</v>
      </c>
      <c r="G63" s="28"/>
      <c r="H63" s="28"/>
      <c r="I63" s="24">
        <v>12</v>
      </c>
      <c r="J63" s="24" t="s">
        <v>33</v>
      </c>
      <c r="K63" s="24" t="s">
        <v>526</v>
      </c>
      <c r="L63" s="24" t="str">
        <f t="shared" si="0"/>
        <v>Normal</v>
      </c>
      <c r="M63" s="23">
        <v>66.119900000000001</v>
      </c>
      <c r="N63" s="23">
        <f t="shared" si="1"/>
        <v>66.119900000000001</v>
      </c>
      <c r="O63" s="24" t="s">
        <v>527</v>
      </c>
      <c r="P63" s="23">
        <v>2.02</v>
      </c>
      <c r="Q63" s="29">
        <v>0.28170000000000001</v>
      </c>
      <c r="R63" s="29"/>
      <c r="S63" s="24" t="s">
        <v>526</v>
      </c>
      <c r="T63" s="24" t="str">
        <f t="shared" si="2"/>
        <v>Echec technique</v>
      </c>
      <c r="U63" s="24" t="s">
        <v>44</v>
      </c>
      <c r="V63" s="24" t="str">
        <f t="shared" si="3"/>
        <v/>
      </c>
      <c r="W63" s="24" t="s">
        <v>502</v>
      </c>
      <c r="X63" s="23">
        <v>3.5</v>
      </c>
      <c r="Y63" s="23">
        <v>0.32</v>
      </c>
      <c r="Z63" s="23"/>
      <c r="AA63" s="24" t="s">
        <v>526</v>
      </c>
      <c r="AB63" s="24" t="str">
        <f t="shared" si="4"/>
        <v>Censure haute</v>
      </c>
      <c r="AC63" s="23" t="s">
        <v>35</v>
      </c>
      <c r="AD63" s="23" t="s">
        <v>561</v>
      </c>
      <c r="AE63" s="23" t="str">
        <f t="shared" si="5"/>
        <v/>
      </c>
      <c r="AF63" s="23"/>
      <c r="AG63" s="23" t="str">
        <f t="shared" si="6"/>
        <v/>
      </c>
      <c r="AH63" s="24" t="s">
        <v>527</v>
      </c>
      <c r="AI63" s="23">
        <v>3.5</v>
      </c>
      <c r="AJ63" s="23">
        <v>0.25469999999999998</v>
      </c>
      <c r="AK63" s="23"/>
      <c r="AL63" s="24" t="s">
        <v>526</v>
      </c>
      <c r="AM63" s="24">
        <v>210</v>
      </c>
      <c r="AN63" s="24">
        <v>0</v>
      </c>
      <c r="AO63" s="24">
        <f>IF(ISBLANK(AM63),"",IF(AM63=92,IF(T63="Censure haute",120,""),IF(AB63="Censure haute",120,"")))</f>
        <v>120</v>
      </c>
    </row>
    <row r="64" spans="1:41" x14ac:dyDescent="0.3">
      <c r="A64" s="24" t="s">
        <v>116</v>
      </c>
      <c r="B64" s="24" t="s">
        <v>516</v>
      </c>
      <c r="C64" s="30" t="s">
        <v>519</v>
      </c>
      <c r="D64" s="26">
        <v>17.8</v>
      </c>
      <c r="E64" s="24" t="s">
        <v>521</v>
      </c>
      <c r="F64" s="27" t="s">
        <v>524</v>
      </c>
      <c r="G64" s="28"/>
      <c r="H64" s="28"/>
      <c r="I64" s="24">
        <v>11</v>
      </c>
      <c r="J64" s="24" t="s">
        <v>33</v>
      </c>
      <c r="K64" s="24" t="s">
        <v>527</v>
      </c>
      <c r="L64" s="24" t="str">
        <f t="shared" si="0"/>
        <v>Normal</v>
      </c>
      <c r="M64" s="23">
        <v>68.7697</v>
      </c>
      <c r="N64" s="23">
        <f t="shared" si="1"/>
        <v>68.7697</v>
      </c>
      <c r="O64" s="24" t="s">
        <v>527</v>
      </c>
      <c r="P64" s="23">
        <v>2.0830000000000002</v>
      </c>
      <c r="Q64" s="29">
        <v>0.158</v>
      </c>
      <c r="R64" s="29"/>
      <c r="S64" s="24" t="s">
        <v>526</v>
      </c>
      <c r="T64" s="24" t="str">
        <f t="shared" si="2"/>
        <v>Echec technique</v>
      </c>
      <c r="U64" s="24" t="s">
        <v>44</v>
      </c>
      <c r="V64" s="24" t="str">
        <f t="shared" si="3"/>
        <v/>
      </c>
      <c r="W64" s="24" t="s">
        <v>502</v>
      </c>
      <c r="X64" s="23">
        <v>1.405</v>
      </c>
      <c r="Y64" s="23">
        <v>1.5672999999999999</v>
      </c>
      <c r="Z64" s="23"/>
      <c r="AA64" s="24" t="s">
        <v>527</v>
      </c>
      <c r="AB64" s="24" t="str">
        <f t="shared" si="4"/>
        <v>Normal</v>
      </c>
      <c r="AC64" s="23">
        <v>118004</v>
      </c>
      <c r="AD64" s="23">
        <v>11.8004</v>
      </c>
      <c r="AE64" s="23" t="str">
        <f t="shared" si="5"/>
        <v/>
      </c>
      <c r="AF64" s="23"/>
      <c r="AG64" s="23" t="str">
        <f t="shared" si="6"/>
        <v/>
      </c>
      <c r="AH64" s="24" t="s">
        <v>527</v>
      </c>
      <c r="AI64" s="23">
        <v>1.0429999999999999</v>
      </c>
      <c r="AJ64" s="23">
        <v>0.86160000000000003</v>
      </c>
      <c r="AK64" s="23"/>
      <c r="AL64" s="24" t="s">
        <v>526</v>
      </c>
      <c r="AM64" s="24">
        <v>182</v>
      </c>
      <c r="AN64" s="24">
        <v>1</v>
      </c>
      <c r="AO64" s="24" t="str">
        <f>IF(ISBLANK(AM64),"",IF(AM64=92,IF(T64="Censure haute",120,""),IF(AB64="Censure haute",120,"")))</f>
        <v/>
      </c>
    </row>
    <row r="65" spans="1:41" x14ac:dyDescent="0.3">
      <c r="A65" s="24" t="s">
        <v>117</v>
      </c>
      <c r="B65" s="24" t="s">
        <v>516</v>
      </c>
      <c r="C65" s="30" t="s">
        <v>519</v>
      </c>
      <c r="D65" s="26">
        <v>20.2</v>
      </c>
      <c r="E65" s="24" t="s">
        <v>521</v>
      </c>
      <c r="F65" s="27" t="s">
        <v>524</v>
      </c>
      <c r="G65" s="28"/>
      <c r="H65" s="28"/>
      <c r="I65" s="24">
        <v>15</v>
      </c>
      <c r="J65" s="24" t="s">
        <v>43</v>
      </c>
      <c r="K65" s="24" t="s">
        <v>527</v>
      </c>
      <c r="L65" s="24" t="str">
        <f t="shared" si="0"/>
        <v>Normal</v>
      </c>
      <c r="M65" s="23">
        <v>102.3404</v>
      </c>
      <c r="N65" s="23">
        <f t="shared" si="1"/>
        <v>102.3404</v>
      </c>
      <c r="O65" s="24" t="s">
        <v>527</v>
      </c>
      <c r="P65" s="23">
        <v>2.4550000000000001</v>
      </c>
      <c r="Q65" s="29">
        <v>9.7699999999999995E-2</v>
      </c>
      <c r="R65" s="29"/>
      <c r="S65" s="24" t="s">
        <v>526</v>
      </c>
      <c r="T65" s="24" t="str">
        <f t="shared" si="2"/>
        <v>Censure haute</v>
      </c>
      <c r="U65" s="24" t="s">
        <v>35</v>
      </c>
      <c r="V65" s="24" t="str">
        <f t="shared" si="3"/>
        <v/>
      </c>
      <c r="W65" s="24" t="s">
        <v>527</v>
      </c>
      <c r="X65" s="23">
        <v>3.0619999999999998</v>
      </c>
      <c r="Y65" s="23">
        <v>3.9350000000000001</v>
      </c>
      <c r="Z65" s="23"/>
      <c r="AA65" s="24" t="s">
        <v>527</v>
      </c>
      <c r="AB65" s="24" t="str">
        <f t="shared" si="4"/>
        <v>Censure haute</v>
      </c>
      <c r="AC65" s="23" t="s">
        <v>35</v>
      </c>
      <c r="AD65" s="23" t="s">
        <v>561</v>
      </c>
      <c r="AE65" s="23" t="str">
        <f t="shared" si="5"/>
        <v/>
      </c>
      <c r="AF65" s="23"/>
      <c r="AG65" s="23" t="str">
        <f t="shared" si="6"/>
        <v/>
      </c>
      <c r="AH65" s="24" t="s">
        <v>527</v>
      </c>
      <c r="AI65" s="23">
        <v>3.5</v>
      </c>
      <c r="AJ65" s="23">
        <v>2.1301999999999999</v>
      </c>
      <c r="AK65" s="23"/>
      <c r="AL65" s="24" t="s">
        <v>527</v>
      </c>
      <c r="AM65" s="24">
        <v>210</v>
      </c>
      <c r="AN65" s="24">
        <v>0</v>
      </c>
      <c r="AO65" s="24">
        <f>IF(ISBLANK(AM65),"",IF(AM65=92,IF(T65="Censure haute",120,""),IF(AB65="Censure haute",120,"")))</f>
        <v>120</v>
      </c>
    </row>
    <row r="66" spans="1:41" x14ac:dyDescent="0.3">
      <c r="A66" s="24" t="s">
        <v>118</v>
      </c>
      <c r="B66" s="24" t="s">
        <v>516</v>
      </c>
      <c r="C66" s="25" t="s">
        <v>518</v>
      </c>
      <c r="D66" s="26">
        <v>17.899999999999999</v>
      </c>
      <c r="E66" s="24" t="s">
        <v>521</v>
      </c>
      <c r="F66" s="27" t="s">
        <v>525</v>
      </c>
      <c r="G66" s="28">
        <v>44453</v>
      </c>
      <c r="H66" s="28">
        <v>44476</v>
      </c>
      <c r="I66" s="24">
        <v>15</v>
      </c>
      <c r="J66" s="24" t="s">
        <v>43</v>
      </c>
      <c r="K66" s="24" t="s">
        <v>527</v>
      </c>
      <c r="L66" s="24" t="str">
        <f t="shared" si="0"/>
        <v>Normal</v>
      </c>
      <c r="M66" s="23">
        <v>95.032399999999996</v>
      </c>
      <c r="N66" s="23">
        <f t="shared" si="1"/>
        <v>95.032399999999996</v>
      </c>
      <c r="O66" s="24" t="s">
        <v>527</v>
      </c>
      <c r="P66" s="23">
        <v>2.536</v>
      </c>
      <c r="Q66" s="29">
        <v>1.6353</v>
      </c>
      <c r="R66" s="29">
        <v>1.6913</v>
      </c>
      <c r="S66" s="24" t="s">
        <v>527</v>
      </c>
      <c r="T66" s="24" t="str">
        <f t="shared" si="2"/>
        <v>Censure haute</v>
      </c>
      <c r="U66" s="24" t="s">
        <v>35</v>
      </c>
      <c r="V66" s="24" t="str">
        <f t="shared" si="3"/>
        <v/>
      </c>
      <c r="W66" s="24" t="s">
        <v>527</v>
      </c>
      <c r="X66" s="23">
        <v>2.899</v>
      </c>
      <c r="Y66" s="23">
        <v>5.6421000000000001</v>
      </c>
      <c r="Z66" s="23"/>
      <c r="AA66" s="24" t="s">
        <v>527</v>
      </c>
      <c r="AB66" s="24" t="str">
        <f t="shared" si="4"/>
        <v>Censure haute</v>
      </c>
      <c r="AC66" s="23" t="s">
        <v>35</v>
      </c>
      <c r="AD66" s="23" t="s">
        <v>561</v>
      </c>
      <c r="AE66" s="23" t="str">
        <f t="shared" si="5"/>
        <v/>
      </c>
      <c r="AF66" s="23"/>
      <c r="AG66" s="23" t="str">
        <f t="shared" si="6"/>
        <v/>
      </c>
      <c r="AH66" s="24" t="s">
        <v>527</v>
      </c>
      <c r="AI66" s="23">
        <v>2.2839999999999998</v>
      </c>
      <c r="AJ66" s="23">
        <v>2.3967000000000001</v>
      </c>
      <c r="AK66" s="23"/>
      <c r="AL66" s="24" t="s">
        <v>527</v>
      </c>
      <c r="AM66" s="24">
        <v>210</v>
      </c>
      <c r="AN66" s="24">
        <v>0</v>
      </c>
      <c r="AO66" s="24">
        <f>IF(ISBLANK(AM66),"",IF(AM66=92,IF(T66="Censure haute",120,""),IF(AB66="Censure haute",120,"")))</f>
        <v>120</v>
      </c>
    </row>
    <row r="67" spans="1:41" x14ac:dyDescent="0.3">
      <c r="A67" s="24" t="s">
        <v>120</v>
      </c>
      <c r="B67" s="24" t="s">
        <v>517</v>
      </c>
      <c r="C67" s="25" t="s">
        <v>519</v>
      </c>
      <c r="D67" s="26">
        <v>30.5</v>
      </c>
      <c r="E67" s="24" t="s">
        <v>522</v>
      </c>
      <c r="F67" s="27" t="s">
        <v>525</v>
      </c>
      <c r="G67" s="28">
        <v>44453</v>
      </c>
      <c r="H67" s="28">
        <v>44477</v>
      </c>
      <c r="I67" s="24">
        <v>12</v>
      </c>
      <c r="J67" s="24" t="s">
        <v>33</v>
      </c>
      <c r="K67" s="24" t="s">
        <v>526</v>
      </c>
      <c r="L67" s="24" t="str">
        <f t="shared" ref="L67:L130" si="7">IF(LEFT(M67,1)="&gt;","Censure haute",IF(M67="*****","Non testé","Normal"))</f>
        <v>Normal</v>
      </c>
      <c r="M67" s="23">
        <v>101.8575</v>
      </c>
      <c r="N67" s="23">
        <f t="shared" ref="N67:N130" si="8">IFERROR(VALUE(M67),"")</f>
        <v>101.8575</v>
      </c>
      <c r="O67" s="24" t="s">
        <v>527</v>
      </c>
      <c r="P67" s="23">
        <v>2.6150000000000002</v>
      </c>
      <c r="Q67" s="29">
        <v>2.2622</v>
      </c>
      <c r="R67" s="29"/>
      <c r="S67" s="24" t="s">
        <v>527</v>
      </c>
      <c r="T67" s="24" t="str">
        <f t="shared" ref="T67:T130" si="9">IF(LEFT(U67,1)="&gt;","Censure haute",IF(U67="*****","Echec technique","Normal"))</f>
        <v>Normal</v>
      </c>
      <c r="U67" s="24">
        <v>38.194400000000002</v>
      </c>
      <c r="V67" s="24">
        <f t="shared" ref="V67:V130" si="10">IFERROR(VALUE(U67),"")</f>
        <v>38.194400000000002</v>
      </c>
      <c r="W67" s="24" t="s">
        <v>527</v>
      </c>
      <c r="X67" s="23">
        <v>3.5</v>
      </c>
      <c r="Y67" s="23">
        <v>1.5475000000000001</v>
      </c>
      <c r="Z67" s="23"/>
      <c r="AA67" s="24" t="s">
        <v>527</v>
      </c>
      <c r="AB67" s="24" t="str">
        <f t="shared" ref="AB67:AB130" si="11">IF(LEFT(AC67,1)="&gt;","Censure haute",IF(AC67="*****","Non testé","Normal"))</f>
        <v>Normal</v>
      </c>
      <c r="AC67" s="23">
        <v>282991</v>
      </c>
      <c r="AD67" s="23">
        <v>28.299099999999999</v>
      </c>
      <c r="AE67" s="23" t="str">
        <f t="shared" ref="AE67:AE130" si="12">IF(ISBLANK(AF67),"",IF(LEFT(AF67,1)="&gt;","Censure haute",IF(AF67="*****","Non testé","Normal")))</f>
        <v/>
      </c>
      <c r="AF67" s="23"/>
      <c r="AG67" s="23" t="str">
        <f t="shared" ref="AG67:AG130" si="13">IF(ISBLANK(AF67),"",IFERROR(VALUE(AF67),""))</f>
        <v/>
      </c>
      <c r="AH67" s="24" t="s">
        <v>527</v>
      </c>
      <c r="AI67" s="23">
        <v>3.4169999999999998</v>
      </c>
      <c r="AJ67" s="23">
        <v>0.91120000000000001</v>
      </c>
      <c r="AK67" s="23">
        <v>0.88839999999999997</v>
      </c>
      <c r="AL67" s="24" t="s">
        <v>526</v>
      </c>
      <c r="AM67" s="24"/>
      <c r="AN67" s="24"/>
      <c r="AO67" s="24" t="str">
        <f>IF(ISBLANK(AM67),"",IF(AM67=92,IF(T67="Censure haute",120,""),IF(AB67="Censure haute",120,"")))</f>
        <v/>
      </c>
    </row>
    <row r="68" spans="1:41" x14ac:dyDescent="0.3">
      <c r="A68" s="24" t="s">
        <v>122</v>
      </c>
      <c r="B68" s="24" t="s">
        <v>516</v>
      </c>
      <c r="C68" s="30"/>
      <c r="D68" s="26">
        <v>16.2</v>
      </c>
      <c r="E68" s="24" t="s">
        <v>521</v>
      </c>
      <c r="F68" s="27" t="s">
        <v>524</v>
      </c>
      <c r="G68" s="28"/>
      <c r="H68" s="28"/>
      <c r="I68" s="24">
        <v>12</v>
      </c>
      <c r="J68" s="24" t="s">
        <v>33</v>
      </c>
      <c r="K68" s="24" t="s">
        <v>526</v>
      </c>
      <c r="L68" s="24" t="str">
        <f t="shared" si="7"/>
        <v>Censure haute</v>
      </c>
      <c r="M68" s="23" t="s">
        <v>35</v>
      </c>
      <c r="N68" s="23" t="str">
        <f t="shared" si="8"/>
        <v/>
      </c>
      <c r="O68" s="24" t="s">
        <v>527</v>
      </c>
      <c r="P68" s="23">
        <v>2.69</v>
      </c>
      <c r="Q68" s="29">
        <v>6.3500000000000001E-2</v>
      </c>
      <c r="R68" s="29"/>
      <c r="S68" s="24" t="s">
        <v>526</v>
      </c>
      <c r="T68" s="24" t="str">
        <f t="shared" si="9"/>
        <v>Echec technique</v>
      </c>
      <c r="U68" s="24" t="s">
        <v>44</v>
      </c>
      <c r="V68" s="24" t="str">
        <f t="shared" si="10"/>
        <v/>
      </c>
      <c r="W68" s="24" t="s">
        <v>502</v>
      </c>
      <c r="X68" s="23">
        <v>3.3780000000000001</v>
      </c>
      <c r="Y68" s="23">
        <v>1.8250999999999999</v>
      </c>
      <c r="Z68" s="23"/>
      <c r="AA68" s="24" t="s">
        <v>527</v>
      </c>
      <c r="AB68" s="24" t="str">
        <f t="shared" si="11"/>
        <v>Censure haute</v>
      </c>
      <c r="AC68" s="24" t="s">
        <v>35</v>
      </c>
      <c r="AD68" s="23" t="s">
        <v>561</v>
      </c>
      <c r="AE68" s="23" t="str">
        <f t="shared" si="12"/>
        <v/>
      </c>
      <c r="AF68" s="24"/>
      <c r="AG68" s="23" t="str">
        <f t="shared" si="13"/>
        <v/>
      </c>
      <c r="AH68" s="24" t="s">
        <v>527</v>
      </c>
      <c r="AI68" s="23">
        <v>3.0169999999999999</v>
      </c>
      <c r="AJ68" s="23">
        <v>0.626</v>
      </c>
      <c r="AK68" s="23"/>
      <c r="AL68" s="24" t="s">
        <v>526</v>
      </c>
      <c r="AM68" s="24">
        <v>210</v>
      </c>
      <c r="AN68" s="24">
        <v>0</v>
      </c>
      <c r="AO68" s="24">
        <f>IF(ISBLANK(AM68),"",IF(AM68=92,IF(T68="Censure haute",120,""),IF(AB68="Censure haute",120,"")))</f>
        <v>120</v>
      </c>
    </row>
    <row r="69" spans="1:41" x14ac:dyDescent="0.3">
      <c r="A69" s="24" t="s">
        <v>123</v>
      </c>
      <c r="B69" s="24" t="s">
        <v>516</v>
      </c>
      <c r="C69" s="25"/>
      <c r="D69" s="26">
        <v>22.9</v>
      </c>
      <c r="E69" s="24" t="s">
        <v>521</v>
      </c>
      <c r="F69" s="27" t="s">
        <v>525</v>
      </c>
      <c r="G69" s="28">
        <v>44454</v>
      </c>
      <c r="H69" s="28">
        <v>44476</v>
      </c>
      <c r="I69" s="24">
        <v>15</v>
      </c>
      <c r="J69" s="24" t="s">
        <v>43</v>
      </c>
      <c r="K69" s="24" t="s">
        <v>526</v>
      </c>
      <c r="L69" s="24" t="str">
        <f t="shared" si="7"/>
        <v>Non testé</v>
      </c>
      <c r="M69" s="23" t="s">
        <v>44</v>
      </c>
      <c r="N69" s="23" t="str">
        <f t="shared" si="8"/>
        <v/>
      </c>
      <c r="O69" s="24" t="s">
        <v>502</v>
      </c>
      <c r="P69" s="23">
        <v>2.7789999999999999</v>
      </c>
      <c r="Q69" s="29">
        <v>0.1857</v>
      </c>
      <c r="R69" s="29"/>
      <c r="S69" s="24" t="s">
        <v>526</v>
      </c>
      <c r="T69" s="24" t="str">
        <f t="shared" si="9"/>
        <v>Censure haute</v>
      </c>
      <c r="U69" s="24" t="s">
        <v>35</v>
      </c>
      <c r="V69" s="24" t="str">
        <f t="shared" si="10"/>
        <v/>
      </c>
      <c r="W69" s="24" t="s">
        <v>527</v>
      </c>
      <c r="X69" s="23">
        <v>3.4929999999999999</v>
      </c>
      <c r="Y69" s="23">
        <v>1.6384000000000001</v>
      </c>
      <c r="Z69" s="23"/>
      <c r="AA69" s="24" t="s">
        <v>527</v>
      </c>
      <c r="AB69" s="24" t="str">
        <f t="shared" si="11"/>
        <v>Censure haute</v>
      </c>
      <c r="AC69" s="23" t="s">
        <v>35</v>
      </c>
      <c r="AD69" s="23" t="s">
        <v>561</v>
      </c>
      <c r="AE69" s="23" t="str">
        <f t="shared" si="12"/>
        <v/>
      </c>
      <c r="AF69" s="23"/>
      <c r="AG69" s="23" t="str">
        <f t="shared" si="13"/>
        <v/>
      </c>
      <c r="AH69" s="24" t="s">
        <v>527</v>
      </c>
      <c r="AI69" s="23">
        <v>3.0459999999999998</v>
      </c>
      <c r="AJ69" s="23">
        <v>0.95860000000000001</v>
      </c>
      <c r="AK69" s="23"/>
      <c r="AL69" s="24" t="s">
        <v>526</v>
      </c>
      <c r="AM69" s="24">
        <v>210</v>
      </c>
      <c r="AN69" s="24">
        <v>0</v>
      </c>
      <c r="AO69" s="24">
        <f>IF(ISBLANK(AM69),"",IF(AM69=92,IF(T69="Censure haute",120,""),IF(AB69="Censure haute",120,"")))</f>
        <v>120</v>
      </c>
    </row>
    <row r="70" spans="1:41" x14ac:dyDescent="0.3">
      <c r="A70" s="24" t="s">
        <v>124</v>
      </c>
      <c r="B70" s="24" t="s">
        <v>516</v>
      </c>
      <c r="C70" s="25"/>
      <c r="D70" s="26">
        <v>26.3</v>
      </c>
      <c r="E70" s="24" t="s">
        <v>522</v>
      </c>
      <c r="F70" s="27" t="s">
        <v>525</v>
      </c>
      <c r="G70" s="28">
        <v>44453</v>
      </c>
      <c r="H70" s="28">
        <v>44476</v>
      </c>
      <c r="I70" s="24">
        <v>12</v>
      </c>
      <c r="J70" s="24" t="s">
        <v>33</v>
      </c>
      <c r="K70" s="24" t="s">
        <v>526</v>
      </c>
      <c r="L70" s="24" t="str">
        <f t="shared" si="7"/>
        <v>Censure haute</v>
      </c>
      <c r="M70" s="23" t="s">
        <v>35</v>
      </c>
      <c r="N70" s="23" t="str">
        <f t="shared" si="8"/>
        <v/>
      </c>
      <c r="O70" s="24" t="s">
        <v>527</v>
      </c>
      <c r="P70" s="23">
        <v>2.9390000000000001</v>
      </c>
      <c r="Q70" s="29">
        <v>1.4672000000000001</v>
      </c>
      <c r="R70" s="29"/>
      <c r="S70" s="29" t="s">
        <v>527</v>
      </c>
      <c r="T70" s="24" t="str">
        <f t="shared" si="9"/>
        <v>Censure haute</v>
      </c>
      <c r="U70" s="24" t="s">
        <v>35</v>
      </c>
      <c r="V70" s="24" t="str">
        <f t="shared" si="10"/>
        <v/>
      </c>
      <c r="W70" s="24" t="s">
        <v>527</v>
      </c>
      <c r="X70" s="23">
        <v>2.9710000000000001</v>
      </c>
      <c r="Y70" s="23">
        <v>6.7209000000000003</v>
      </c>
      <c r="Z70" s="23"/>
      <c r="AA70" s="24" t="s">
        <v>527</v>
      </c>
      <c r="AB70" s="24" t="str">
        <f t="shared" si="11"/>
        <v>Censure haute</v>
      </c>
      <c r="AC70" s="23" t="s">
        <v>35</v>
      </c>
      <c r="AD70" s="23" t="s">
        <v>561</v>
      </c>
      <c r="AE70" s="23" t="str">
        <f t="shared" si="12"/>
        <v/>
      </c>
      <c r="AF70" s="23"/>
      <c r="AG70" s="23" t="str">
        <f t="shared" si="13"/>
        <v/>
      </c>
      <c r="AH70" s="24" t="s">
        <v>527</v>
      </c>
      <c r="AI70" s="23">
        <v>3.5</v>
      </c>
      <c r="AJ70" s="23">
        <v>3.9039999999999999</v>
      </c>
      <c r="AK70" s="23"/>
      <c r="AL70" s="24" t="s">
        <v>527</v>
      </c>
      <c r="AM70" s="24">
        <v>210</v>
      </c>
      <c r="AN70" s="24">
        <v>0</v>
      </c>
      <c r="AO70" s="24">
        <f>IF(ISBLANK(AM70),"",IF(AM70=92,IF(T70="Censure haute",120,""),IF(AB70="Censure haute",120,"")))</f>
        <v>120</v>
      </c>
    </row>
    <row r="71" spans="1:41" x14ac:dyDescent="0.3">
      <c r="A71" s="24" t="s">
        <v>125</v>
      </c>
      <c r="B71" s="24" t="s">
        <v>517</v>
      </c>
      <c r="C71" s="30" t="s">
        <v>518</v>
      </c>
      <c r="D71" s="26">
        <v>23.7</v>
      </c>
      <c r="E71" s="24" t="s">
        <v>520</v>
      </c>
      <c r="F71" s="27" t="s">
        <v>525</v>
      </c>
      <c r="G71" s="28">
        <v>44453</v>
      </c>
      <c r="H71" s="28">
        <v>44477</v>
      </c>
      <c r="I71" s="24">
        <v>12</v>
      </c>
      <c r="J71" s="24" t="s">
        <v>33</v>
      </c>
      <c r="K71" s="24" t="s">
        <v>527</v>
      </c>
      <c r="L71" s="24" t="str">
        <f t="shared" si="7"/>
        <v>Censure haute</v>
      </c>
      <c r="M71" s="23" t="s">
        <v>35</v>
      </c>
      <c r="N71" s="23" t="str">
        <f t="shared" si="8"/>
        <v/>
      </c>
      <c r="O71" s="24" t="s">
        <v>527</v>
      </c>
      <c r="P71" s="23">
        <v>2.96</v>
      </c>
      <c r="Q71" s="29">
        <v>0.114</v>
      </c>
      <c r="R71" s="29"/>
      <c r="S71" s="24" t="s">
        <v>526</v>
      </c>
      <c r="T71" s="24" t="str">
        <f t="shared" si="9"/>
        <v>Echec technique</v>
      </c>
      <c r="U71" s="24" t="s">
        <v>44</v>
      </c>
      <c r="V71" s="24" t="str">
        <f t="shared" si="10"/>
        <v/>
      </c>
      <c r="W71" s="24" t="s">
        <v>502</v>
      </c>
      <c r="X71" s="23">
        <v>3.5</v>
      </c>
      <c r="Y71" s="23">
        <v>2.2197</v>
      </c>
      <c r="Z71" s="23"/>
      <c r="AA71" s="24" t="s">
        <v>527</v>
      </c>
      <c r="AB71" s="24" t="str">
        <f t="shared" si="11"/>
        <v>Censure haute</v>
      </c>
      <c r="AC71" s="24" t="s">
        <v>35</v>
      </c>
      <c r="AD71" s="23" t="s">
        <v>561</v>
      </c>
      <c r="AE71" s="23" t="str">
        <f t="shared" si="12"/>
        <v/>
      </c>
      <c r="AF71" s="24"/>
      <c r="AG71" s="23" t="str">
        <f t="shared" si="13"/>
        <v/>
      </c>
      <c r="AH71" s="24" t="s">
        <v>527</v>
      </c>
      <c r="AI71" s="23">
        <v>3.5</v>
      </c>
      <c r="AJ71" s="23">
        <v>0.78720000000000001</v>
      </c>
      <c r="AK71" s="23"/>
      <c r="AL71" s="24" t="s">
        <v>526</v>
      </c>
      <c r="AM71" s="24">
        <v>210</v>
      </c>
      <c r="AN71" s="24">
        <v>0</v>
      </c>
      <c r="AO71" s="24">
        <f>IF(ISBLANK(AM71),"",IF(AM71=92,IF(T71="Censure haute",120,""),IF(AB71="Censure haute",120,"")))</f>
        <v>120</v>
      </c>
    </row>
    <row r="72" spans="1:41" x14ac:dyDescent="0.3">
      <c r="A72" s="24" t="s">
        <v>126</v>
      </c>
      <c r="B72" s="24" t="s">
        <v>517</v>
      </c>
      <c r="C72" s="30" t="s">
        <v>519</v>
      </c>
      <c r="D72" s="26">
        <v>16.2</v>
      </c>
      <c r="E72" s="24" t="s">
        <v>521</v>
      </c>
      <c r="F72" s="27" t="s">
        <v>525</v>
      </c>
      <c r="G72" s="28">
        <v>44453</v>
      </c>
      <c r="H72" s="28">
        <v>44480</v>
      </c>
      <c r="I72" s="24">
        <v>12</v>
      </c>
      <c r="J72" s="24" t="s">
        <v>33</v>
      </c>
      <c r="K72" s="24" t="s">
        <v>526</v>
      </c>
      <c r="L72" s="24" t="str">
        <f t="shared" si="7"/>
        <v>Censure haute</v>
      </c>
      <c r="M72" s="23" t="s">
        <v>35</v>
      </c>
      <c r="N72" s="23" t="str">
        <f t="shared" si="8"/>
        <v/>
      </c>
      <c r="O72" s="24" t="s">
        <v>527</v>
      </c>
      <c r="P72" s="23">
        <v>3.056</v>
      </c>
      <c r="Q72" s="29">
        <v>8.6300000000000002E-2</v>
      </c>
      <c r="R72" s="29"/>
      <c r="S72" s="24" t="s">
        <v>526</v>
      </c>
      <c r="T72" s="24" t="str">
        <f t="shared" si="9"/>
        <v>Censure haute</v>
      </c>
      <c r="U72" s="24" t="s">
        <v>35</v>
      </c>
      <c r="V72" s="24" t="str">
        <f t="shared" si="10"/>
        <v/>
      </c>
      <c r="W72" s="24" t="s">
        <v>527</v>
      </c>
      <c r="X72" s="23">
        <v>3.5</v>
      </c>
      <c r="Y72" s="23">
        <v>0.1457</v>
      </c>
      <c r="Z72" s="23"/>
      <c r="AA72" s="24" t="s">
        <v>526</v>
      </c>
      <c r="AB72" s="24" t="str">
        <f t="shared" si="11"/>
        <v>Non testé</v>
      </c>
      <c r="AC72" s="24" t="s">
        <v>44</v>
      </c>
      <c r="AD72" s="23" t="s">
        <v>561</v>
      </c>
      <c r="AE72" s="23" t="str">
        <f t="shared" si="12"/>
        <v/>
      </c>
      <c r="AF72" s="24"/>
      <c r="AG72" s="23" t="str">
        <f t="shared" si="13"/>
        <v/>
      </c>
      <c r="AH72" s="24" t="s">
        <v>502</v>
      </c>
      <c r="AI72" s="23">
        <v>2.9710000000000001</v>
      </c>
      <c r="AJ72" s="23">
        <v>1.4897</v>
      </c>
      <c r="AK72" s="23"/>
      <c r="AL72" s="24" t="s">
        <v>527</v>
      </c>
      <c r="AM72" s="24">
        <v>210</v>
      </c>
      <c r="AN72" s="24">
        <v>0</v>
      </c>
      <c r="AO72" s="24" t="str">
        <f>IF(ISBLANK(AM72),"",IF(AM72=92,IF(T72="Censure haute",120,""),IF(AB72="Censure haute",120,"")))</f>
        <v/>
      </c>
    </row>
    <row r="73" spans="1:41" x14ac:dyDescent="0.3">
      <c r="A73" s="24" t="s">
        <v>127</v>
      </c>
      <c r="B73" s="24" t="s">
        <v>516</v>
      </c>
      <c r="C73" s="25" t="s">
        <v>518</v>
      </c>
      <c r="D73" s="26">
        <v>42.2</v>
      </c>
      <c r="E73" s="24" t="s">
        <v>522</v>
      </c>
      <c r="F73" s="27" t="s">
        <v>524</v>
      </c>
      <c r="G73" s="28"/>
      <c r="H73" s="28"/>
      <c r="I73" s="24">
        <v>15</v>
      </c>
      <c r="J73" s="24" t="s">
        <v>43</v>
      </c>
      <c r="K73" s="24" t="s">
        <v>526</v>
      </c>
      <c r="L73" s="24" t="str">
        <f t="shared" si="7"/>
        <v>Normal</v>
      </c>
      <c r="M73" s="23">
        <v>3.7178</v>
      </c>
      <c r="N73" s="23">
        <f t="shared" si="8"/>
        <v>3.7178</v>
      </c>
      <c r="O73" s="24" t="s">
        <v>526</v>
      </c>
      <c r="P73" s="23">
        <v>3.0590000000000002</v>
      </c>
      <c r="Q73" s="29">
        <v>0.76729999999999998</v>
      </c>
      <c r="R73" s="29"/>
      <c r="S73" s="24" t="s">
        <v>526</v>
      </c>
      <c r="T73" s="24" t="str">
        <f t="shared" si="9"/>
        <v>Censure haute</v>
      </c>
      <c r="U73" s="24" t="s">
        <v>35</v>
      </c>
      <c r="V73" s="24" t="str">
        <f t="shared" si="10"/>
        <v/>
      </c>
      <c r="W73" s="24" t="s">
        <v>527</v>
      </c>
      <c r="X73" s="23">
        <v>2.3519999999999999</v>
      </c>
      <c r="Y73" s="23">
        <v>0.35520000000000002</v>
      </c>
      <c r="Z73" s="23"/>
      <c r="AA73" s="24" t="s">
        <v>526</v>
      </c>
      <c r="AB73" s="24" t="str">
        <f t="shared" si="11"/>
        <v>Censure haute</v>
      </c>
      <c r="AC73" s="23" t="s">
        <v>35</v>
      </c>
      <c r="AD73" s="23" t="s">
        <v>561</v>
      </c>
      <c r="AE73" s="23" t="str">
        <f t="shared" si="12"/>
        <v/>
      </c>
      <c r="AF73" s="23"/>
      <c r="AG73" s="23" t="str">
        <f t="shared" si="13"/>
        <v/>
      </c>
      <c r="AH73" s="24" t="s">
        <v>527</v>
      </c>
      <c r="AI73" s="23">
        <v>3.157</v>
      </c>
      <c r="AJ73" s="23">
        <v>5.8482000000000003</v>
      </c>
      <c r="AK73" s="23"/>
      <c r="AL73" s="24" t="s">
        <v>527</v>
      </c>
      <c r="AM73" s="24">
        <v>210</v>
      </c>
      <c r="AN73" s="24">
        <v>0</v>
      </c>
      <c r="AO73" s="24">
        <f>IF(ISBLANK(AM73),"",IF(AM73=92,IF(T73="Censure haute",120,""),IF(AB73="Censure haute",120,"")))</f>
        <v>120</v>
      </c>
    </row>
    <row r="74" spans="1:41" x14ac:dyDescent="0.3">
      <c r="A74" s="24" t="s">
        <v>128</v>
      </c>
      <c r="B74" s="24" t="s">
        <v>516</v>
      </c>
      <c r="C74" s="25"/>
      <c r="D74" s="26">
        <v>21.8</v>
      </c>
      <c r="E74" s="24" t="s">
        <v>521</v>
      </c>
      <c r="F74" s="27" t="s">
        <v>525</v>
      </c>
      <c r="G74" s="28">
        <v>44453</v>
      </c>
      <c r="H74" s="28">
        <v>44476</v>
      </c>
      <c r="I74" s="24">
        <v>14</v>
      </c>
      <c r="J74" s="24" t="s">
        <v>43</v>
      </c>
      <c r="K74" s="24" t="s">
        <v>526</v>
      </c>
      <c r="L74" s="24" t="str">
        <f t="shared" si="7"/>
        <v>Censure haute</v>
      </c>
      <c r="M74" s="23" t="s">
        <v>35</v>
      </c>
      <c r="N74" s="23" t="str">
        <f t="shared" si="8"/>
        <v/>
      </c>
      <c r="O74" s="24" t="s">
        <v>527</v>
      </c>
      <c r="P74" s="23">
        <v>3.0590000000000002</v>
      </c>
      <c r="Q74" s="29">
        <v>0.28860000000000002</v>
      </c>
      <c r="R74" s="29"/>
      <c r="S74" s="24" t="s">
        <v>526</v>
      </c>
      <c r="T74" s="24" t="str">
        <f t="shared" si="9"/>
        <v>Censure haute</v>
      </c>
      <c r="U74" s="24" t="s">
        <v>35</v>
      </c>
      <c r="V74" s="24" t="str">
        <f t="shared" si="10"/>
        <v/>
      </c>
      <c r="W74" s="24" t="s">
        <v>527</v>
      </c>
      <c r="X74" s="23">
        <v>3.5</v>
      </c>
      <c r="Y74" s="23">
        <v>3.7187999999999999</v>
      </c>
      <c r="Z74" s="23"/>
      <c r="AA74" s="24" t="s">
        <v>527</v>
      </c>
      <c r="AB74" s="24" t="str">
        <f t="shared" si="11"/>
        <v>Censure haute</v>
      </c>
      <c r="AC74" s="23" t="s">
        <v>35</v>
      </c>
      <c r="AD74" s="23" t="s">
        <v>561</v>
      </c>
      <c r="AE74" s="23" t="str">
        <f t="shared" si="12"/>
        <v/>
      </c>
      <c r="AF74" s="23"/>
      <c r="AG74" s="23" t="str">
        <f t="shared" si="13"/>
        <v/>
      </c>
      <c r="AH74" s="24" t="s">
        <v>527</v>
      </c>
      <c r="AI74" s="23">
        <v>3.411</v>
      </c>
      <c r="AJ74" s="23">
        <v>5.7098000000000004</v>
      </c>
      <c r="AK74" s="23"/>
      <c r="AL74" s="24" t="s">
        <v>527</v>
      </c>
      <c r="AM74" s="24"/>
      <c r="AN74" s="24"/>
      <c r="AO74" s="24" t="str">
        <f>IF(ISBLANK(AM74),"",IF(AM74=92,IF(T74="Censure haute",120,""),IF(AB74="Censure haute",120,"")))</f>
        <v/>
      </c>
    </row>
    <row r="75" spans="1:41" x14ac:dyDescent="0.3">
      <c r="A75" s="24" t="s">
        <v>129</v>
      </c>
      <c r="B75" s="24" t="s">
        <v>517</v>
      </c>
      <c r="C75" s="30"/>
      <c r="D75" s="26">
        <v>19.2</v>
      </c>
      <c r="E75" s="24" t="s">
        <v>521</v>
      </c>
      <c r="F75" s="27" t="s">
        <v>525</v>
      </c>
      <c r="G75" s="28">
        <v>44453</v>
      </c>
      <c r="H75" s="28">
        <v>44482</v>
      </c>
      <c r="I75" s="24">
        <v>15</v>
      </c>
      <c r="J75" s="24" t="s">
        <v>43</v>
      </c>
      <c r="K75" s="24" t="s">
        <v>526</v>
      </c>
      <c r="L75" s="24" t="str">
        <f t="shared" si="7"/>
        <v>Censure haute</v>
      </c>
      <c r="M75" s="23" t="s">
        <v>35</v>
      </c>
      <c r="N75" s="23" t="str">
        <f t="shared" si="8"/>
        <v/>
      </c>
      <c r="O75" s="24" t="s">
        <v>527</v>
      </c>
      <c r="P75" s="23">
        <v>3.0590000000000002</v>
      </c>
      <c r="Q75" s="29">
        <v>6.0299999999999999E-2</v>
      </c>
      <c r="R75" s="29"/>
      <c r="S75" s="24" t="s">
        <v>526</v>
      </c>
      <c r="T75" s="24" t="str">
        <f t="shared" si="9"/>
        <v>Echec technique</v>
      </c>
      <c r="U75" s="24" t="s">
        <v>44</v>
      </c>
      <c r="V75" s="24" t="str">
        <f t="shared" si="10"/>
        <v/>
      </c>
      <c r="W75" s="24" t="s">
        <v>502</v>
      </c>
      <c r="X75" s="23">
        <v>3.5</v>
      </c>
      <c r="Y75" s="23">
        <v>1.4978</v>
      </c>
      <c r="Z75" s="23"/>
      <c r="AA75" s="24" t="s">
        <v>527</v>
      </c>
      <c r="AB75" s="24" t="str">
        <f t="shared" si="11"/>
        <v>Non testé</v>
      </c>
      <c r="AC75" s="23" t="s">
        <v>44</v>
      </c>
      <c r="AD75" s="23" t="s">
        <v>561</v>
      </c>
      <c r="AE75" s="23" t="str">
        <f t="shared" si="12"/>
        <v/>
      </c>
      <c r="AF75" s="23"/>
      <c r="AG75" s="23" t="str">
        <f t="shared" si="13"/>
        <v/>
      </c>
      <c r="AH75" s="24" t="s">
        <v>502</v>
      </c>
      <c r="AI75" s="23">
        <v>3.5</v>
      </c>
      <c r="AJ75" s="23">
        <v>0.88639999999999997</v>
      </c>
      <c r="AK75" s="23"/>
      <c r="AL75" s="24" t="s">
        <v>526</v>
      </c>
      <c r="AM75" s="24">
        <v>210</v>
      </c>
      <c r="AN75" s="24">
        <v>0</v>
      </c>
      <c r="AO75" s="24" t="str">
        <f>IF(ISBLANK(AM75),"",IF(AM75=92,IF(T75="Censure haute",120,""),IF(AB75="Censure haute",120,"")))</f>
        <v/>
      </c>
    </row>
    <row r="76" spans="1:41" x14ac:dyDescent="0.3">
      <c r="A76" s="24" t="s">
        <v>130</v>
      </c>
      <c r="B76" s="24" t="s">
        <v>516</v>
      </c>
      <c r="C76" s="25"/>
      <c r="D76" s="26">
        <v>24.8</v>
      </c>
      <c r="E76" s="24" t="s">
        <v>520</v>
      </c>
      <c r="F76" s="27" t="s">
        <v>525</v>
      </c>
      <c r="G76" s="28">
        <v>44453</v>
      </c>
      <c r="H76" s="28">
        <v>44477</v>
      </c>
      <c r="I76" s="24">
        <v>12</v>
      </c>
      <c r="J76" s="24" t="s">
        <v>33</v>
      </c>
      <c r="K76" s="24" t="s">
        <v>526</v>
      </c>
      <c r="L76" s="24" t="str">
        <f t="shared" si="7"/>
        <v>Censure haute</v>
      </c>
      <c r="M76" s="23" t="s">
        <v>35</v>
      </c>
      <c r="N76" s="23" t="str">
        <f t="shared" si="8"/>
        <v/>
      </c>
      <c r="O76" s="24" t="s">
        <v>527</v>
      </c>
      <c r="P76" s="23">
        <v>3.0870000000000002</v>
      </c>
      <c r="Q76" s="29">
        <v>7.6399999999999996E-2</v>
      </c>
      <c r="R76" s="29"/>
      <c r="S76" s="24" t="s">
        <v>526</v>
      </c>
      <c r="T76" s="24" t="str">
        <f t="shared" si="9"/>
        <v>Censure haute</v>
      </c>
      <c r="U76" s="24" t="s">
        <v>35</v>
      </c>
      <c r="V76" s="24" t="str">
        <f t="shared" si="10"/>
        <v/>
      </c>
      <c r="W76" s="24" t="s">
        <v>527</v>
      </c>
      <c r="X76" s="23">
        <v>3.2530000000000001</v>
      </c>
      <c r="Y76" s="23">
        <v>8.2100000000000006E-2</v>
      </c>
      <c r="Z76" s="23"/>
      <c r="AA76" s="24" t="s">
        <v>526</v>
      </c>
      <c r="AB76" s="24" t="str">
        <f t="shared" si="11"/>
        <v>Censure haute</v>
      </c>
      <c r="AC76" s="23" t="s">
        <v>35</v>
      </c>
      <c r="AD76" s="23" t="s">
        <v>561</v>
      </c>
      <c r="AE76" s="23" t="str">
        <f t="shared" si="12"/>
        <v/>
      </c>
      <c r="AF76" s="23"/>
      <c r="AG76" s="23" t="str">
        <f t="shared" si="13"/>
        <v/>
      </c>
      <c r="AH76" s="24" t="s">
        <v>527</v>
      </c>
      <c r="AI76" s="23">
        <v>3.5</v>
      </c>
      <c r="AJ76" s="23">
        <v>1.4175</v>
      </c>
      <c r="AK76" s="23"/>
      <c r="AL76" s="24" t="s">
        <v>527</v>
      </c>
      <c r="AM76" s="24">
        <v>210</v>
      </c>
      <c r="AN76" s="24">
        <v>0</v>
      </c>
      <c r="AO76" s="24">
        <f>IF(ISBLANK(AM76),"",IF(AM76=92,IF(T76="Censure haute",120,""),IF(AB76="Censure haute",120,"")))</f>
        <v>120</v>
      </c>
    </row>
    <row r="77" spans="1:41" x14ac:dyDescent="0.3">
      <c r="A77" s="24" t="s">
        <v>131</v>
      </c>
      <c r="B77" s="24" t="s">
        <v>517</v>
      </c>
      <c r="C77" s="30"/>
      <c r="D77" s="26">
        <v>22</v>
      </c>
      <c r="E77" s="24" t="s">
        <v>520</v>
      </c>
      <c r="F77" s="27" t="s">
        <v>525</v>
      </c>
      <c r="G77" s="28">
        <v>44453</v>
      </c>
      <c r="H77" s="28">
        <v>44482</v>
      </c>
      <c r="I77" s="24">
        <v>12</v>
      </c>
      <c r="J77" s="24" t="s">
        <v>33</v>
      </c>
      <c r="K77" s="24" t="s">
        <v>526</v>
      </c>
      <c r="L77" s="24" t="str">
        <f t="shared" si="7"/>
        <v>Censure haute</v>
      </c>
      <c r="M77" s="23" t="s">
        <v>35</v>
      </c>
      <c r="N77" s="23" t="str">
        <f t="shared" si="8"/>
        <v/>
      </c>
      <c r="O77" s="24" t="s">
        <v>527</v>
      </c>
      <c r="P77" s="23">
        <v>3.089</v>
      </c>
      <c r="Q77" s="29">
        <v>0.2606</v>
      </c>
      <c r="R77" s="29">
        <v>0.25409999999999999</v>
      </c>
      <c r="S77" s="24" t="s">
        <v>526</v>
      </c>
      <c r="T77" s="24" t="str">
        <f t="shared" si="9"/>
        <v>Censure haute</v>
      </c>
      <c r="U77" s="24" t="s">
        <v>35</v>
      </c>
      <c r="V77" s="24" t="str">
        <f t="shared" si="10"/>
        <v/>
      </c>
      <c r="W77" s="24" t="s">
        <v>527</v>
      </c>
      <c r="X77" s="23">
        <v>3.1640000000000001</v>
      </c>
      <c r="Y77" s="23">
        <v>2.1324999999999998</v>
      </c>
      <c r="Z77" s="23"/>
      <c r="AA77" s="24" t="s">
        <v>527</v>
      </c>
      <c r="AB77" s="24" t="str">
        <f t="shared" si="11"/>
        <v>Censure haute</v>
      </c>
      <c r="AC77" s="23" t="s">
        <v>35</v>
      </c>
      <c r="AD77" s="23" t="s">
        <v>561</v>
      </c>
      <c r="AE77" s="23" t="str">
        <f t="shared" si="12"/>
        <v/>
      </c>
      <c r="AF77" s="23"/>
      <c r="AG77" s="23" t="str">
        <f t="shared" si="13"/>
        <v/>
      </c>
      <c r="AH77" s="24" t="s">
        <v>527</v>
      </c>
      <c r="AI77" s="23">
        <v>2.677</v>
      </c>
      <c r="AJ77" s="23">
        <v>0.84219999999999995</v>
      </c>
      <c r="AK77" s="23"/>
      <c r="AL77" s="24" t="s">
        <v>526</v>
      </c>
      <c r="AM77" s="24">
        <v>210</v>
      </c>
      <c r="AN77" s="24">
        <v>0</v>
      </c>
      <c r="AO77" s="24">
        <f>IF(ISBLANK(AM77),"",IF(AM77=92,IF(T77="Censure haute",120,""),IF(AB77="Censure haute",120,"")))</f>
        <v>120</v>
      </c>
    </row>
    <row r="78" spans="1:41" x14ac:dyDescent="0.3">
      <c r="A78" s="24" t="s">
        <v>133</v>
      </c>
      <c r="B78" s="24" t="s">
        <v>517</v>
      </c>
      <c r="C78" s="25" t="s">
        <v>518</v>
      </c>
      <c r="D78" s="26">
        <v>23.6</v>
      </c>
      <c r="E78" s="24" t="s">
        <v>521</v>
      </c>
      <c r="F78" s="27" t="s">
        <v>525</v>
      </c>
      <c r="G78" s="28">
        <v>44454</v>
      </c>
      <c r="H78" s="28">
        <v>44476</v>
      </c>
      <c r="I78" s="24">
        <v>15</v>
      </c>
      <c r="J78" s="24" t="s">
        <v>43</v>
      </c>
      <c r="K78" s="24" t="s">
        <v>526</v>
      </c>
      <c r="L78" s="24" t="str">
        <f t="shared" si="7"/>
        <v>Censure haute</v>
      </c>
      <c r="M78" s="23" t="s">
        <v>35</v>
      </c>
      <c r="N78" s="23" t="str">
        <f t="shared" si="8"/>
        <v/>
      </c>
      <c r="O78" s="24" t="s">
        <v>527</v>
      </c>
      <c r="P78" s="23">
        <v>3.089</v>
      </c>
      <c r="Q78" s="29">
        <v>9.2999999999999999E-2</v>
      </c>
      <c r="R78" s="29"/>
      <c r="S78" s="24" t="s">
        <v>526</v>
      </c>
      <c r="T78" s="24" t="str">
        <f t="shared" si="9"/>
        <v>Censure haute</v>
      </c>
      <c r="U78" s="24" t="s">
        <v>35</v>
      </c>
      <c r="V78" s="24" t="str">
        <f t="shared" si="10"/>
        <v/>
      </c>
      <c r="W78" s="24" t="s">
        <v>527</v>
      </c>
      <c r="X78" s="23">
        <v>3.5</v>
      </c>
      <c r="Y78" s="23">
        <v>1.7387999999999999</v>
      </c>
      <c r="Z78" s="23"/>
      <c r="AA78" s="24" t="s">
        <v>527</v>
      </c>
      <c r="AB78" s="24" t="str">
        <f t="shared" si="11"/>
        <v>Censure haute</v>
      </c>
      <c r="AC78" s="23" t="s">
        <v>35</v>
      </c>
      <c r="AD78" s="23" t="s">
        <v>561</v>
      </c>
      <c r="AE78" s="23" t="str">
        <f t="shared" si="12"/>
        <v/>
      </c>
      <c r="AF78" s="23"/>
      <c r="AG78" s="23" t="str">
        <f t="shared" si="13"/>
        <v/>
      </c>
      <c r="AH78" s="24" t="s">
        <v>527</v>
      </c>
      <c r="AI78" s="23">
        <v>3.3220000000000001</v>
      </c>
      <c r="AJ78" s="23">
        <v>0.96899999999999997</v>
      </c>
      <c r="AK78" s="23"/>
      <c r="AL78" s="24" t="s">
        <v>526</v>
      </c>
      <c r="AM78" s="24">
        <v>210</v>
      </c>
      <c r="AN78" s="24">
        <v>0</v>
      </c>
      <c r="AO78" s="24">
        <f>IF(ISBLANK(AM78),"",IF(AM78=92,IF(T78="Censure haute",120,""),IF(AB78="Censure haute",120,"")))</f>
        <v>120</v>
      </c>
    </row>
    <row r="79" spans="1:41" x14ac:dyDescent="0.3">
      <c r="A79" s="24" t="s">
        <v>134</v>
      </c>
      <c r="B79" s="24" t="s">
        <v>516</v>
      </c>
      <c r="C79" s="25"/>
      <c r="D79" s="26">
        <v>19.7</v>
      </c>
      <c r="E79" s="24" t="s">
        <v>521</v>
      </c>
      <c r="F79" s="27" t="s">
        <v>525</v>
      </c>
      <c r="G79" s="28">
        <v>44453</v>
      </c>
      <c r="H79" s="28">
        <v>44476</v>
      </c>
      <c r="I79" s="24">
        <v>14</v>
      </c>
      <c r="J79" s="24" t="s">
        <v>43</v>
      </c>
      <c r="K79" s="24" t="s">
        <v>526</v>
      </c>
      <c r="L79" s="24" t="str">
        <f t="shared" si="7"/>
        <v>Censure haute</v>
      </c>
      <c r="M79" s="23" t="s">
        <v>35</v>
      </c>
      <c r="N79" s="23" t="str">
        <f t="shared" si="8"/>
        <v/>
      </c>
      <c r="O79" s="24" t="s">
        <v>527</v>
      </c>
      <c r="P79" s="23">
        <v>3.113</v>
      </c>
      <c r="Q79" s="29">
        <v>0.48320000000000002</v>
      </c>
      <c r="R79" s="29"/>
      <c r="S79" s="24" t="s">
        <v>526</v>
      </c>
      <c r="T79" s="24" t="str">
        <f t="shared" si="9"/>
        <v>Censure haute</v>
      </c>
      <c r="U79" s="24" t="s">
        <v>35</v>
      </c>
      <c r="V79" s="24" t="str">
        <f t="shared" si="10"/>
        <v/>
      </c>
      <c r="W79" s="24" t="s">
        <v>527</v>
      </c>
      <c r="X79" s="23">
        <v>3.5</v>
      </c>
      <c r="Y79" s="23">
        <v>0.31469999999999998</v>
      </c>
      <c r="Z79" s="23"/>
      <c r="AA79" s="24" t="s">
        <v>526</v>
      </c>
      <c r="AB79" s="24" t="str">
        <f t="shared" si="11"/>
        <v>Censure haute</v>
      </c>
      <c r="AC79" s="23" t="s">
        <v>35</v>
      </c>
      <c r="AD79" s="23" t="s">
        <v>561</v>
      </c>
      <c r="AE79" s="23" t="str">
        <f t="shared" si="12"/>
        <v/>
      </c>
      <c r="AF79" s="23"/>
      <c r="AG79" s="23" t="str">
        <f t="shared" si="13"/>
        <v/>
      </c>
      <c r="AH79" s="24" t="s">
        <v>527</v>
      </c>
      <c r="AI79" s="23">
        <v>3.0059999999999998</v>
      </c>
      <c r="AJ79" s="23">
        <v>5.7568999999999999</v>
      </c>
      <c r="AK79" s="23"/>
      <c r="AL79" s="24" t="s">
        <v>527</v>
      </c>
      <c r="AM79" s="24">
        <v>210</v>
      </c>
      <c r="AN79" s="24">
        <v>0</v>
      </c>
      <c r="AO79" s="24">
        <f>IF(ISBLANK(AM79),"",IF(AM79=92,IF(T79="Censure haute",120,""),IF(AB79="Censure haute",120,"")))</f>
        <v>120</v>
      </c>
    </row>
    <row r="80" spans="1:41" x14ac:dyDescent="0.3">
      <c r="A80" s="24" t="s">
        <v>135</v>
      </c>
      <c r="B80" s="24" t="s">
        <v>516</v>
      </c>
      <c r="C80" s="25" t="s">
        <v>518</v>
      </c>
      <c r="D80" s="26">
        <v>13</v>
      </c>
      <c r="E80" s="24" t="s">
        <v>523</v>
      </c>
      <c r="F80" s="27" t="s">
        <v>525</v>
      </c>
      <c r="G80" s="28">
        <v>44453</v>
      </c>
      <c r="H80" s="28">
        <v>44477</v>
      </c>
      <c r="I80" s="24">
        <v>11</v>
      </c>
      <c r="J80" s="24" t="s">
        <v>33</v>
      </c>
      <c r="K80" s="24" t="s">
        <v>527</v>
      </c>
      <c r="L80" s="24" t="str">
        <f t="shared" si="7"/>
        <v>Censure haute</v>
      </c>
      <c r="M80" s="23" t="s">
        <v>35</v>
      </c>
      <c r="N80" s="23" t="str">
        <f t="shared" si="8"/>
        <v/>
      </c>
      <c r="O80" s="24" t="s">
        <v>527</v>
      </c>
      <c r="P80" s="23">
        <v>3.1139999999999999</v>
      </c>
      <c r="Q80" s="29">
        <v>1.6922999999999999</v>
      </c>
      <c r="R80" s="29"/>
      <c r="S80" s="24" t="s">
        <v>527</v>
      </c>
      <c r="T80" s="24" t="str">
        <f t="shared" si="9"/>
        <v>Censure haute</v>
      </c>
      <c r="U80" s="24" t="s">
        <v>35</v>
      </c>
      <c r="V80" s="24" t="str">
        <f t="shared" si="10"/>
        <v/>
      </c>
      <c r="W80" s="24" t="s">
        <v>527</v>
      </c>
      <c r="X80" s="23">
        <v>3.2549999999999999</v>
      </c>
      <c r="Y80" s="23">
        <v>1.1942999999999999</v>
      </c>
      <c r="Z80" s="23"/>
      <c r="AA80" s="24" t="s">
        <v>527</v>
      </c>
      <c r="AB80" s="24" t="str">
        <f t="shared" si="11"/>
        <v>Censure haute</v>
      </c>
      <c r="AC80" s="23" t="s">
        <v>35</v>
      </c>
      <c r="AD80" s="23" t="s">
        <v>561</v>
      </c>
      <c r="AE80" s="23" t="str">
        <f t="shared" si="12"/>
        <v/>
      </c>
      <c r="AF80" s="23"/>
      <c r="AG80" s="23" t="str">
        <f t="shared" si="13"/>
        <v/>
      </c>
      <c r="AH80" s="24" t="s">
        <v>527</v>
      </c>
      <c r="AI80" s="23">
        <v>3.238</v>
      </c>
      <c r="AJ80" s="23">
        <v>0.80530000000000002</v>
      </c>
      <c r="AK80" s="23"/>
      <c r="AL80" s="24" t="s">
        <v>526</v>
      </c>
      <c r="AM80" s="24">
        <v>210</v>
      </c>
      <c r="AN80" s="24">
        <v>0</v>
      </c>
      <c r="AO80" s="24">
        <f>IF(ISBLANK(AM80),"",IF(AM80=92,IF(T80="Censure haute",120,""),IF(AB80="Censure haute",120,"")))</f>
        <v>120</v>
      </c>
    </row>
    <row r="81" spans="1:41" x14ac:dyDescent="0.3">
      <c r="A81" s="24" t="s">
        <v>136</v>
      </c>
      <c r="B81" s="24" t="s">
        <v>517</v>
      </c>
      <c r="C81" s="25" t="s">
        <v>519</v>
      </c>
      <c r="D81" s="26">
        <v>21.2</v>
      </c>
      <c r="E81" s="24" t="s">
        <v>521</v>
      </c>
      <c r="F81" s="27" t="s">
        <v>525</v>
      </c>
      <c r="G81" s="28">
        <v>44454</v>
      </c>
      <c r="H81" s="28">
        <v>44476</v>
      </c>
      <c r="I81" s="24">
        <v>15</v>
      </c>
      <c r="J81" s="24" t="s">
        <v>43</v>
      </c>
      <c r="K81" s="24" t="s">
        <v>526</v>
      </c>
      <c r="L81" s="24" t="str">
        <f t="shared" si="7"/>
        <v>Censure haute</v>
      </c>
      <c r="M81" s="23" t="s">
        <v>35</v>
      </c>
      <c r="N81" s="23" t="str">
        <f t="shared" si="8"/>
        <v/>
      </c>
      <c r="O81" s="24" t="s">
        <v>527</v>
      </c>
      <c r="P81" s="23">
        <v>3.1269999999999998</v>
      </c>
      <c r="Q81" s="29">
        <v>0.70469999999999999</v>
      </c>
      <c r="R81" s="29"/>
      <c r="S81" s="24" t="s">
        <v>526</v>
      </c>
      <c r="T81" s="24" t="str">
        <f t="shared" si="9"/>
        <v>Censure haute</v>
      </c>
      <c r="U81" s="24" t="s">
        <v>35</v>
      </c>
      <c r="V81" s="24" t="str">
        <f t="shared" si="10"/>
        <v/>
      </c>
      <c r="W81" s="24" t="s">
        <v>527</v>
      </c>
      <c r="X81" s="23">
        <v>3.0630000000000002</v>
      </c>
      <c r="Y81" s="23">
        <v>1.7098</v>
      </c>
      <c r="Z81" s="23"/>
      <c r="AA81" s="24" t="s">
        <v>527</v>
      </c>
      <c r="AB81" s="24" t="str">
        <f t="shared" si="11"/>
        <v>Censure haute</v>
      </c>
      <c r="AC81" s="23" t="s">
        <v>35</v>
      </c>
      <c r="AD81" s="23" t="s">
        <v>561</v>
      </c>
      <c r="AE81" s="23" t="str">
        <f t="shared" si="12"/>
        <v>Censure haute</v>
      </c>
      <c r="AF81" s="23" t="s">
        <v>35</v>
      </c>
      <c r="AG81" s="23" t="str">
        <f t="shared" si="13"/>
        <v/>
      </c>
      <c r="AH81" s="24" t="s">
        <v>527</v>
      </c>
      <c r="AI81" s="23">
        <v>2.387</v>
      </c>
      <c r="AJ81" s="23">
        <v>1.0085999999999999</v>
      </c>
      <c r="AK81" s="23"/>
      <c r="AL81" s="24" t="s">
        <v>526</v>
      </c>
      <c r="AM81" s="24">
        <v>210</v>
      </c>
      <c r="AN81" s="24">
        <v>0</v>
      </c>
      <c r="AO81" s="24">
        <f>IF(ISBLANK(AM81),"",IF(AM81=92,IF(T81="Censure haute",120,""),IF(AB81="Censure haute",120,"")))</f>
        <v>120</v>
      </c>
    </row>
    <row r="82" spans="1:41" x14ac:dyDescent="0.3">
      <c r="A82" s="24" t="s">
        <v>138</v>
      </c>
      <c r="B82" s="24" t="s">
        <v>516</v>
      </c>
      <c r="C82" s="25" t="s">
        <v>518</v>
      </c>
      <c r="D82" s="26">
        <v>28.4</v>
      </c>
      <c r="E82" s="24" t="s">
        <v>522</v>
      </c>
      <c r="F82" s="27" t="s">
        <v>525</v>
      </c>
      <c r="G82" s="28">
        <v>44453</v>
      </c>
      <c r="H82" s="28">
        <v>44477</v>
      </c>
      <c r="I82" s="24">
        <v>14</v>
      </c>
      <c r="J82" s="24" t="s">
        <v>43</v>
      </c>
      <c r="K82" s="24" t="s">
        <v>526</v>
      </c>
      <c r="L82" s="24" t="str">
        <f t="shared" si="7"/>
        <v>Censure haute</v>
      </c>
      <c r="M82" s="23" t="s">
        <v>35</v>
      </c>
      <c r="N82" s="23" t="str">
        <f t="shared" si="8"/>
        <v/>
      </c>
      <c r="O82" s="24" t="s">
        <v>527</v>
      </c>
      <c r="P82" s="23">
        <v>3.14</v>
      </c>
      <c r="Q82" s="29">
        <v>0.18779999999999999</v>
      </c>
      <c r="R82" s="29"/>
      <c r="S82" s="24" t="s">
        <v>526</v>
      </c>
      <c r="T82" s="24" t="str">
        <f t="shared" si="9"/>
        <v>Censure haute</v>
      </c>
      <c r="U82" s="24" t="s">
        <v>35</v>
      </c>
      <c r="V82" s="24" t="str">
        <f t="shared" si="10"/>
        <v/>
      </c>
      <c r="W82" s="24" t="s">
        <v>527</v>
      </c>
      <c r="X82" s="23">
        <v>3.242</v>
      </c>
      <c r="Y82" s="23">
        <v>0.1749</v>
      </c>
      <c r="Z82" s="23"/>
      <c r="AA82" s="24" t="s">
        <v>526</v>
      </c>
      <c r="AB82" s="24" t="str">
        <f t="shared" si="11"/>
        <v>Non testé</v>
      </c>
      <c r="AC82" s="23" t="s">
        <v>44</v>
      </c>
      <c r="AD82" s="23" t="s">
        <v>561</v>
      </c>
      <c r="AE82" s="23" t="str">
        <f t="shared" si="12"/>
        <v/>
      </c>
      <c r="AF82" s="23"/>
      <c r="AG82" s="23" t="str">
        <f t="shared" si="13"/>
        <v/>
      </c>
      <c r="AH82" s="24" t="s">
        <v>502</v>
      </c>
      <c r="AI82" s="23">
        <v>3.0990000000000002</v>
      </c>
      <c r="AJ82" s="23">
        <v>0.95199999999999996</v>
      </c>
      <c r="AK82" s="23"/>
      <c r="AL82" s="24" t="s">
        <v>526</v>
      </c>
      <c r="AM82" s="24">
        <v>210</v>
      </c>
      <c r="AN82" s="24">
        <v>0</v>
      </c>
      <c r="AO82" s="24" t="str">
        <f>IF(ISBLANK(AM82),"",IF(AM82=92,IF(T82="Censure haute",120,""),IF(AB82="Censure haute",120,"")))</f>
        <v/>
      </c>
    </row>
    <row r="83" spans="1:41" x14ac:dyDescent="0.3">
      <c r="A83" s="24" t="s">
        <v>139</v>
      </c>
      <c r="B83" s="24" t="s">
        <v>517</v>
      </c>
      <c r="C83" s="30" t="s">
        <v>518</v>
      </c>
      <c r="D83" s="26">
        <v>18.399999999999999</v>
      </c>
      <c r="E83" s="24" t="s">
        <v>521</v>
      </c>
      <c r="F83" s="27" t="s">
        <v>525</v>
      </c>
      <c r="G83" s="28">
        <v>44453</v>
      </c>
      <c r="H83" s="28">
        <v>44477</v>
      </c>
      <c r="I83" s="24">
        <v>12</v>
      </c>
      <c r="J83" s="24" t="s">
        <v>33</v>
      </c>
      <c r="K83" s="24" t="s">
        <v>527</v>
      </c>
      <c r="L83" s="24" t="str">
        <f t="shared" si="7"/>
        <v>Censure haute</v>
      </c>
      <c r="M83" s="23" t="s">
        <v>35</v>
      </c>
      <c r="N83" s="23" t="str">
        <f t="shared" si="8"/>
        <v/>
      </c>
      <c r="O83" s="24" t="s">
        <v>527</v>
      </c>
      <c r="P83" s="23">
        <v>3.141</v>
      </c>
      <c r="Q83" s="29">
        <v>0.1759</v>
      </c>
      <c r="R83" s="29"/>
      <c r="S83" s="24" t="s">
        <v>526</v>
      </c>
      <c r="T83" s="24" t="str">
        <f t="shared" si="9"/>
        <v>Echec technique</v>
      </c>
      <c r="U83" s="24" t="s">
        <v>44</v>
      </c>
      <c r="V83" s="24" t="str">
        <f t="shared" si="10"/>
        <v/>
      </c>
      <c r="W83" s="24" t="s">
        <v>502</v>
      </c>
      <c r="X83" s="23">
        <v>3.5</v>
      </c>
      <c r="Y83" s="23">
        <v>1.9359999999999999</v>
      </c>
      <c r="Z83" s="23"/>
      <c r="AA83" s="24" t="s">
        <v>527</v>
      </c>
      <c r="AB83" s="24" t="str">
        <f t="shared" si="11"/>
        <v>Censure haute</v>
      </c>
      <c r="AC83" s="23" t="s">
        <v>35</v>
      </c>
      <c r="AD83" s="23" t="s">
        <v>561</v>
      </c>
      <c r="AE83" s="23" t="str">
        <f t="shared" si="12"/>
        <v/>
      </c>
      <c r="AF83" s="23"/>
      <c r="AG83" s="23" t="str">
        <f t="shared" si="13"/>
        <v/>
      </c>
      <c r="AH83" s="24" t="s">
        <v>527</v>
      </c>
      <c r="AI83" s="23">
        <v>3.4089999999999998</v>
      </c>
      <c r="AJ83" s="23">
        <v>1.1156999999999999</v>
      </c>
      <c r="AK83" s="23"/>
      <c r="AL83" s="24" t="s">
        <v>527</v>
      </c>
      <c r="AM83" s="24"/>
      <c r="AN83" s="24"/>
      <c r="AO83" s="24" t="str">
        <f>IF(ISBLANK(AM83),"",IF(AM83=92,IF(T83="Censure haute",120,""),IF(AB83="Censure haute",120,"")))</f>
        <v/>
      </c>
    </row>
    <row r="84" spans="1:41" x14ac:dyDescent="0.3">
      <c r="A84" s="24" t="s">
        <v>140</v>
      </c>
      <c r="B84" s="24" t="s">
        <v>516</v>
      </c>
      <c r="C84" s="25"/>
      <c r="D84" s="26">
        <v>15.5</v>
      </c>
      <c r="E84" s="24" t="s">
        <v>521</v>
      </c>
      <c r="F84" s="27" t="s">
        <v>525</v>
      </c>
      <c r="G84" s="28">
        <v>44453</v>
      </c>
      <c r="H84" s="28">
        <v>44477</v>
      </c>
      <c r="I84" s="24">
        <v>12</v>
      </c>
      <c r="J84" s="24" t="s">
        <v>33</v>
      </c>
      <c r="K84" s="24" t="s">
        <v>526</v>
      </c>
      <c r="L84" s="24" t="str">
        <f t="shared" si="7"/>
        <v>Non testé</v>
      </c>
      <c r="M84" s="23" t="s">
        <v>44</v>
      </c>
      <c r="N84" s="23" t="str">
        <f t="shared" si="8"/>
        <v/>
      </c>
      <c r="O84" s="23" t="s">
        <v>502</v>
      </c>
      <c r="P84" s="23">
        <v>3.1459999999999999</v>
      </c>
      <c r="Q84" s="29">
        <v>0.2555</v>
      </c>
      <c r="R84" s="29"/>
      <c r="S84" s="24" t="s">
        <v>526</v>
      </c>
      <c r="T84" s="24" t="str">
        <f t="shared" si="9"/>
        <v>Echec technique</v>
      </c>
      <c r="U84" s="24" t="s">
        <v>44</v>
      </c>
      <c r="V84" s="24" t="str">
        <f t="shared" si="10"/>
        <v/>
      </c>
      <c r="W84" s="24" t="s">
        <v>502</v>
      </c>
      <c r="X84" s="23">
        <v>3.5</v>
      </c>
      <c r="Y84" s="23">
        <v>5.4358000000000004</v>
      </c>
      <c r="Z84" s="23"/>
      <c r="AA84" s="24" t="s">
        <v>527</v>
      </c>
      <c r="AB84" s="24" t="str">
        <f t="shared" si="11"/>
        <v>Censure haute</v>
      </c>
      <c r="AC84" s="23" t="s">
        <v>35</v>
      </c>
      <c r="AD84" s="23" t="s">
        <v>561</v>
      </c>
      <c r="AE84" s="23" t="str">
        <f t="shared" si="12"/>
        <v/>
      </c>
      <c r="AF84" s="23"/>
      <c r="AG84" s="23" t="str">
        <f t="shared" si="13"/>
        <v/>
      </c>
      <c r="AH84" s="24" t="s">
        <v>527</v>
      </c>
      <c r="AI84" s="23">
        <v>3.5</v>
      </c>
      <c r="AJ84" s="23">
        <v>1.9039999999999999</v>
      </c>
      <c r="AK84" s="23"/>
      <c r="AL84" s="24" t="s">
        <v>527</v>
      </c>
      <c r="AM84" s="24">
        <v>210</v>
      </c>
      <c r="AN84" s="24">
        <v>0</v>
      </c>
      <c r="AO84" s="24">
        <f>IF(ISBLANK(AM84),"",IF(AM84=92,IF(T84="Censure haute",120,""),IF(AB84="Censure haute",120,"")))</f>
        <v>120</v>
      </c>
    </row>
    <row r="85" spans="1:41" x14ac:dyDescent="0.3">
      <c r="A85" s="24" t="s">
        <v>141</v>
      </c>
      <c r="B85" s="24" t="s">
        <v>516</v>
      </c>
      <c r="C85" s="25" t="s">
        <v>518</v>
      </c>
      <c r="D85" s="26">
        <v>15.7</v>
      </c>
      <c r="E85" s="24" t="s">
        <v>521</v>
      </c>
      <c r="F85" s="27" t="s">
        <v>525</v>
      </c>
      <c r="G85" s="28">
        <v>44453</v>
      </c>
      <c r="H85" s="28">
        <v>44477</v>
      </c>
      <c r="I85" s="24">
        <v>11</v>
      </c>
      <c r="J85" s="24" t="s">
        <v>33</v>
      </c>
      <c r="K85" s="24" t="s">
        <v>526</v>
      </c>
      <c r="L85" s="24" t="str">
        <f t="shared" si="7"/>
        <v>Censure haute</v>
      </c>
      <c r="M85" s="23" t="s">
        <v>35</v>
      </c>
      <c r="N85" s="23" t="str">
        <f t="shared" si="8"/>
        <v/>
      </c>
      <c r="O85" s="24" t="s">
        <v>527</v>
      </c>
      <c r="P85" s="23">
        <v>3.157</v>
      </c>
      <c r="Q85" s="29">
        <v>2.7589999999999999</v>
      </c>
      <c r="R85" s="29"/>
      <c r="S85" s="24" t="s">
        <v>527</v>
      </c>
      <c r="T85" s="24" t="str">
        <f t="shared" si="9"/>
        <v>Censure haute</v>
      </c>
      <c r="U85" s="24" t="s">
        <v>35</v>
      </c>
      <c r="V85" s="24" t="str">
        <f t="shared" si="10"/>
        <v/>
      </c>
      <c r="W85" s="24" t="s">
        <v>527</v>
      </c>
      <c r="X85" s="23">
        <v>3.3069999999999999</v>
      </c>
      <c r="Y85" s="23">
        <v>2.6413000000000002</v>
      </c>
      <c r="Z85" s="23">
        <v>2.5695000000000001</v>
      </c>
      <c r="AA85" s="24" t="s">
        <v>527</v>
      </c>
      <c r="AB85" s="24" t="str">
        <f t="shared" si="11"/>
        <v>Non testé</v>
      </c>
      <c r="AC85" s="23" t="s">
        <v>44</v>
      </c>
      <c r="AD85" s="23" t="s">
        <v>561</v>
      </c>
      <c r="AE85" s="23" t="str">
        <f t="shared" si="12"/>
        <v/>
      </c>
      <c r="AF85" s="23"/>
      <c r="AG85" s="23" t="str">
        <f t="shared" si="13"/>
        <v/>
      </c>
      <c r="AH85" s="24" t="s">
        <v>502</v>
      </c>
      <c r="AI85" s="23">
        <v>3.09</v>
      </c>
      <c r="AJ85" s="23">
        <v>5.8594999999999997</v>
      </c>
      <c r="AK85" s="23"/>
      <c r="AL85" s="24" t="s">
        <v>527</v>
      </c>
      <c r="AM85" s="24"/>
      <c r="AN85" s="24"/>
      <c r="AO85" s="24" t="str">
        <f>IF(ISBLANK(AM85),"",IF(AM85=92,IF(T85="Censure haute",120,""),IF(AB85="Censure haute",120,"")))</f>
        <v/>
      </c>
    </row>
    <row r="86" spans="1:41" x14ac:dyDescent="0.3">
      <c r="A86" s="24" t="s">
        <v>143</v>
      </c>
      <c r="B86" s="24" t="s">
        <v>516</v>
      </c>
      <c r="C86" s="30"/>
      <c r="D86" s="26">
        <v>31.4</v>
      </c>
      <c r="E86" s="24" t="s">
        <v>522</v>
      </c>
      <c r="F86" s="27" t="s">
        <v>525</v>
      </c>
      <c r="G86" s="28">
        <v>44453</v>
      </c>
      <c r="H86" s="28">
        <v>44477</v>
      </c>
      <c r="I86" s="24">
        <v>12</v>
      </c>
      <c r="J86" s="24" t="s">
        <v>33</v>
      </c>
      <c r="K86" s="24" t="s">
        <v>527</v>
      </c>
      <c r="L86" s="24" t="str">
        <f t="shared" si="7"/>
        <v>Censure haute</v>
      </c>
      <c r="M86" s="23" t="s">
        <v>35</v>
      </c>
      <c r="N86" s="23" t="str">
        <f t="shared" si="8"/>
        <v/>
      </c>
      <c r="O86" s="24" t="s">
        <v>527</v>
      </c>
      <c r="P86" s="23">
        <v>3.165</v>
      </c>
      <c r="Q86" s="29">
        <v>4.5600000000000002E-2</v>
      </c>
      <c r="R86" s="29"/>
      <c r="S86" s="24" t="s">
        <v>526</v>
      </c>
      <c r="T86" s="24" t="str">
        <f t="shared" si="9"/>
        <v>Censure haute</v>
      </c>
      <c r="U86" s="24" t="s">
        <v>35</v>
      </c>
      <c r="V86" s="24" t="str">
        <f t="shared" si="10"/>
        <v/>
      </c>
      <c r="W86" s="24" t="s">
        <v>527</v>
      </c>
      <c r="X86" s="23">
        <v>3.5</v>
      </c>
      <c r="Y86" s="23">
        <v>7.3999999999999996E-2</v>
      </c>
      <c r="Z86" s="23"/>
      <c r="AA86" s="24" t="s">
        <v>526</v>
      </c>
      <c r="AB86" s="24" t="str">
        <f t="shared" si="11"/>
        <v>Censure haute</v>
      </c>
      <c r="AC86" s="23" t="s">
        <v>35</v>
      </c>
      <c r="AD86" s="23" t="s">
        <v>561</v>
      </c>
      <c r="AE86" s="23" t="str">
        <f t="shared" si="12"/>
        <v/>
      </c>
      <c r="AF86" s="23"/>
      <c r="AG86" s="23" t="str">
        <f t="shared" si="13"/>
        <v/>
      </c>
      <c r="AH86" s="24" t="s">
        <v>527</v>
      </c>
      <c r="AI86" s="23">
        <v>3.351</v>
      </c>
      <c r="AJ86" s="23">
        <v>0.21690000000000001</v>
      </c>
      <c r="AK86" s="23"/>
      <c r="AL86" s="24" t="s">
        <v>526</v>
      </c>
      <c r="AM86" s="24">
        <v>210</v>
      </c>
      <c r="AN86" s="24">
        <v>0</v>
      </c>
      <c r="AO86" s="24">
        <f>IF(ISBLANK(AM86),"",IF(AM86=92,IF(T86="Censure haute",120,""),IF(AB86="Censure haute",120,"")))</f>
        <v>120</v>
      </c>
    </row>
    <row r="87" spans="1:41" x14ac:dyDescent="0.3">
      <c r="A87" s="24" t="s">
        <v>144</v>
      </c>
      <c r="B87" s="24" t="s">
        <v>516</v>
      </c>
      <c r="C87" s="25" t="s">
        <v>518</v>
      </c>
      <c r="D87" s="26">
        <v>21.7</v>
      </c>
      <c r="E87" s="24" t="s">
        <v>521</v>
      </c>
      <c r="F87" s="27" t="s">
        <v>525</v>
      </c>
      <c r="G87" s="28">
        <v>44453</v>
      </c>
      <c r="H87" s="28">
        <v>44477</v>
      </c>
      <c r="I87" s="24">
        <v>12</v>
      </c>
      <c r="J87" s="24" t="s">
        <v>33</v>
      </c>
      <c r="K87" s="24" t="s">
        <v>527</v>
      </c>
      <c r="L87" s="24" t="str">
        <f t="shared" si="7"/>
        <v>Censure haute</v>
      </c>
      <c r="M87" s="23" t="s">
        <v>35</v>
      </c>
      <c r="N87" s="23" t="str">
        <f t="shared" si="8"/>
        <v/>
      </c>
      <c r="O87" s="24" t="s">
        <v>527</v>
      </c>
      <c r="P87" s="23">
        <v>3.1829999999999998</v>
      </c>
      <c r="Q87" s="29">
        <v>1.5546</v>
      </c>
      <c r="R87" s="29"/>
      <c r="S87" s="24" t="s">
        <v>527</v>
      </c>
      <c r="T87" s="24" t="str">
        <f t="shared" si="9"/>
        <v>Censure haute</v>
      </c>
      <c r="U87" s="24" t="s">
        <v>35</v>
      </c>
      <c r="V87" s="24" t="str">
        <f t="shared" si="10"/>
        <v/>
      </c>
      <c r="W87" s="24" t="s">
        <v>527</v>
      </c>
      <c r="X87" s="23">
        <v>3.1960000000000002</v>
      </c>
      <c r="Y87" s="23">
        <v>0.64570000000000005</v>
      </c>
      <c r="Z87" s="23"/>
      <c r="AA87" s="24" t="s">
        <v>526</v>
      </c>
      <c r="AB87" s="24" t="str">
        <f t="shared" si="11"/>
        <v>Non testé</v>
      </c>
      <c r="AC87" s="23" t="s">
        <v>44</v>
      </c>
      <c r="AD87" s="23" t="s">
        <v>561</v>
      </c>
      <c r="AE87" s="23" t="str">
        <f t="shared" si="12"/>
        <v/>
      </c>
      <c r="AF87" s="23"/>
      <c r="AG87" s="23" t="str">
        <f t="shared" si="13"/>
        <v/>
      </c>
      <c r="AH87" s="24" t="s">
        <v>502</v>
      </c>
      <c r="AI87" s="23">
        <v>2.5990000000000002</v>
      </c>
      <c r="AJ87" s="23">
        <v>4.7828999999999997</v>
      </c>
      <c r="AK87" s="23"/>
      <c r="AL87" s="24" t="s">
        <v>527</v>
      </c>
      <c r="AM87" s="24">
        <v>210</v>
      </c>
      <c r="AN87" s="24">
        <v>0</v>
      </c>
      <c r="AO87" s="24" t="str">
        <f>IF(ISBLANK(AM87),"",IF(AM87=92,IF(T87="Censure haute",120,""),IF(AB87="Censure haute",120,"")))</f>
        <v/>
      </c>
    </row>
    <row r="88" spans="1:41" x14ac:dyDescent="0.3">
      <c r="A88" s="24" t="s">
        <v>145</v>
      </c>
      <c r="B88" s="24" t="s">
        <v>516</v>
      </c>
      <c r="C88" s="25"/>
      <c r="D88" s="26">
        <v>20.3</v>
      </c>
      <c r="E88" s="24" t="s">
        <v>521</v>
      </c>
      <c r="F88" s="27" t="s">
        <v>525</v>
      </c>
      <c r="G88" s="28">
        <v>44453</v>
      </c>
      <c r="H88" s="28">
        <v>44476</v>
      </c>
      <c r="I88" s="24">
        <v>15</v>
      </c>
      <c r="J88" s="24" t="s">
        <v>43</v>
      </c>
      <c r="K88" s="24" t="s">
        <v>527</v>
      </c>
      <c r="L88" s="24" t="str">
        <f t="shared" si="7"/>
        <v>Censure haute</v>
      </c>
      <c r="M88" s="23" t="s">
        <v>35</v>
      </c>
      <c r="N88" s="23" t="str">
        <f t="shared" si="8"/>
        <v/>
      </c>
      <c r="O88" s="24" t="s">
        <v>527</v>
      </c>
      <c r="P88" s="23">
        <v>3.1949999999999998</v>
      </c>
      <c r="Q88" s="29">
        <v>0.4637</v>
      </c>
      <c r="R88" s="29"/>
      <c r="S88" s="24" t="s">
        <v>526</v>
      </c>
      <c r="T88" s="24" t="str">
        <f t="shared" si="9"/>
        <v>Normal</v>
      </c>
      <c r="U88" s="24">
        <v>14.909599999999999</v>
      </c>
      <c r="V88" s="24">
        <f t="shared" si="10"/>
        <v>14.909599999999999</v>
      </c>
      <c r="W88" s="24" t="s">
        <v>527</v>
      </c>
      <c r="X88" s="23">
        <v>3.5</v>
      </c>
      <c r="Y88" s="23">
        <v>2.5341999999999998</v>
      </c>
      <c r="Z88" s="23"/>
      <c r="AA88" s="24" t="s">
        <v>527</v>
      </c>
      <c r="AB88" s="24" t="str">
        <f t="shared" si="11"/>
        <v>Normal</v>
      </c>
      <c r="AC88" s="23">
        <v>80372</v>
      </c>
      <c r="AD88" s="23">
        <v>8.0372000000000003</v>
      </c>
      <c r="AE88" s="23" t="str">
        <f t="shared" si="12"/>
        <v/>
      </c>
      <c r="AF88" s="23"/>
      <c r="AG88" s="23" t="str">
        <f t="shared" si="13"/>
        <v/>
      </c>
      <c r="AH88" s="24" t="s">
        <v>503</v>
      </c>
      <c r="AI88" s="23">
        <v>2.9940000000000002</v>
      </c>
      <c r="AJ88" s="23">
        <v>0.91800000000000004</v>
      </c>
      <c r="AK88" s="23"/>
      <c r="AL88" s="24" t="s">
        <v>526</v>
      </c>
      <c r="AM88" s="24"/>
      <c r="AN88" s="24"/>
      <c r="AO88" s="24" t="str">
        <f>IF(ISBLANK(AM88),"",IF(AM88=92,IF(T88="Censure haute",120,""),IF(AB88="Censure haute",120,"")))</f>
        <v/>
      </c>
    </row>
    <row r="89" spans="1:41" x14ac:dyDescent="0.3">
      <c r="A89" s="24" t="s">
        <v>146</v>
      </c>
      <c r="B89" s="24" t="s">
        <v>516</v>
      </c>
      <c r="C89" s="25" t="s">
        <v>518</v>
      </c>
      <c r="D89" s="26">
        <v>15.1</v>
      </c>
      <c r="E89" s="24" t="s">
        <v>521</v>
      </c>
      <c r="F89" s="27" t="s">
        <v>525</v>
      </c>
      <c r="G89" s="28">
        <v>44453</v>
      </c>
      <c r="H89" s="28">
        <v>44477</v>
      </c>
      <c r="I89" s="24">
        <v>12</v>
      </c>
      <c r="J89" s="24" t="s">
        <v>33</v>
      </c>
      <c r="K89" s="24" t="s">
        <v>526</v>
      </c>
      <c r="L89" s="24" t="str">
        <f t="shared" si="7"/>
        <v>Censure haute</v>
      </c>
      <c r="M89" s="23" t="s">
        <v>35</v>
      </c>
      <c r="N89" s="23" t="str">
        <f t="shared" si="8"/>
        <v/>
      </c>
      <c r="O89" s="24" t="s">
        <v>527</v>
      </c>
      <c r="P89" s="23">
        <v>3.2050000000000001</v>
      </c>
      <c r="Q89" s="29">
        <v>1.1581999999999999</v>
      </c>
      <c r="R89" s="29"/>
      <c r="S89" s="24" t="s">
        <v>527</v>
      </c>
      <c r="T89" s="24" t="str">
        <f t="shared" si="9"/>
        <v>Normal</v>
      </c>
      <c r="U89" s="24">
        <v>84.845100000000002</v>
      </c>
      <c r="V89" s="24">
        <f t="shared" si="10"/>
        <v>84.845100000000002</v>
      </c>
      <c r="W89" s="24" t="s">
        <v>527</v>
      </c>
      <c r="X89" s="23">
        <v>3.5</v>
      </c>
      <c r="Y89" s="23">
        <v>5.1192000000000002</v>
      </c>
      <c r="Z89" s="23"/>
      <c r="AA89" s="24" t="s">
        <v>527</v>
      </c>
      <c r="AB89" s="24" t="str">
        <f t="shared" si="11"/>
        <v>Normal</v>
      </c>
      <c r="AC89" s="23">
        <v>48724</v>
      </c>
      <c r="AD89" s="23">
        <v>4.8723999999999998</v>
      </c>
      <c r="AE89" s="23" t="str">
        <f t="shared" si="12"/>
        <v/>
      </c>
      <c r="AF89" s="23"/>
      <c r="AG89" s="23" t="str">
        <f t="shared" si="13"/>
        <v/>
      </c>
      <c r="AH89" s="24" t="s">
        <v>527</v>
      </c>
      <c r="AI89" s="23">
        <v>3.0310000000000001</v>
      </c>
      <c r="AJ89" s="23">
        <v>2.1414</v>
      </c>
      <c r="AK89" s="23"/>
      <c r="AL89" s="24" t="s">
        <v>527</v>
      </c>
      <c r="AM89" s="24"/>
      <c r="AN89" s="24"/>
      <c r="AO89" s="24" t="str">
        <f>IF(ISBLANK(AM89),"",IF(AM89=92,IF(T89="Censure haute",120,""),IF(AB89="Censure haute",120,"")))</f>
        <v/>
      </c>
    </row>
    <row r="90" spans="1:41" x14ac:dyDescent="0.3">
      <c r="A90" s="24" t="s">
        <v>147</v>
      </c>
      <c r="B90" s="24" t="s">
        <v>517</v>
      </c>
      <c r="C90" s="30" t="s">
        <v>518</v>
      </c>
      <c r="D90" s="26">
        <v>20.5</v>
      </c>
      <c r="E90" s="24" t="s">
        <v>521</v>
      </c>
      <c r="F90" s="27" t="s">
        <v>525</v>
      </c>
      <c r="G90" s="28">
        <v>44453</v>
      </c>
      <c r="H90" s="28">
        <v>44476</v>
      </c>
      <c r="I90" s="24">
        <v>14</v>
      </c>
      <c r="J90" s="24" t="s">
        <v>43</v>
      </c>
      <c r="K90" s="24" t="s">
        <v>526</v>
      </c>
      <c r="L90" s="24" t="str">
        <f t="shared" si="7"/>
        <v>Censure haute</v>
      </c>
      <c r="M90" s="23" t="s">
        <v>35</v>
      </c>
      <c r="N90" s="23" t="str">
        <f t="shared" si="8"/>
        <v/>
      </c>
      <c r="O90" s="24" t="s">
        <v>527</v>
      </c>
      <c r="P90" s="23">
        <v>3.2170000000000001</v>
      </c>
      <c r="Q90" s="29">
        <v>0.60660000000000003</v>
      </c>
      <c r="R90" s="29"/>
      <c r="S90" s="24" t="s">
        <v>526</v>
      </c>
      <c r="T90" s="24" t="str">
        <f t="shared" si="9"/>
        <v>Censure haute</v>
      </c>
      <c r="U90" s="24" t="s">
        <v>35</v>
      </c>
      <c r="V90" s="24" t="str">
        <f t="shared" si="10"/>
        <v/>
      </c>
      <c r="W90" s="24" t="s">
        <v>527</v>
      </c>
      <c r="X90" s="23">
        <v>3.1280000000000001</v>
      </c>
      <c r="Y90" s="23">
        <v>0.36420000000000002</v>
      </c>
      <c r="Z90" s="23"/>
      <c r="AA90" s="24" t="s">
        <v>526</v>
      </c>
      <c r="AB90" s="24" t="str">
        <f t="shared" si="11"/>
        <v>Censure haute</v>
      </c>
      <c r="AC90" s="23" t="s">
        <v>35</v>
      </c>
      <c r="AD90" s="23" t="s">
        <v>561</v>
      </c>
      <c r="AE90" s="23" t="str">
        <f t="shared" si="12"/>
        <v/>
      </c>
      <c r="AF90" s="23"/>
      <c r="AG90" s="23" t="str">
        <f t="shared" si="13"/>
        <v/>
      </c>
      <c r="AH90" s="24" t="s">
        <v>527</v>
      </c>
      <c r="AI90" s="23">
        <v>3.3759999999999999</v>
      </c>
      <c r="AJ90" s="23">
        <v>4.7089999999999996</v>
      </c>
      <c r="AK90" s="23"/>
      <c r="AL90" s="24" t="s">
        <v>527</v>
      </c>
      <c r="AM90" s="24">
        <v>210</v>
      </c>
      <c r="AN90" s="24">
        <v>0</v>
      </c>
      <c r="AO90" s="24">
        <f>IF(ISBLANK(AM90),"",IF(AM90=92,IF(T90="Censure haute",120,""),IF(AB90="Censure haute",120,"")))</f>
        <v>120</v>
      </c>
    </row>
    <row r="91" spans="1:41" x14ac:dyDescent="0.3">
      <c r="A91" s="24" t="s">
        <v>148</v>
      </c>
      <c r="B91" s="24" t="s">
        <v>517</v>
      </c>
      <c r="C91" s="25"/>
      <c r="D91" s="26">
        <v>25.6</v>
      </c>
      <c r="E91" s="24" t="s">
        <v>522</v>
      </c>
      <c r="F91" s="27" t="s">
        <v>525</v>
      </c>
      <c r="G91" s="28">
        <v>44453</v>
      </c>
      <c r="H91" s="28">
        <v>44477</v>
      </c>
      <c r="I91" s="24">
        <v>12</v>
      </c>
      <c r="J91" s="24" t="s">
        <v>33</v>
      </c>
      <c r="K91" s="24" t="s">
        <v>526</v>
      </c>
      <c r="L91" s="24" t="str">
        <f t="shared" si="7"/>
        <v>Censure haute</v>
      </c>
      <c r="M91" s="23" t="s">
        <v>35</v>
      </c>
      <c r="N91" s="23" t="str">
        <f t="shared" si="8"/>
        <v/>
      </c>
      <c r="O91" s="24" t="s">
        <v>527</v>
      </c>
      <c r="P91" s="23">
        <v>3.2229999999999999</v>
      </c>
      <c r="Q91" s="29">
        <v>0.54069999999999996</v>
      </c>
      <c r="R91" s="29"/>
      <c r="S91" s="24" t="s">
        <v>526</v>
      </c>
      <c r="T91" s="24" t="str">
        <f t="shared" si="9"/>
        <v>Normal</v>
      </c>
      <c r="U91" s="24">
        <v>1.1276999999999999</v>
      </c>
      <c r="V91" s="24">
        <f t="shared" si="10"/>
        <v>1.1276999999999999</v>
      </c>
      <c r="W91" s="24" t="s">
        <v>526</v>
      </c>
      <c r="X91" s="23">
        <v>3.1179999999999999</v>
      </c>
      <c r="Y91" s="23">
        <v>0.19650000000000001</v>
      </c>
      <c r="Z91" s="23"/>
      <c r="AA91" s="24" t="s">
        <v>526</v>
      </c>
      <c r="AB91" s="24" t="str">
        <f t="shared" si="11"/>
        <v>Normal</v>
      </c>
      <c r="AC91" s="23">
        <v>376285</v>
      </c>
      <c r="AD91" s="23">
        <v>37.628500000000003</v>
      </c>
      <c r="AE91" s="23" t="str">
        <f t="shared" si="12"/>
        <v/>
      </c>
      <c r="AF91" s="23"/>
      <c r="AG91" s="23" t="str">
        <f t="shared" si="13"/>
        <v/>
      </c>
      <c r="AH91" s="24" t="s">
        <v>527</v>
      </c>
      <c r="AI91" s="23">
        <v>3.0230000000000001</v>
      </c>
      <c r="AJ91" s="23">
        <v>3.3176000000000001</v>
      </c>
      <c r="AK91" s="23"/>
      <c r="AL91" s="24" t="s">
        <v>527</v>
      </c>
      <c r="AM91" s="24"/>
      <c r="AN91" s="24"/>
      <c r="AO91" s="24" t="str">
        <f>IF(ISBLANK(AM91),"",IF(AM91=92,IF(T91="Censure haute",120,""),IF(AB91="Censure haute",120,"")))</f>
        <v/>
      </c>
    </row>
    <row r="92" spans="1:41" x14ac:dyDescent="0.3">
      <c r="A92" s="24" t="s">
        <v>149</v>
      </c>
      <c r="B92" s="24" t="s">
        <v>516</v>
      </c>
      <c r="C92" s="25"/>
      <c r="D92" s="26">
        <v>14.7</v>
      </c>
      <c r="E92" s="24" t="s">
        <v>523</v>
      </c>
      <c r="F92" s="27" t="s">
        <v>525</v>
      </c>
      <c r="G92" s="28">
        <v>44466</v>
      </c>
      <c r="H92" s="28">
        <v>44487</v>
      </c>
      <c r="I92" s="24">
        <v>11</v>
      </c>
      <c r="J92" s="24" t="s">
        <v>33</v>
      </c>
      <c r="K92" s="24" t="s">
        <v>526</v>
      </c>
      <c r="L92" s="24" t="str">
        <f t="shared" si="7"/>
        <v>Censure haute</v>
      </c>
      <c r="M92" s="23" t="s">
        <v>35</v>
      </c>
      <c r="N92" s="23" t="str">
        <f t="shared" si="8"/>
        <v/>
      </c>
      <c r="O92" s="24" t="s">
        <v>527</v>
      </c>
      <c r="P92" s="23">
        <v>3.2650000000000001</v>
      </c>
      <c r="Q92" s="29">
        <v>1.0329999999999999</v>
      </c>
      <c r="R92" s="29"/>
      <c r="S92" s="24" t="s">
        <v>526</v>
      </c>
      <c r="T92" s="24" t="str">
        <f t="shared" si="9"/>
        <v>Censure haute</v>
      </c>
      <c r="U92" s="24" t="s">
        <v>35</v>
      </c>
      <c r="V92" s="24" t="str">
        <f t="shared" si="10"/>
        <v/>
      </c>
      <c r="W92" s="24" t="s">
        <v>527</v>
      </c>
      <c r="X92" s="23">
        <v>3.0640000000000001</v>
      </c>
      <c r="Y92" s="23">
        <v>5.7061000000000002</v>
      </c>
      <c r="Z92" s="23"/>
      <c r="AA92" s="24" t="s">
        <v>527</v>
      </c>
      <c r="AB92" s="24" t="str">
        <f t="shared" si="11"/>
        <v>Normal</v>
      </c>
      <c r="AC92" s="23">
        <v>713687</v>
      </c>
      <c r="AD92" s="23">
        <v>71.368700000000004</v>
      </c>
      <c r="AE92" s="23" t="str">
        <f t="shared" si="12"/>
        <v/>
      </c>
      <c r="AF92" s="23"/>
      <c r="AG92" s="23" t="str">
        <f t="shared" si="13"/>
        <v/>
      </c>
      <c r="AH92" s="24" t="s">
        <v>527</v>
      </c>
      <c r="AI92" s="23">
        <v>3.5</v>
      </c>
      <c r="AJ92" s="23">
        <v>1.3154999999999999</v>
      </c>
      <c r="AK92" s="23"/>
      <c r="AL92" s="24" t="s">
        <v>527</v>
      </c>
      <c r="AM92" s="24"/>
      <c r="AN92" s="24"/>
      <c r="AO92" s="24" t="str">
        <f>IF(ISBLANK(AM92),"",IF(AM92=92,IF(T92="Censure haute",120,""),IF(AB92="Censure haute",120,"")))</f>
        <v/>
      </c>
    </row>
    <row r="93" spans="1:41" x14ac:dyDescent="0.3">
      <c r="A93" s="24" t="s">
        <v>150</v>
      </c>
      <c r="B93" s="24" t="s">
        <v>517</v>
      </c>
      <c r="C93" s="25"/>
      <c r="D93" s="26">
        <v>23.7</v>
      </c>
      <c r="E93" s="24" t="s">
        <v>521</v>
      </c>
      <c r="F93" s="27" t="s">
        <v>525</v>
      </c>
      <c r="G93" s="28">
        <v>44454</v>
      </c>
      <c r="H93" s="28">
        <v>44476</v>
      </c>
      <c r="I93" s="24">
        <v>15</v>
      </c>
      <c r="J93" s="24" t="s">
        <v>43</v>
      </c>
      <c r="K93" s="24" t="s">
        <v>526</v>
      </c>
      <c r="L93" s="24" t="str">
        <f t="shared" si="7"/>
        <v>Censure haute</v>
      </c>
      <c r="M93" s="23" t="s">
        <v>35</v>
      </c>
      <c r="N93" s="23" t="str">
        <f t="shared" si="8"/>
        <v/>
      </c>
      <c r="O93" s="24" t="s">
        <v>527</v>
      </c>
      <c r="P93" s="23">
        <v>3.31</v>
      </c>
      <c r="Q93" s="29">
        <v>1.5855999999999999</v>
      </c>
      <c r="R93" s="29"/>
      <c r="S93" s="24" t="s">
        <v>527</v>
      </c>
      <c r="T93" s="24" t="str">
        <f t="shared" si="9"/>
        <v>Echec technique</v>
      </c>
      <c r="U93" s="24" t="s">
        <v>44</v>
      </c>
      <c r="V93" s="24" t="str">
        <f t="shared" si="10"/>
        <v/>
      </c>
      <c r="W93" s="24" t="s">
        <v>502</v>
      </c>
      <c r="X93" s="23">
        <v>3.335</v>
      </c>
      <c r="Y93" s="23">
        <v>5.6496000000000004</v>
      </c>
      <c r="Z93" s="23"/>
      <c r="AA93" s="24" t="s">
        <v>527</v>
      </c>
      <c r="AB93" s="24" t="str">
        <f t="shared" si="11"/>
        <v>Censure haute</v>
      </c>
      <c r="AC93" s="23" t="s">
        <v>35</v>
      </c>
      <c r="AD93" s="23" t="s">
        <v>561</v>
      </c>
      <c r="AE93" s="23" t="str">
        <f t="shared" si="12"/>
        <v/>
      </c>
      <c r="AF93" s="23"/>
      <c r="AG93" s="23" t="str">
        <f t="shared" si="13"/>
        <v/>
      </c>
      <c r="AH93" s="24" t="s">
        <v>527</v>
      </c>
      <c r="AI93" s="23">
        <v>3.5</v>
      </c>
      <c r="AJ93" s="23">
        <v>1.4552</v>
      </c>
      <c r="AK93" s="23"/>
      <c r="AL93" s="24" t="s">
        <v>527</v>
      </c>
      <c r="AM93" s="24">
        <v>210</v>
      </c>
      <c r="AN93" s="24">
        <v>0</v>
      </c>
      <c r="AO93" s="24">
        <f>IF(ISBLANK(AM93),"",IF(AM93=92,IF(T93="Censure haute",120,""),IF(AB93="Censure haute",120,"")))</f>
        <v>120</v>
      </c>
    </row>
    <row r="94" spans="1:41" x14ac:dyDescent="0.3">
      <c r="A94" s="24" t="s">
        <v>151</v>
      </c>
      <c r="B94" s="24" t="s">
        <v>517</v>
      </c>
      <c r="C94" s="25" t="s">
        <v>518</v>
      </c>
      <c r="D94" s="26">
        <v>14.6</v>
      </c>
      <c r="E94" s="24" t="s">
        <v>523</v>
      </c>
      <c r="F94" s="27" t="s">
        <v>525</v>
      </c>
      <c r="G94" s="28">
        <v>44453</v>
      </c>
      <c r="H94" s="28">
        <v>44476</v>
      </c>
      <c r="I94" s="24">
        <v>12</v>
      </c>
      <c r="J94" s="24" t="s">
        <v>33</v>
      </c>
      <c r="K94" s="24" t="s">
        <v>526</v>
      </c>
      <c r="L94" s="24" t="str">
        <f t="shared" si="7"/>
        <v>Censure haute</v>
      </c>
      <c r="M94" s="23" t="s">
        <v>35</v>
      </c>
      <c r="N94" s="23" t="str">
        <f t="shared" si="8"/>
        <v/>
      </c>
      <c r="O94" s="24" t="s">
        <v>527</v>
      </c>
      <c r="P94" s="23">
        <v>3.355</v>
      </c>
      <c r="Q94" s="29">
        <v>1.302</v>
      </c>
      <c r="R94" s="29"/>
      <c r="S94" s="24" t="s">
        <v>527</v>
      </c>
      <c r="T94" s="24" t="str">
        <f t="shared" si="9"/>
        <v>Censure haute</v>
      </c>
      <c r="U94" s="24" t="s">
        <v>35</v>
      </c>
      <c r="V94" s="24" t="str">
        <f t="shared" si="10"/>
        <v/>
      </c>
      <c r="W94" s="24" t="s">
        <v>527</v>
      </c>
      <c r="X94" s="23">
        <v>3.5</v>
      </c>
      <c r="Y94" s="23">
        <v>0.57140000000000002</v>
      </c>
      <c r="Z94" s="23">
        <v>0.55800000000000005</v>
      </c>
      <c r="AA94" s="24" t="s">
        <v>526</v>
      </c>
      <c r="AB94" s="24" t="str">
        <f t="shared" si="11"/>
        <v>Censure haute</v>
      </c>
      <c r="AC94" s="23" t="s">
        <v>35</v>
      </c>
      <c r="AD94" s="23" t="s">
        <v>561</v>
      </c>
      <c r="AE94" s="23" t="str">
        <f t="shared" si="12"/>
        <v/>
      </c>
      <c r="AF94" s="23"/>
      <c r="AG94" s="23" t="str">
        <f t="shared" si="13"/>
        <v/>
      </c>
      <c r="AH94" s="24" t="s">
        <v>527</v>
      </c>
      <c r="AI94" s="23">
        <v>3.0259999999999998</v>
      </c>
      <c r="AJ94" s="23">
        <v>0.42409999999999998</v>
      </c>
      <c r="AK94" s="23"/>
      <c r="AL94" s="24" t="s">
        <v>526</v>
      </c>
      <c r="AM94" s="24">
        <v>210</v>
      </c>
      <c r="AN94" s="24">
        <v>0</v>
      </c>
      <c r="AO94" s="24">
        <f>IF(ISBLANK(AM94),"",IF(AM94=92,IF(T94="Censure haute",120,""),IF(AB94="Censure haute",120,"")))</f>
        <v>120</v>
      </c>
    </row>
    <row r="95" spans="1:41" x14ac:dyDescent="0.3">
      <c r="A95" s="24" t="s">
        <v>153</v>
      </c>
      <c r="B95" s="24" t="s">
        <v>517</v>
      </c>
      <c r="C95" s="30" t="s">
        <v>519</v>
      </c>
      <c r="D95" s="26">
        <v>16.600000000000001</v>
      </c>
      <c r="E95" s="24" t="s">
        <v>521</v>
      </c>
      <c r="F95" s="27" t="s">
        <v>525</v>
      </c>
      <c r="G95" s="28">
        <v>44453</v>
      </c>
      <c r="H95" s="28">
        <v>44477</v>
      </c>
      <c r="I95" s="24">
        <v>12</v>
      </c>
      <c r="J95" s="24" t="s">
        <v>33</v>
      </c>
      <c r="K95" s="24" t="s">
        <v>527</v>
      </c>
      <c r="L95" s="24" t="str">
        <f t="shared" si="7"/>
        <v>Censure haute</v>
      </c>
      <c r="M95" s="23" t="s">
        <v>35</v>
      </c>
      <c r="N95" s="23" t="str">
        <f t="shared" si="8"/>
        <v/>
      </c>
      <c r="O95" s="24" t="s">
        <v>527</v>
      </c>
      <c r="P95" s="23">
        <v>3.3759999999999999</v>
      </c>
      <c r="Q95" s="29">
        <v>8.3099999999999993E-2</v>
      </c>
      <c r="R95" s="29"/>
      <c r="S95" s="24" t="s">
        <v>526</v>
      </c>
      <c r="T95" s="24" t="str">
        <f t="shared" si="9"/>
        <v>Normal</v>
      </c>
      <c r="U95" s="24">
        <v>14.121</v>
      </c>
      <c r="V95" s="24">
        <f t="shared" si="10"/>
        <v>14.121</v>
      </c>
      <c r="W95" s="24" t="s">
        <v>527</v>
      </c>
      <c r="X95" s="23">
        <v>3.1539999999999999</v>
      </c>
      <c r="Y95" s="23">
        <v>3.1322999999999999</v>
      </c>
      <c r="Z95" s="23"/>
      <c r="AA95" s="24" t="s">
        <v>527</v>
      </c>
      <c r="AB95" s="24" t="str">
        <f t="shared" si="11"/>
        <v>Normal</v>
      </c>
      <c r="AC95" s="31">
        <v>113462</v>
      </c>
      <c r="AD95" s="23">
        <v>11.3462</v>
      </c>
      <c r="AE95" s="23" t="str">
        <f t="shared" si="12"/>
        <v/>
      </c>
      <c r="AF95" s="24"/>
      <c r="AG95" s="23" t="str">
        <f t="shared" si="13"/>
        <v/>
      </c>
      <c r="AH95" s="24" t="s">
        <v>527</v>
      </c>
      <c r="AI95" s="23">
        <v>2.9409999999999998</v>
      </c>
      <c r="AJ95" s="23">
        <v>1.0847</v>
      </c>
      <c r="AK95" s="23"/>
      <c r="AL95" s="24" t="s">
        <v>526</v>
      </c>
      <c r="AM95" s="24"/>
      <c r="AN95" s="24"/>
      <c r="AO95" s="24" t="str">
        <f>IF(ISBLANK(AM95),"",IF(AM95=92,IF(T95="Censure haute",120,""),IF(AB95="Censure haute",120,"")))</f>
        <v/>
      </c>
    </row>
    <row r="96" spans="1:41" x14ac:dyDescent="0.3">
      <c r="A96" s="24" t="s">
        <v>154</v>
      </c>
      <c r="B96" s="24" t="s">
        <v>517</v>
      </c>
      <c r="C96" s="30" t="s">
        <v>519</v>
      </c>
      <c r="D96" s="26">
        <v>20.3</v>
      </c>
      <c r="E96" s="24" t="s">
        <v>521</v>
      </c>
      <c r="F96" s="27" t="s">
        <v>525</v>
      </c>
      <c r="G96" s="28">
        <v>44453</v>
      </c>
      <c r="H96" s="28">
        <v>44476</v>
      </c>
      <c r="I96" s="24">
        <v>14</v>
      </c>
      <c r="J96" s="24" t="s">
        <v>43</v>
      </c>
      <c r="K96" s="24" t="s">
        <v>526</v>
      </c>
      <c r="L96" s="24" t="str">
        <f t="shared" si="7"/>
        <v>Censure haute</v>
      </c>
      <c r="M96" s="23" t="s">
        <v>35</v>
      </c>
      <c r="N96" s="23" t="str">
        <f t="shared" si="8"/>
        <v/>
      </c>
      <c r="O96" s="24" t="s">
        <v>527</v>
      </c>
      <c r="P96" s="23">
        <v>3.3980000000000001</v>
      </c>
      <c r="Q96" s="29">
        <v>0.10589999999999999</v>
      </c>
      <c r="R96" s="29"/>
      <c r="S96" s="24" t="s">
        <v>526</v>
      </c>
      <c r="T96" s="24" t="str">
        <f t="shared" si="9"/>
        <v>Echec technique</v>
      </c>
      <c r="U96" s="24" t="s">
        <v>44</v>
      </c>
      <c r="V96" s="24" t="str">
        <f t="shared" si="10"/>
        <v/>
      </c>
      <c r="W96" s="24" t="s">
        <v>502</v>
      </c>
      <c r="X96" s="23">
        <v>3.081</v>
      </c>
      <c r="Y96" s="23">
        <v>2.9462000000000002</v>
      </c>
      <c r="Z96" s="23"/>
      <c r="AA96" s="24" t="s">
        <v>527</v>
      </c>
      <c r="AB96" s="24" t="str">
        <f t="shared" si="11"/>
        <v>Censure haute</v>
      </c>
      <c r="AC96" s="23" t="s">
        <v>35</v>
      </c>
      <c r="AD96" s="23" t="s">
        <v>561</v>
      </c>
      <c r="AE96" s="23" t="str">
        <f t="shared" si="12"/>
        <v/>
      </c>
      <c r="AF96" s="23"/>
      <c r="AG96" s="23" t="str">
        <f t="shared" si="13"/>
        <v/>
      </c>
      <c r="AH96" s="24" t="s">
        <v>527</v>
      </c>
      <c r="AI96" s="23">
        <v>3.5</v>
      </c>
      <c r="AJ96" s="23">
        <v>0.89670000000000005</v>
      </c>
      <c r="AK96" s="23"/>
      <c r="AL96" s="24" t="s">
        <v>526</v>
      </c>
      <c r="AM96" s="24">
        <v>210</v>
      </c>
      <c r="AN96" s="24">
        <v>0</v>
      </c>
      <c r="AO96" s="24">
        <f>IF(ISBLANK(AM96),"",IF(AM96=92,IF(T96="Censure haute",120,""),IF(AB96="Censure haute",120,"")))</f>
        <v>120</v>
      </c>
    </row>
    <row r="97" spans="1:41" x14ac:dyDescent="0.3">
      <c r="A97" s="24" t="s">
        <v>155</v>
      </c>
      <c r="B97" s="24" t="s">
        <v>516</v>
      </c>
      <c r="C97" s="25"/>
      <c r="D97" s="26">
        <v>19.600000000000001</v>
      </c>
      <c r="E97" s="24" t="s">
        <v>521</v>
      </c>
      <c r="F97" s="27" t="s">
        <v>525</v>
      </c>
      <c r="G97" s="28">
        <v>44453</v>
      </c>
      <c r="H97" s="28">
        <v>44477</v>
      </c>
      <c r="I97" s="24">
        <v>12</v>
      </c>
      <c r="J97" s="24" t="s">
        <v>33</v>
      </c>
      <c r="K97" s="24" t="s">
        <v>526</v>
      </c>
      <c r="L97" s="24" t="str">
        <f t="shared" si="7"/>
        <v>Censure haute</v>
      </c>
      <c r="M97" s="23" t="s">
        <v>35</v>
      </c>
      <c r="N97" s="23" t="str">
        <f t="shared" si="8"/>
        <v/>
      </c>
      <c r="O97" s="24" t="s">
        <v>527</v>
      </c>
      <c r="P97" s="23">
        <v>3.4049999999999998</v>
      </c>
      <c r="Q97" s="29">
        <v>8.0799999999999997E-2</v>
      </c>
      <c r="R97" s="29"/>
      <c r="S97" s="24" t="s">
        <v>526</v>
      </c>
      <c r="T97" s="24" t="str">
        <f t="shared" si="9"/>
        <v>Censure haute</v>
      </c>
      <c r="U97" s="24" t="s">
        <v>35</v>
      </c>
      <c r="V97" s="24" t="str">
        <f t="shared" si="10"/>
        <v/>
      </c>
      <c r="W97" s="24" t="s">
        <v>527</v>
      </c>
      <c r="X97" s="23">
        <v>3.5</v>
      </c>
      <c r="Y97" s="23">
        <v>8.8400000000000006E-2</v>
      </c>
      <c r="Z97" s="23"/>
      <c r="AA97" s="24" t="s">
        <v>526</v>
      </c>
      <c r="AB97" s="24" t="str">
        <f t="shared" si="11"/>
        <v>Censure haute</v>
      </c>
      <c r="AC97" s="23" t="s">
        <v>35</v>
      </c>
      <c r="AD97" s="23" t="s">
        <v>561</v>
      </c>
      <c r="AE97" s="23" t="str">
        <f t="shared" si="12"/>
        <v/>
      </c>
      <c r="AF97" s="23"/>
      <c r="AG97" s="23" t="str">
        <f t="shared" si="13"/>
        <v/>
      </c>
      <c r="AH97" s="24" t="s">
        <v>527</v>
      </c>
      <c r="AI97" s="23">
        <v>3.5</v>
      </c>
      <c r="AJ97" s="23">
        <v>7.3099999999999998E-2</v>
      </c>
      <c r="AK97" s="23"/>
      <c r="AL97" s="24" t="s">
        <v>526</v>
      </c>
      <c r="AM97" s="24">
        <v>210</v>
      </c>
      <c r="AN97" s="24">
        <v>0</v>
      </c>
      <c r="AO97" s="24">
        <f>IF(ISBLANK(AM97),"",IF(AM97=92,IF(T97="Censure haute",120,""),IF(AB97="Censure haute",120,"")))</f>
        <v>120</v>
      </c>
    </row>
    <row r="98" spans="1:41" x14ac:dyDescent="0.3">
      <c r="A98" s="24" t="s">
        <v>156</v>
      </c>
      <c r="B98" s="24" t="s">
        <v>516</v>
      </c>
      <c r="C98" s="25"/>
      <c r="D98" s="26">
        <v>29.1</v>
      </c>
      <c r="E98" s="24" t="s">
        <v>522</v>
      </c>
      <c r="F98" s="27" t="s">
        <v>525</v>
      </c>
      <c r="G98" s="28">
        <v>44453</v>
      </c>
      <c r="H98" s="28">
        <v>44477</v>
      </c>
      <c r="I98" s="24">
        <v>15</v>
      </c>
      <c r="J98" s="24" t="s">
        <v>43</v>
      </c>
      <c r="K98" s="24" t="s">
        <v>526</v>
      </c>
      <c r="L98" s="24" t="str">
        <f t="shared" si="7"/>
        <v>Censure haute</v>
      </c>
      <c r="M98" s="23" t="s">
        <v>35</v>
      </c>
      <c r="N98" s="23" t="str">
        <f t="shared" si="8"/>
        <v/>
      </c>
      <c r="O98" s="24" t="s">
        <v>527</v>
      </c>
      <c r="P98" s="23">
        <v>3.4159999999999999</v>
      </c>
      <c r="Q98" s="29">
        <v>0.58389999999999997</v>
      </c>
      <c r="R98" s="29"/>
      <c r="S98" s="24" t="s">
        <v>526</v>
      </c>
      <c r="T98" s="24" t="str">
        <f t="shared" si="9"/>
        <v>Censure haute</v>
      </c>
      <c r="U98" s="24" t="s">
        <v>35</v>
      </c>
      <c r="V98" s="24" t="str">
        <f t="shared" si="10"/>
        <v/>
      </c>
      <c r="W98" s="24" t="s">
        <v>527</v>
      </c>
      <c r="X98" s="23">
        <v>3.5</v>
      </c>
      <c r="Y98" s="23">
        <v>2.0737000000000001</v>
      </c>
      <c r="Z98" s="23"/>
      <c r="AA98" s="24" t="s">
        <v>527</v>
      </c>
      <c r="AB98" s="24" t="str">
        <f t="shared" si="11"/>
        <v>Censure haute</v>
      </c>
      <c r="AC98" s="23" t="s">
        <v>35</v>
      </c>
      <c r="AD98" s="23" t="s">
        <v>561</v>
      </c>
      <c r="AE98" s="23" t="str">
        <f t="shared" si="12"/>
        <v/>
      </c>
      <c r="AF98" s="23"/>
      <c r="AG98" s="23" t="str">
        <f t="shared" si="13"/>
        <v/>
      </c>
      <c r="AH98" s="24" t="s">
        <v>527</v>
      </c>
      <c r="AI98" s="23">
        <v>3.5</v>
      </c>
      <c r="AJ98" s="23">
        <v>1.2923</v>
      </c>
      <c r="AK98" s="23"/>
      <c r="AL98" s="24" t="s">
        <v>527</v>
      </c>
      <c r="AM98" s="24">
        <v>210</v>
      </c>
      <c r="AN98" s="24">
        <v>0</v>
      </c>
      <c r="AO98" s="24">
        <f>IF(ISBLANK(AM98),"",IF(AM98=92,IF(T98="Censure haute",120,""),IF(AB98="Censure haute",120,"")))</f>
        <v>120</v>
      </c>
    </row>
    <row r="99" spans="1:41" x14ac:dyDescent="0.3">
      <c r="A99" s="24" t="s">
        <v>157</v>
      </c>
      <c r="B99" s="24" t="s">
        <v>517</v>
      </c>
      <c r="C99" s="30" t="s">
        <v>519</v>
      </c>
      <c r="D99" s="26">
        <v>23.7</v>
      </c>
      <c r="E99" s="24" t="s">
        <v>520</v>
      </c>
      <c r="F99" s="27" t="s">
        <v>525</v>
      </c>
      <c r="G99" s="28">
        <v>44453</v>
      </c>
      <c r="H99" s="28">
        <v>44476</v>
      </c>
      <c r="I99" s="24">
        <v>15</v>
      </c>
      <c r="J99" s="24" t="s">
        <v>43</v>
      </c>
      <c r="K99" s="24" t="s">
        <v>526</v>
      </c>
      <c r="L99" s="24" t="str">
        <f t="shared" si="7"/>
        <v>Censure haute</v>
      </c>
      <c r="M99" s="23" t="s">
        <v>35</v>
      </c>
      <c r="N99" s="23" t="str">
        <f t="shared" si="8"/>
        <v/>
      </c>
      <c r="O99" s="24" t="s">
        <v>527</v>
      </c>
      <c r="P99" s="23">
        <v>3.4279999999999999</v>
      </c>
      <c r="Q99" s="29">
        <v>0.54949999999999999</v>
      </c>
      <c r="R99" s="29"/>
      <c r="S99" s="24" t="s">
        <v>526</v>
      </c>
      <c r="T99" s="24" t="str">
        <f t="shared" si="9"/>
        <v>Censure haute</v>
      </c>
      <c r="U99" s="24" t="s">
        <v>35</v>
      </c>
      <c r="V99" s="24" t="str">
        <f t="shared" si="10"/>
        <v/>
      </c>
      <c r="W99" s="24" t="s">
        <v>527</v>
      </c>
      <c r="X99" s="23">
        <v>2.9790000000000001</v>
      </c>
      <c r="Y99" s="23">
        <v>0.2384</v>
      </c>
      <c r="Z99" s="23"/>
      <c r="AA99" s="24" t="s">
        <v>526</v>
      </c>
      <c r="AB99" s="24" t="str">
        <f t="shared" si="11"/>
        <v>Censure haute</v>
      </c>
      <c r="AC99" s="23" t="s">
        <v>35</v>
      </c>
      <c r="AD99" s="23" t="s">
        <v>561</v>
      </c>
      <c r="AE99" s="23" t="str">
        <f t="shared" si="12"/>
        <v/>
      </c>
      <c r="AF99" s="23"/>
      <c r="AG99" s="23" t="str">
        <f t="shared" si="13"/>
        <v/>
      </c>
      <c r="AH99" s="24" t="s">
        <v>527</v>
      </c>
      <c r="AI99" s="23">
        <v>3.5</v>
      </c>
      <c r="AJ99" s="23">
        <v>1.4795</v>
      </c>
      <c r="AK99" s="23"/>
      <c r="AL99" s="24" t="s">
        <v>527</v>
      </c>
      <c r="AM99" s="24">
        <v>210</v>
      </c>
      <c r="AN99" s="24">
        <v>0</v>
      </c>
      <c r="AO99" s="24">
        <f>IF(ISBLANK(AM99),"",IF(AM99=92,IF(T99="Censure haute",120,""),IF(AB99="Censure haute",120,"")))</f>
        <v>120</v>
      </c>
    </row>
    <row r="100" spans="1:41" x14ac:dyDescent="0.3">
      <c r="A100" s="24" t="s">
        <v>158</v>
      </c>
      <c r="B100" s="24" t="s">
        <v>517</v>
      </c>
      <c r="C100" s="30" t="s">
        <v>519</v>
      </c>
      <c r="D100" s="26">
        <v>17.8</v>
      </c>
      <c r="E100" s="24" t="s">
        <v>521</v>
      </c>
      <c r="F100" s="27" t="s">
        <v>525</v>
      </c>
      <c r="G100" s="28">
        <v>44453</v>
      </c>
      <c r="H100" s="28">
        <v>44477</v>
      </c>
      <c r="I100" s="24">
        <v>12</v>
      </c>
      <c r="J100" s="24" t="s">
        <v>33</v>
      </c>
      <c r="K100" s="24" t="s">
        <v>526</v>
      </c>
      <c r="L100" s="24" t="str">
        <f t="shared" si="7"/>
        <v>Censure haute</v>
      </c>
      <c r="M100" s="23" t="s">
        <v>35</v>
      </c>
      <c r="N100" s="23" t="str">
        <f t="shared" si="8"/>
        <v/>
      </c>
      <c r="O100" s="24" t="s">
        <v>527</v>
      </c>
      <c r="P100" s="23">
        <v>3.43</v>
      </c>
      <c r="Q100" s="29">
        <v>0.20200000000000001</v>
      </c>
      <c r="R100" s="29"/>
      <c r="S100" s="24" t="s">
        <v>526</v>
      </c>
      <c r="T100" s="24" t="str">
        <f t="shared" si="9"/>
        <v>Normal</v>
      </c>
      <c r="U100" s="24">
        <v>18.126799999999999</v>
      </c>
      <c r="V100" s="24">
        <f t="shared" si="10"/>
        <v>18.126799999999999</v>
      </c>
      <c r="W100" s="24" t="s">
        <v>527</v>
      </c>
      <c r="X100" s="23">
        <v>3.1709999999999998</v>
      </c>
      <c r="Y100" s="23">
        <v>2.1480000000000001</v>
      </c>
      <c r="Z100" s="23"/>
      <c r="AA100" s="24" t="s">
        <v>527</v>
      </c>
      <c r="AB100" s="24" t="str">
        <f t="shared" si="11"/>
        <v>Censure haute</v>
      </c>
      <c r="AC100" s="23" t="s">
        <v>35</v>
      </c>
      <c r="AD100" s="23" t="s">
        <v>561</v>
      </c>
      <c r="AE100" s="23" t="str">
        <f t="shared" si="12"/>
        <v/>
      </c>
      <c r="AF100" s="23"/>
      <c r="AG100" s="23" t="str">
        <f t="shared" si="13"/>
        <v/>
      </c>
      <c r="AH100" s="24" t="s">
        <v>527</v>
      </c>
      <c r="AI100" s="23">
        <v>2.9239999999999999</v>
      </c>
      <c r="AJ100" s="23">
        <v>5.9627999999999997</v>
      </c>
      <c r="AK100" s="23"/>
      <c r="AL100" s="24" t="s">
        <v>527</v>
      </c>
      <c r="AM100" s="24"/>
      <c r="AN100" s="24"/>
      <c r="AO100" s="24" t="str">
        <f>IF(ISBLANK(AM100),"",IF(AM100=92,IF(T100="Censure haute",120,""),IF(AB100="Censure haute",120,"")))</f>
        <v/>
      </c>
    </row>
    <row r="101" spans="1:41" x14ac:dyDescent="0.3">
      <c r="A101" s="24" t="s">
        <v>159</v>
      </c>
      <c r="B101" s="24" t="s">
        <v>516</v>
      </c>
      <c r="C101" s="30" t="s">
        <v>518</v>
      </c>
      <c r="D101" s="26">
        <v>16.600000000000001</v>
      </c>
      <c r="E101" s="24" t="s">
        <v>521</v>
      </c>
      <c r="F101" s="27" t="s">
        <v>525</v>
      </c>
      <c r="G101" s="28">
        <v>44453</v>
      </c>
      <c r="H101" s="28">
        <v>44480</v>
      </c>
      <c r="I101" s="24">
        <v>12</v>
      </c>
      <c r="J101" s="24" t="s">
        <v>33</v>
      </c>
      <c r="K101" s="24" t="s">
        <v>526</v>
      </c>
      <c r="L101" s="24" t="str">
        <f t="shared" si="7"/>
        <v>Censure haute</v>
      </c>
      <c r="M101" s="23" t="s">
        <v>35</v>
      </c>
      <c r="N101" s="23" t="str">
        <f t="shared" si="8"/>
        <v/>
      </c>
      <c r="O101" s="24" t="s">
        <v>527</v>
      </c>
      <c r="P101" s="23">
        <v>3.4390000000000001</v>
      </c>
      <c r="Q101" s="29">
        <v>0.17100000000000001</v>
      </c>
      <c r="R101" s="29"/>
      <c r="S101" s="24" t="s">
        <v>526</v>
      </c>
      <c r="T101" s="24" t="str">
        <f t="shared" si="9"/>
        <v>Censure haute</v>
      </c>
      <c r="U101" s="24" t="s">
        <v>35</v>
      </c>
      <c r="V101" s="24" t="str">
        <f t="shared" si="10"/>
        <v/>
      </c>
      <c r="W101" s="24" t="s">
        <v>527</v>
      </c>
      <c r="X101" s="23">
        <v>3.105</v>
      </c>
      <c r="Y101" s="23">
        <v>3.7241</v>
      </c>
      <c r="Z101" s="23"/>
      <c r="AA101" s="24" t="s">
        <v>527</v>
      </c>
      <c r="AB101" s="24" t="str">
        <f t="shared" si="11"/>
        <v>Censure haute</v>
      </c>
      <c r="AC101" s="23" t="s">
        <v>35</v>
      </c>
      <c r="AD101" s="23" t="s">
        <v>561</v>
      </c>
      <c r="AE101" s="23" t="str">
        <f t="shared" si="12"/>
        <v/>
      </c>
      <c r="AF101" s="23"/>
      <c r="AG101" s="23" t="str">
        <f t="shared" si="13"/>
        <v/>
      </c>
      <c r="AH101" s="24" t="s">
        <v>527</v>
      </c>
      <c r="AI101" s="23">
        <v>3.3170000000000002</v>
      </c>
      <c r="AJ101" s="23">
        <v>1.3182</v>
      </c>
      <c r="AK101" s="23"/>
      <c r="AL101" s="24" t="s">
        <v>527</v>
      </c>
      <c r="AM101" s="24">
        <v>210</v>
      </c>
      <c r="AN101" s="24">
        <v>0</v>
      </c>
      <c r="AO101" s="24">
        <f>IF(ISBLANK(AM101),"",IF(AM101=92,IF(T101="Censure haute",120,""),IF(AB101="Censure haute",120,"")))</f>
        <v>120</v>
      </c>
    </row>
    <row r="102" spans="1:41" x14ac:dyDescent="0.3">
      <c r="A102" s="24" t="s">
        <v>160</v>
      </c>
      <c r="B102" s="24" t="s">
        <v>516</v>
      </c>
      <c r="C102" s="30" t="s">
        <v>518</v>
      </c>
      <c r="D102" s="26">
        <v>19.600000000000001</v>
      </c>
      <c r="E102" s="24" t="s">
        <v>521</v>
      </c>
      <c r="F102" s="27" t="s">
        <v>525</v>
      </c>
      <c r="G102" s="28">
        <v>44453</v>
      </c>
      <c r="H102" s="28">
        <v>44476</v>
      </c>
      <c r="I102" s="24">
        <v>15</v>
      </c>
      <c r="J102" s="24" t="s">
        <v>43</v>
      </c>
      <c r="K102" s="24" t="s">
        <v>527</v>
      </c>
      <c r="L102" s="24" t="str">
        <f t="shared" si="7"/>
        <v>Censure haute</v>
      </c>
      <c r="M102" s="23" t="s">
        <v>35</v>
      </c>
      <c r="N102" s="23" t="str">
        <f t="shared" si="8"/>
        <v/>
      </c>
      <c r="O102" s="24" t="s">
        <v>527</v>
      </c>
      <c r="P102" s="23">
        <v>3.4430000000000001</v>
      </c>
      <c r="Q102" s="29">
        <v>0.3876</v>
      </c>
      <c r="R102" s="29"/>
      <c r="S102" s="24" t="s">
        <v>526</v>
      </c>
      <c r="T102" s="24" t="str">
        <f t="shared" si="9"/>
        <v>Censure haute</v>
      </c>
      <c r="U102" s="24" t="s">
        <v>35</v>
      </c>
      <c r="V102" s="24" t="str">
        <f t="shared" si="10"/>
        <v/>
      </c>
      <c r="W102" s="24" t="s">
        <v>527</v>
      </c>
      <c r="X102" s="23">
        <v>3.0710000000000002</v>
      </c>
      <c r="Y102" s="23">
        <v>7.5583</v>
      </c>
      <c r="Z102" s="23"/>
      <c r="AA102" s="24" t="s">
        <v>527</v>
      </c>
      <c r="AB102" s="24" t="str">
        <f t="shared" si="11"/>
        <v>Censure haute</v>
      </c>
      <c r="AC102" s="23" t="s">
        <v>35</v>
      </c>
      <c r="AD102" s="23" t="s">
        <v>561</v>
      </c>
      <c r="AE102" s="23" t="str">
        <f t="shared" si="12"/>
        <v/>
      </c>
      <c r="AF102" s="23"/>
      <c r="AG102" s="23" t="str">
        <f t="shared" si="13"/>
        <v/>
      </c>
      <c r="AH102" s="24" t="s">
        <v>527</v>
      </c>
      <c r="AI102" s="23">
        <v>3.4169999999999998</v>
      </c>
      <c r="AJ102" s="23">
        <v>5.5247999999999999</v>
      </c>
      <c r="AK102" s="23"/>
      <c r="AL102" s="24" t="s">
        <v>527</v>
      </c>
      <c r="AM102" s="24"/>
      <c r="AN102" s="24"/>
      <c r="AO102" s="24" t="str">
        <f>IF(ISBLANK(AM102),"",IF(AM102=92,IF(T102="Censure haute",120,""),IF(AB102="Censure haute",120,"")))</f>
        <v/>
      </c>
    </row>
    <row r="103" spans="1:41" x14ac:dyDescent="0.3">
      <c r="A103" s="24" t="s">
        <v>161</v>
      </c>
      <c r="B103" s="24" t="s">
        <v>516</v>
      </c>
      <c r="C103" s="25" t="s">
        <v>519</v>
      </c>
      <c r="D103" s="26">
        <v>20.399999999999999</v>
      </c>
      <c r="E103" s="24" t="s">
        <v>521</v>
      </c>
      <c r="F103" s="27" t="s">
        <v>525</v>
      </c>
      <c r="G103" s="28">
        <v>44453</v>
      </c>
      <c r="H103" s="28">
        <v>44477</v>
      </c>
      <c r="I103" s="24">
        <v>12</v>
      </c>
      <c r="J103" s="24" t="s">
        <v>33</v>
      </c>
      <c r="K103" s="24" t="s">
        <v>527</v>
      </c>
      <c r="L103" s="24" t="str">
        <f t="shared" si="7"/>
        <v>Censure haute</v>
      </c>
      <c r="M103" s="23" t="s">
        <v>35</v>
      </c>
      <c r="N103" s="23" t="str">
        <f t="shared" si="8"/>
        <v/>
      </c>
      <c r="O103" s="24" t="s">
        <v>527</v>
      </c>
      <c r="P103" s="23">
        <v>3.4620000000000002</v>
      </c>
      <c r="Q103" s="29">
        <v>0.36030000000000001</v>
      </c>
      <c r="R103" s="29"/>
      <c r="S103" s="24" t="s">
        <v>526</v>
      </c>
      <c r="T103" s="24" t="str">
        <f t="shared" si="9"/>
        <v>Censure haute</v>
      </c>
      <c r="U103" s="24" t="s">
        <v>35</v>
      </c>
      <c r="V103" s="24" t="str">
        <f t="shared" si="10"/>
        <v/>
      </c>
      <c r="W103" s="24" t="s">
        <v>527</v>
      </c>
      <c r="X103" s="23">
        <v>2.6240000000000001</v>
      </c>
      <c r="Y103" s="23">
        <v>0.37680000000000002</v>
      </c>
      <c r="Z103" s="23"/>
      <c r="AA103" s="24" t="s">
        <v>526</v>
      </c>
      <c r="AB103" s="24" t="str">
        <f t="shared" si="11"/>
        <v>Non testé</v>
      </c>
      <c r="AC103" s="23" t="s">
        <v>44</v>
      </c>
      <c r="AD103" s="23" t="s">
        <v>561</v>
      </c>
      <c r="AE103" s="23" t="str">
        <f t="shared" si="12"/>
        <v/>
      </c>
      <c r="AF103" s="23"/>
      <c r="AG103" s="23" t="str">
        <f t="shared" si="13"/>
        <v/>
      </c>
      <c r="AH103" s="24" t="s">
        <v>502</v>
      </c>
      <c r="AI103" s="23">
        <v>2.0510000000000002</v>
      </c>
      <c r="AJ103" s="23">
        <v>2.7724000000000002</v>
      </c>
      <c r="AK103" s="23"/>
      <c r="AL103" s="24" t="s">
        <v>527</v>
      </c>
      <c r="AM103" s="24">
        <v>210</v>
      </c>
      <c r="AN103" s="24">
        <v>0</v>
      </c>
      <c r="AO103" s="24" t="str">
        <f>IF(ISBLANK(AM103),"",IF(AM103=92,IF(T103="Censure haute",120,""),IF(AB103="Censure haute",120,"")))</f>
        <v/>
      </c>
    </row>
    <row r="104" spans="1:41" x14ac:dyDescent="0.3">
      <c r="A104" s="24" t="s">
        <v>162</v>
      </c>
      <c r="B104" s="24" t="s">
        <v>516</v>
      </c>
      <c r="C104" s="25" t="s">
        <v>519</v>
      </c>
      <c r="D104" s="26">
        <v>28.4</v>
      </c>
      <c r="E104" s="24" t="s">
        <v>522</v>
      </c>
      <c r="F104" s="27" t="s">
        <v>525</v>
      </c>
      <c r="G104" s="28">
        <v>44453</v>
      </c>
      <c r="H104" s="28">
        <v>44477</v>
      </c>
      <c r="I104" s="24">
        <v>15</v>
      </c>
      <c r="J104" s="24" t="s">
        <v>43</v>
      </c>
      <c r="K104" s="24" t="s">
        <v>527</v>
      </c>
      <c r="L104" s="24" t="str">
        <f t="shared" si="7"/>
        <v>Censure haute</v>
      </c>
      <c r="M104" s="23" t="s">
        <v>35</v>
      </c>
      <c r="N104" s="23" t="str">
        <f t="shared" si="8"/>
        <v/>
      </c>
      <c r="O104" s="24" t="s">
        <v>527</v>
      </c>
      <c r="P104" s="23">
        <v>3.4630000000000001</v>
      </c>
      <c r="Q104" s="29">
        <v>6.9900000000000004E-2</v>
      </c>
      <c r="R104" s="29"/>
      <c r="S104" s="24" t="s">
        <v>526</v>
      </c>
      <c r="T104" s="24" t="str">
        <f t="shared" si="9"/>
        <v>Censure haute</v>
      </c>
      <c r="U104" s="24" t="s">
        <v>35</v>
      </c>
      <c r="V104" s="24" t="str">
        <f t="shared" si="10"/>
        <v/>
      </c>
      <c r="W104" s="24" t="s">
        <v>527</v>
      </c>
      <c r="X104" s="23">
        <v>3.2839999999999998</v>
      </c>
      <c r="Y104" s="23">
        <v>2.9704999999999999</v>
      </c>
      <c r="Z104" s="23"/>
      <c r="AA104" s="24" t="s">
        <v>527</v>
      </c>
      <c r="AB104" s="24" t="str">
        <f t="shared" si="11"/>
        <v>Censure haute</v>
      </c>
      <c r="AC104" s="23" t="s">
        <v>35</v>
      </c>
      <c r="AD104" s="23" t="s">
        <v>561</v>
      </c>
      <c r="AE104" s="23" t="str">
        <f t="shared" si="12"/>
        <v/>
      </c>
      <c r="AF104" s="23"/>
      <c r="AG104" s="23" t="str">
        <f t="shared" si="13"/>
        <v/>
      </c>
      <c r="AH104" s="24" t="s">
        <v>527</v>
      </c>
      <c r="AI104" s="23">
        <v>2.8679999999999999</v>
      </c>
      <c r="AJ104" s="23">
        <v>0.74109999999999998</v>
      </c>
      <c r="AK104" s="23"/>
      <c r="AL104" s="24" t="s">
        <v>526</v>
      </c>
      <c r="AM104" s="24">
        <v>210</v>
      </c>
      <c r="AN104" s="24">
        <v>0</v>
      </c>
      <c r="AO104" s="24">
        <f>IF(ISBLANK(AM104),"",IF(AM104=92,IF(T104="Censure haute",120,""),IF(AB104="Censure haute",120,"")))</f>
        <v>120</v>
      </c>
    </row>
    <row r="105" spans="1:41" x14ac:dyDescent="0.3">
      <c r="A105" s="24" t="s">
        <v>163</v>
      </c>
      <c r="B105" s="24" t="s">
        <v>517</v>
      </c>
      <c r="C105" s="25" t="s">
        <v>518</v>
      </c>
      <c r="D105" s="26">
        <v>17.899999999999999</v>
      </c>
      <c r="E105" s="24" t="s">
        <v>521</v>
      </c>
      <c r="F105" s="27" t="s">
        <v>525</v>
      </c>
      <c r="G105" s="28">
        <v>44454</v>
      </c>
      <c r="H105" s="28">
        <v>44477</v>
      </c>
      <c r="I105" s="24">
        <v>12</v>
      </c>
      <c r="J105" s="24" t="s">
        <v>33</v>
      </c>
      <c r="K105" s="24" t="s">
        <v>526</v>
      </c>
      <c r="L105" s="24" t="str">
        <f t="shared" si="7"/>
        <v>Censure haute</v>
      </c>
      <c r="M105" s="23" t="s">
        <v>35</v>
      </c>
      <c r="N105" s="23" t="str">
        <f t="shared" si="8"/>
        <v/>
      </c>
      <c r="O105" s="24" t="s">
        <v>527</v>
      </c>
      <c r="P105" s="23">
        <v>3.4729999999999999</v>
      </c>
      <c r="Q105" s="29">
        <v>2.0590000000000002</v>
      </c>
      <c r="R105" s="29"/>
      <c r="S105" s="24" t="s">
        <v>527</v>
      </c>
      <c r="T105" s="24" t="str">
        <f t="shared" si="9"/>
        <v>Censure haute</v>
      </c>
      <c r="U105" s="24" t="s">
        <v>35</v>
      </c>
      <c r="V105" s="24" t="str">
        <f t="shared" si="10"/>
        <v/>
      </c>
      <c r="W105" s="24" t="s">
        <v>527</v>
      </c>
      <c r="X105" s="23">
        <v>3.145</v>
      </c>
      <c r="Y105" s="23">
        <v>5.6592000000000002</v>
      </c>
      <c r="Z105" s="23"/>
      <c r="AA105" s="24" t="s">
        <v>527</v>
      </c>
      <c r="AB105" s="24" t="str">
        <f t="shared" si="11"/>
        <v>Censure haute</v>
      </c>
      <c r="AC105" s="23" t="s">
        <v>35</v>
      </c>
      <c r="AD105" s="23" t="s">
        <v>561</v>
      </c>
      <c r="AE105" s="23" t="str">
        <f t="shared" si="12"/>
        <v/>
      </c>
      <c r="AF105" s="23"/>
      <c r="AG105" s="23" t="str">
        <f t="shared" si="13"/>
        <v/>
      </c>
      <c r="AH105" s="24" t="s">
        <v>527</v>
      </c>
      <c r="AI105" s="23">
        <v>3.1520000000000001</v>
      </c>
      <c r="AJ105" s="23">
        <v>2.2170999999999998</v>
      </c>
      <c r="AK105" s="23"/>
      <c r="AL105" s="24" t="s">
        <v>527</v>
      </c>
      <c r="AM105" s="24"/>
      <c r="AN105" s="24"/>
      <c r="AO105" s="24" t="str">
        <f>IF(ISBLANK(AM105),"",IF(AM105=92,IF(T105="Censure haute",120,""),IF(AB105="Censure haute",120,"")))</f>
        <v/>
      </c>
    </row>
    <row r="106" spans="1:41" x14ac:dyDescent="0.3">
      <c r="A106" s="24" t="s">
        <v>164</v>
      </c>
      <c r="B106" s="24" t="s">
        <v>516</v>
      </c>
      <c r="C106" s="25" t="s">
        <v>518</v>
      </c>
      <c r="D106" s="26">
        <v>17.7</v>
      </c>
      <c r="E106" s="24" t="s">
        <v>521</v>
      </c>
      <c r="F106" s="27" t="s">
        <v>525</v>
      </c>
      <c r="G106" s="28">
        <v>44453</v>
      </c>
      <c r="H106" s="28">
        <v>44476</v>
      </c>
      <c r="I106" s="24">
        <v>15</v>
      </c>
      <c r="J106" s="24" t="s">
        <v>43</v>
      </c>
      <c r="K106" s="24" t="s">
        <v>526</v>
      </c>
      <c r="L106" s="24" t="str">
        <f t="shared" si="7"/>
        <v>Censure haute</v>
      </c>
      <c r="M106" s="23" t="s">
        <v>35</v>
      </c>
      <c r="N106" s="23" t="str">
        <f t="shared" si="8"/>
        <v/>
      </c>
      <c r="O106" s="24" t="s">
        <v>527</v>
      </c>
      <c r="P106" s="23">
        <v>3.4750000000000001</v>
      </c>
      <c r="Q106" s="29">
        <v>0.54949999999999999</v>
      </c>
      <c r="R106" s="29"/>
      <c r="S106" s="24" t="s">
        <v>526</v>
      </c>
      <c r="T106" s="24" t="str">
        <f t="shared" si="9"/>
        <v>Censure haute</v>
      </c>
      <c r="U106" s="24" t="s">
        <v>35</v>
      </c>
      <c r="V106" s="24" t="str">
        <f t="shared" si="10"/>
        <v/>
      </c>
      <c r="W106" s="24" t="s">
        <v>527</v>
      </c>
      <c r="X106" s="23">
        <v>2.6749999999999998</v>
      </c>
      <c r="Y106" s="23">
        <v>3.1566999999999998</v>
      </c>
      <c r="Z106" s="23"/>
      <c r="AA106" s="24" t="s">
        <v>527</v>
      </c>
      <c r="AB106" s="24" t="str">
        <f t="shared" si="11"/>
        <v>Censure haute</v>
      </c>
      <c r="AC106" s="23" t="s">
        <v>35</v>
      </c>
      <c r="AD106" s="23" t="s">
        <v>561</v>
      </c>
      <c r="AE106" s="23" t="str">
        <f t="shared" si="12"/>
        <v/>
      </c>
      <c r="AF106" s="23"/>
      <c r="AG106" s="23" t="str">
        <f t="shared" si="13"/>
        <v/>
      </c>
      <c r="AH106" s="24" t="s">
        <v>527</v>
      </c>
      <c r="AI106" s="23">
        <v>2.1379999999999999</v>
      </c>
      <c r="AJ106" s="23">
        <v>0.94259999999999999</v>
      </c>
      <c r="AK106" s="23"/>
      <c r="AL106" s="24" t="s">
        <v>526</v>
      </c>
      <c r="AM106" s="24">
        <v>210</v>
      </c>
      <c r="AN106" s="24">
        <v>0</v>
      </c>
      <c r="AO106" s="24">
        <f>IF(ISBLANK(AM106),"",IF(AM106=92,IF(T106="Censure haute",120,""),IF(AB106="Censure haute",120,"")))</f>
        <v>120</v>
      </c>
    </row>
    <row r="107" spans="1:41" x14ac:dyDescent="0.3">
      <c r="A107" s="24" t="s">
        <v>165</v>
      </c>
      <c r="B107" s="24" t="s">
        <v>517</v>
      </c>
      <c r="C107" s="25" t="s">
        <v>518</v>
      </c>
      <c r="D107" s="26">
        <v>26.5</v>
      </c>
      <c r="E107" s="24" t="s">
        <v>522</v>
      </c>
      <c r="F107" s="27" t="s">
        <v>524</v>
      </c>
      <c r="G107" s="28"/>
      <c r="H107" s="28"/>
      <c r="I107" s="24">
        <v>12</v>
      </c>
      <c r="J107" s="24" t="s">
        <v>33</v>
      </c>
      <c r="K107" s="24" t="s">
        <v>526</v>
      </c>
      <c r="L107" s="24" t="str">
        <f t="shared" si="7"/>
        <v>Censure haute</v>
      </c>
      <c r="M107" s="23" t="s">
        <v>35</v>
      </c>
      <c r="N107" s="23" t="str">
        <f t="shared" si="8"/>
        <v/>
      </c>
      <c r="O107" s="24" t="s">
        <v>527</v>
      </c>
      <c r="P107" s="23">
        <v>3.48</v>
      </c>
      <c r="Q107" s="29">
        <v>2.4308000000000001</v>
      </c>
      <c r="R107" s="29"/>
      <c r="S107" s="24" t="s">
        <v>527</v>
      </c>
      <c r="T107" s="24" t="str">
        <f t="shared" si="9"/>
        <v>Normal</v>
      </c>
      <c r="U107" s="24">
        <v>11.963800000000001</v>
      </c>
      <c r="V107" s="24">
        <f t="shared" si="10"/>
        <v>11.963800000000001</v>
      </c>
      <c r="W107" s="24" t="s">
        <v>527</v>
      </c>
      <c r="X107" s="23">
        <v>2.984</v>
      </c>
      <c r="Y107" s="23">
        <v>1.2891999999999999</v>
      </c>
      <c r="Z107" s="23"/>
      <c r="AA107" s="24" t="s">
        <v>527</v>
      </c>
      <c r="AB107" s="24" t="str">
        <f t="shared" si="11"/>
        <v>Censure haute</v>
      </c>
      <c r="AC107" s="23" t="s">
        <v>35</v>
      </c>
      <c r="AD107" s="23" t="s">
        <v>561</v>
      </c>
      <c r="AE107" s="23" t="str">
        <f t="shared" si="12"/>
        <v/>
      </c>
      <c r="AF107" s="23"/>
      <c r="AG107" s="23" t="str">
        <f t="shared" si="13"/>
        <v/>
      </c>
      <c r="AH107" s="24" t="s">
        <v>527</v>
      </c>
      <c r="AI107" s="23">
        <v>2.6629999999999998</v>
      </c>
      <c r="AJ107" s="23">
        <v>3.7357</v>
      </c>
      <c r="AK107" s="23"/>
      <c r="AL107" s="24" t="s">
        <v>527</v>
      </c>
      <c r="AM107" s="24"/>
      <c r="AN107" s="24"/>
      <c r="AO107" s="24" t="str">
        <f>IF(ISBLANK(AM107),"",IF(AM107=92,IF(T107="Censure haute",120,""),IF(AB107="Censure haute",120,"")))</f>
        <v/>
      </c>
    </row>
    <row r="108" spans="1:41" x14ac:dyDescent="0.3">
      <c r="A108" s="24" t="s">
        <v>166</v>
      </c>
      <c r="B108" s="24" t="s">
        <v>517</v>
      </c>
      <c r="C108" s="25" t="s">
        <v>519</v>
      </c>
      <c r="D108" s="26">
        <v>16.100000000000001</v>
      </c>
      <c r="E108" s="24" t="s">
        <v>521</v>
      </c>
      <c r="F108" s="27" t="s">
        <v>525</v>
      </c>
      <c r="G108" s="28">
        <v>44453</v>
      </c>
      <c r="H108" s="28">
        <v>44477</v>
      </c>
      <c r="I108" s="24">
        <v>12</v>
      </c>
      <c r="J108" s="24" t="s">
        <v>33</v>
      </c>
      <c r="K108" s="24" t="s">
        <v>526</v>
      </c>
      <c r="L108" s="24" t="str">
        <f t="shared" si="7"/>
        <v>Censure haute</v>
      </c>
      <c r="M108" s="23" t="s">
        <v>35</v>
      </c>
      <c r="N108" s="23" t="str">
        <f t="shared" si="8"/>
        <v/>
      </c>
      <c r="O108" s="23" t="s">
        <v>527</v>
      </c>
      <c r="P108" s="23">
        <v>3.49</v>
      </c>
      <c r="Q108" s="29">
        <v>0.4083</v>
      </c>
      <c r="R108" s="29"/>
      <c r="S108" s="24" t="s">
        <v>526</v>
      </c>
      <c r="T108" s="24" t="str">
        <f t="shared" si="9"/>
        <v>Normal</v>
      </c>
      <c r="U108" s="24">
        <v>107.6323</v>
      </c>
      <c r="V108" s="24">
        <f t="shared" si="10"/>
        <v>107.6323</v>
      </c>
      <c r="W108" s="24" t="s">
        <v>527</v>
      </c>
      <c r="X108" s="23">
        <v>2.99</v>
      </c>
      <c r="Y108" s="23">
        <v>1.96</v>
      </c>
      <c r="Z108" s="23"/>
      <c r="AA108" s="24" t="s">
        <v>527</v>
      </c>
      <c r="AB108" s="24" t="str">
        <f t="shared" si="11"/>
        <v>Censure haute</v>
      </c>
      <c r="AC108" s="23" t="s">
        <v>35</v>
      </c>
      <c r="AD108" s="23" t="s">
        <v>561</v>
      </c>
      <c r="AE108" s="23" t="str">
        <f t="shared" si="12"/>
        <v/>
      </c>
      <c r="AF108" s="23"/>
      <c r="AG108" s="23" t="str">
        <f t="shared" si="13"/>
        <v/>
      </c>
      <c r="AH108" s="24" t="s">
        <v>527</v>
      </c>
      <c r="AI108" s="23">
        <v>2.4300000000000002</v>
      </c>
      <c r="AJ108" s="23">
        <v>1.3612</v>
      </c>
      <c r="AK108" s="23"/>
      <c r="AL108" s="24" t="s">
        <v>527</v>
      </c>
      <c r="AM108" s="24"/>
      <c r="AN108" s="24"/>
      <c r="AO108" s="24" t="str">
        <f>IF(ISBLANK(AM108),"",IF(AM108=92,IF(T108="Censure haute",120,""),IF(AB108="Censure haute",120,"")))</f>
        <v/>
      </c>
    </row>
    <row r="109" spans="1:41" x14ac:dyDescent="0.3">
      <c r="A109" s="24" t="s">
        <v>167</v>
      </c>
      <c r="B109" s="24" t="s">
        <v>517</v>
      </c>
      <c r="C109" s="30"/>
      <c r="D109" s="26">
        <v>25.4</v>
      </c>
      <c r="E109" s="24" t="s">
        <v>520</v>
      </c>
      <c r="F109" s="27" t="s">
        <v>525</v>
      </c>
      <c r="G109" s="28">
        <v>44453</v>
      </c>
      <c r="H109" s="28">
        <v>44476</v>
      </c>
      <c r="I109" s="24">
        <v>15</v>
      </c>
      <c r="J109" s="24" t="s">
        <v>43</v>
      </c>
      <c r="K109" s="24" t="s">
        <v>526</v>
      </c>
      <c r="L109" s="24" t="str">
        <f t="shared" si="7"/>
        <v>Censure haute</v>
      </c>
      <c r="M109" s="23" t="s">
        <v>35</v>
      </c>
      <c r="N109" s="23" t="str">
        <f t="shared" si="8"/>
        <v/>
      </c>
      <c r="O109" s="24" t="s">
        <v>527</v>
      </c>
      <c r="P109" s="23">
        <v>3.4969999999999999</v>
      </c>
      <c r="Q109" s="23">
        <v>0.47989999999999999</v>
      </c>
      <c r="R109" s="23"/>
      <c r="S109" s="23" t="s">
        <v>526</v>
      </c>
      <c r="T109" s="24" t="str">
        <f t="shared" si="9"/>
        <v>Censure haute</v>
      </c>
      <c r="U109" s="24" t="s">
        <v>35</v>
      </c>
      <c r="V109" s="24" t="str">
        <f t="shared" si="10"/>
        <v/>
      </c>
      <c r="W109" s="24" t="s">
        <v>527</v>
      </c>
      <c r="X109" s="23">
        <v>2.9750000000000001</v>
      </c>
      <c r="Y109" s="23">
        <v>0.31169999999999998</v>
      </c>
      <c r="Z109" s="23"/>
      <c r="AA109" s="24" t="s">
        <v>526</v>
      </c>
      <c r="AB109" s="24" t="str">
        <f t="shared" si="11"/>
        <v>Censure haute</v>
      </c>
      <c r="AC109" s="23" t="s">
        <v>35</v>
      </c>
      <c r="AD109" s="23" t="s">
        <v>561</v>
      </c>
      <c r="AE109" s="23" t="str">
        <f t="shared" si="12"/>
        <v/>
      </c>
      <c r="AF109" s="23"/>
      <c r="AG109" s="23" t="str">
        <f t="shared" si="13"/>
        <v/>
      </c>
      <c r="AH109" s="24" t="s">
        <v>527</v>
      </c>
      <c r="AI109" s="23">
        <v>3.4340000000000002</v>
      </c>
      <c r="AJ109" s="23">
        <v>0.13780000000000001</v>
      </c>
      <c r="AK109" s="23">
        <v>0.1336</v>
      </c>
      <c r="AL109" s="24" t="s">
        <v>526</v>
      </c>
      <c r="AM109" s="24">
        <v>210</v>
      </c>
      <c r="AN109" s="24">
        <v>0</v>
      </c>
      <c r="AO109" s="24">
        <f>IF(ISBLANK(AM109),"",IF(AM109=92,IF(T109="Censure haute",120,""),IF(AB109="Censure haute",120,"")))</f>
        <v>120</v>
      </c>
    </row>
    <row r="110" spans="1:41" x14ac:dyDescent="0.3">
      <c r="A110" s="24" t="s">
        <v>169</v>
      </c>
      <c r="B110" s="24" t="s">
        <v>517</v>
      </c>
      <c r="C110" s="30" t="s">
        <v>518</v>
      </c>
      <c r="D110" s="26">
        <v>28.7</v>
      </c>
      <c r="E110" s="24" t="s">
        <v>522</v>
      </c>
      <c r="F110" s="27" t="s">
        <v>525</v>
      </c>
      <c r="G110" s="28">
        <v>44453</v>
      </c>
      <c r="H110" s="28">
        <v>44489</v>
      </c>
      <c r="I110" s="24">
        <v>15</v>
      </c>
      <c r="J110" s="24" t="s">
        <v>43</v>
      </c>
      <c r="K110" s="24" t="s">
        <v>526</v>
      </c>
      <c r="L110" s="24" t="str">
        <f t="shared" si="7"/>
        <v>Non testé</v>
      </c>
      <c r="M110" s="23" t="s">
        <v>44</v>
      </c>
      <c r="N110" s="23" t="str">
        <f t="shared" si="8"/>
        <v/>
      </c>
      <c r="O110" s="24" t="s">
        <v>502</v>
      </c>
      <c r="P110" s="23">
        <v>3.5</v>
      </c>
      <c r="Q110" s="29">
        <v>0.50490000000000002</v>
      </c>
      <c r="R110" s="29"/>
      <c r="S110" s="24" t="s">
        <v>526</v>
      </c>
      <c r="T110" s="24" t="str">
        <f t="shared" si="9"/>
        <v>Censure haute</v>
      </c>
      <c r="U110" s="24" t="s">
        <v>35</v>
      </c>
      <c r="V110" s="24" t="str">
        <f t="shared" si="10"/>
        <v/>
      </c>
      <c r="W110" s="24" t="s">
        <v>527</v>
      </c>
      <c r="X110" s="23">
        <v>2.5539999999999998</v>
      </c>
      <c r="Y110" s="23">
        <v>0.53359999999999996</v>
      </c>
      <c r="Z110" s="23"/>
      <c r="AA110" s="24" t="s">
        <v>526</v>
      </c>
      <c r="AB110" s="24" t="str">
        <f t="shared" si="11"/>
        <v>Non testé</v>
      </c>
      <c r="AC110" s="23" t="s">
        <v>44</v>
      </c>
      <c r="AD110" s="23" t="s">
        <v>561</v>
      </c>
      <c r="AE110" s="23" t="str">
        <f t="shared" si="12"/>
        <v/>
      </c>
      <c r="AF110" s="23"/>
      <c r="AG110" s="23" t="str">
        <f t="shared" si="13"/>
        <v/>
      </c>
      <c r="AH110" s="24" t="s">
        <v>502</v>
      </c>
      <c r="AI110" s="23">
        <v>1.474</v>
      </c>
      <c r="AJ110" s="23">
        <v>1.3285</v>
      </c>
      <c r="AK110" s="23"/>
      <c r="AL110" s="24" t="s">
        <v>527</v>
      </c>
      <c r="AM110" s="24">
        <v>210</v>
      </c>
      <c r="AN110" s="24">
        <v>0</v>
      </c>
      <c r="AO110" s="24" t="str">
        <f>IF(ISBLANK(AM110),"",IF(AM110=92,IF(T110="Censure haute",120,""),IF(AB110="Censure haute",120,"")))</f>
        <v/>
      </c>
    </row>
    <row r="111" spans="1:41" x14ac:dyDescent="0.3">
      <c r="A111" s="24" t="s">
        <v>170</v>
      </c>
      <c r="B111" s="24" t="s">
        <v>516</v>
      </c>
      <c r="C111" s="25" t="s">
        <v>519</v>
      </c>
      <c r="D111" s="26">
        <v>40</v>
      </c>
      <c r="E111" s="24" t="s">
        <v>522</v>
      </c>
      <c r="F111" s="27" t="s">
        <v>525</v>
      </c>
      <c r="G111" s="28">
        <v>44454</v>
      </c>
      <c r="H111" s="28">
        <v>44477</v>
      </c>
      <c r="I111" s="24">
        <v>12</v>
      </c>
      <c r="J111" s="24" t="s">
        <v>33</v>
      </c>
      <c r="K111" s="24" t="s">
        <v>526</v>
      </c>
      <c r="L111" s="24" t="str">
        <f t="shared" si="7"/>
        <v>Non testé</v>
      </c>
      <c r="M111" s="23" t="s">
        <v>44</v>
      </c>
      <c r="N111" s="23" t="str">
        <f t="shared" si="8"/>
        <v/>
      </c>
      <c r="O111" s="24" t="s">
        <v>502</v>
      </c>
      <c r="P111" s="23">
        <v>3.5</v>
      </c>
      <c r="Q111" s="29">
        <v>1.8176000000000001</v>
      </c>
      <c r="R111" s="29"/>
      <c r="S111" s="24" t="s">
        <v>527</v>
      </c>
      <c r="T111" s="24" t="str">
        <f t="shared" si="9"/>
        <v>Normal</v>
      </c>
      <c r="U111" s="24">
        <v>120</v>
      </c>
      <c r="V111" s="24">
        <f t="shared" si="10"/>
        <v>120</v>
      </c>
      <c r="W111" s="24" t="s">
        <v>527</v>
      </c>
      <c r="X111" s="23">
        <v>2.3610000000000002</v>
      </c>
      <c r="Y111" s="23">
        <v>1.0672999999999999</v>
      </c>
      <c r="Z111" s="23"/>
      <c r="AA111" s="24" t="s">
        <v>526</v>
      </c>
      <c r="AB111" s="24" t="str">
        <f t="shared" si="11"/>
        <v>Censure haute</v>
      </c>
      <c r="AC111" s="24" t="s">
        <v>35</v>
      </c>
      <c r="AD111" s="23" t="s">
        <v>561</v>
      </c>
      <c r="AE111" s="23" t="str">
        <f t="shared" si="12"/>
        <v/>
      </c>
      <c r="AF111" s="24"/>
      <c r="AG111" s="23" t="str">
        <f t="shared" si="13"/>
        <v/>
      </c>
      <c r="AH111" s="24" t="s">
        <v>527</v>
      </c>
      <c r="AI111" s="23">
        <v>1.516</v>
      </c>
      <c r="AJ111" s="23">
        <v>6.2252000000000001</v>
      </c>
      <c r="AK111" s="23"/>
      <c r="AL111" s="24" t="s">
        <v>527</v>
      </c>
      <c r="AM111" s="24">
        <v>92</v>
      </c>
      <c r="AN111" s="24">
        <v>1</v>
      </c>
      <c r="AO111" s="24" t="str">
        <f>IF(ISBLANK(AM111),"",IF(AM111=92,IF(T111="Censure haute",120,""),IF(AB111="Censure haute",120,"")))</f>
        <v/>
      </c>
    </row>
    <row r="112" spans="1:41" x14ac:dyDescent="0.3">
      <c r="A112" s="24" t="s">
        <v>171</v>
      </c>
      <c r="B112" s="24" t="s">
        <v>516</v>
      </c>
      <c r="C112" s="25"/>
      <c r="D112" s="26">
        <v>20.5</v>
      </c>
      <c r="E112" s="24" t="s">
        <v>521</v>
      </c>
      <c r="F112" s="27" t="s">
        <v>525</v>
      </c>
      <c r="G112" s="28">
        <v>44454</v>
      </c>
      <c r="H112" s="28">
        <v>44476</v>
      </c>
      <c r="I112" s="24">
        <v>15</v>
      </c>
      <c r="J112" s="24" t="s">
        <v>43</v>
      </c>
      <c r="K112" s="24" t="s">
        <v>526</v>
      </c>
      <c r="L112" s="24" t="str">
        <f t="shared" si="7"/>
        <v>Non testé</v>
      </c>
      <c r="M112" s="23" t="s">
        <v>44</v>
      </c>
      <c r="N112" s="23" t="str">
        <f t="shared" si="8"/>
        <v/>
      </c>
      <c r="O112" s="24" t="s">
        <v>502</v>
      </c>
      <c r="P112" s="23">
        <v>3.5</v>
      </c>
      <c r="Q112" s="29">
        <v>8.0299999999999996E-2</v>
      </c>
      <c r="R112" s="29"/>
      <c r="S112" s="24" t="s">
        <v>526</v>
      </c>
      <c r="T112" s="24" t="str">
        <f t="shared" si="9"/>
        <v>Echec technique</v>
      </c>
      <c r="U112" s="24" t="s">
        <v>44</v>
      </c>
      <c r="V112" s="24" t="str">
        <f t="shared" si="10"/>
        <v/>
      </c>
      <c r="W112" s="24" t="s">
        <v>502</v>
      </c>
      <c r="X112" s="23">
        <v>2.254</v>
      </c>
      <c r="Y112" s="23">
        <v>0.38169999999999998</v>
      </c>
      <c r="Z112" s="23"/>
      <c r="AA112" s="24" t="s">
        <v>526</v>
      </c>
      <c r="AB112" s="24" t="str">
        <f t="shared" si="11"/>
        <v>Non testé</v>
      </c>
      <c r="AC112" s="23" t="s">
        <v>44</v>
      </c>
      <c r="AD112" s="23" t="s">
        <v>561</v>
      </c>
      <c r="AE112" s="23" t="str">
        <f t="shared" si="12"/>
        <v/>
      </c>
      <c r="AF112" s="23"/>
      <c r="AG112" s="23" t="str">
        <f t="shared" si="13"/>
        <v/>
      </c>
      <c r="AH112" s="24" t="s">
        <v>502</v>
      </c>
      <c r="AI112" s="23">
        <v>1.597</v>
      </c>
      <c r="AJ112" s="23">
        <v>0.70169999999999999</v>
      </c>
      <c r="AK112" s="23"/>
      <c r="AL112" s="24" t="s">
        <v>526</v>
      </c>
      <c r="AM112" s="24">
        <v>210</v>
      </c>
      <c r="AN112" s="24">
        <v>0</v>
      </c>
      <c r="AO112" s="24" t="str">
        <f>IF(ISBLANK(AM112),"",IF(AM112=92,IF(T112="Censure haute",120,""),IF(AB112="Censure haute",120,"")))</f>
        <v/>
      </c>
    </row>
    <row r="113" spans="1:41" x14ac:dyDescent="0.3">
      <c r="A113" s="24" t="s">
        <v>172</v>
      </c>
      <c r="B113" s="24" t="s">
        <v>517</v>
      </c>
      <c r="C113" s="30"/>
      <c r="D113" s="26">
        <v>15.5</v>
      </c>
      <c r="E113" s="24" t="s">
        <v>523</v>
      </c>
      <c r="F113" s="27" t="s">
        <v>524</v>
      </c>
      <c r="G113" s="28"/>
      <c r="H113" s="28"/>
      <c r="I113" s="24">
        <v>15</v>
      </c>
      <c r="J113" s="24" t="s">
        <v>43</v>
      </c>
      <c r="K113" s="24" t="s">
        <v>526</v>
      </c>
      <c r="L113" s="24" t="str">
        <f t="shared" si="7"/>
        <v>Non testé</v>
      </c>
      <c r="M113" s="23" t="s">
        <v>44</v>
      </c>
      <c r="N113" s="23" t="str">
        <f t="shared" si="8"/>
        <v/>
      </c>
      <c r="O113" s="24" t="s">
        <v>502</v>
      </c>
      <c r="P113" s="23">
        <v>3.5</v>
      </c>
      <c r="Q113" s="29">
        <v>8.9599999999999999E-2</v>
      </c>
      <c r="R113" s="29"/>
      <c r="S113" s="24" t="s">
        <v>526</v>
      </c>
      <c r="T113" s="24" t="str">
        <f t="shared" si="9"/>
        <v>Echec technique</v>
      </c>
      <c r="U113" s="24" t="s">
        <v>44</v>
      </c>
      <c r="V113" s="24" t="str">
        <f t="shared" si="10"/>
        <v/>
      </c>
      <c r="W113" s="24" t="s">
        <v>502</v>
      </c>
      <c r="X113" s="23">
        <v>2.742</v>
      </c>
      <c r="Y113" s="23">
        <v>4.2422000000000004</v>
      </c>
      <c r="Z113" s="23"/>
      <c r="AA113" s="24" t="s">
        <v>527</v>
      </c>
      <c r="AB113" s="24" t="str">
        <f t="shared" si="11"/>
        <v>Normal</v>
      </c>
      <c r="AC113" s="23">
        <v>1093843</v>
      </c>
      <c r="AD113" s="23">
        <v>109.3843</v>
      </c>
      <c r="AE113" s="23" t="str">
        <f t="shared" si="12"/>
        <v/>
      </c>
      <c r="AF113" s="23"/>
      <c r="AG113" s="23" t="str">
        <f t="shared" si="13"/>
        <v/>
      </c>
      <c r="AH113" s="24" t="s">
        <v>527</v>
      </c>
      <c r="AI113" s="23">
        <v>1.734</v>
      </c>
      <c r="AJ113" s="23">
        <v>1.7335</v>
      </c>
      <c r="AK113" s="23"/>
      <c r="AL113" s="24" t="s">
        <v>527</v>
      </c>
      <c r="AM113" s="24">
        <v>182</v>
      </c>
      <c r="AN113" s="24">
        <v>1</v>
      </c>
      <c r="AO113" s="24" t="str">
        <f>IF(ISBLANK(AM113),"",IF(AM113=92,IF(T113="Censure haute",120,""),IF(AB113="Censure haute",120,"")))</f>
        <v/>
      </c>
    </row>
    <row r="114" spans="1:41" x14ac:dyDescent="0.3">
      <c r="A114" s="24" t="s">
        <v>173</v>
      </c>
      <c r="B114" s="24" t="s">
        <v>516</v>
      </c>
      <c r="C114" s="25" t="s">
        <v>518</v>
      </c>
      <c r="D114" s="26">
        <v>23.5</v>
      </c>
      <c r="E114" s="24" t="s">
        <v>521</v>
      </c>
      <c r="F114" s="27" t="s">
        <v>525</v>
      </c>
      <c r="G114" s="28">
        <v>44454</v>
      </c>
      <c r="H114" s="28">
        <v>44476</v>
      </c>
      <c r="I114" s="24">
        <v>15</v>
      </c>
      <c r="J114" s="24" t="s">
        <v>43</v>
      </c>
      <c r="K114" s="24" t="s">
        <v>526</v>
      </c>
      <c r="L114" s="24" t="str">
        <f t="shared" si="7"/>
        <v>Non testé</v>
      </c>
      <c r="M114" s="23" t="s">
        <v>44</v>
      </c>
      <c r="N114" s="23" t="str">
        <f t="shared" si="8"/>
        <v/>
      </c>
      <c r="O114" s="24" t="s">
        <v>502</v>
      </c>
      <c r="P114" s="23">
        <v>3.5</v>
      </c>
      <c r="Q114" s="29">
        <v>0.10150000000000001</v>
      </c>
      <c r="R114" s="29"/>
      <c r="S114" s="24" t="s">
        <v>526</v>
      </c>
      <c r="T114" s="24" t="str">
        <f t="shared" si="9"/>
        <v>Censure haute</v>
      </c>
      <c r="U114" s="24" t="s">
        <v>35</v>
      </c>
      <c r="V114" s="24" t="str">
        <f t="shared" si="10"/>
        <v/>
      </c>
      <c r="W114" s="24" t="s">
        <v>527</v>
      </c>
      <c r="X114" s="23">
        <v>2.6320000000000001</v>
      </c>
      <c r="Y114" s="23">
        <v>2.6027</v>
      </c>
      <c r="Z114" s="23"/>
      <c r="AA114" s="24" t="s">
        <v>527</v>
      </c>
      <c r="AB114" s="24" t="str">
        <f t="shared" si="11"/>
        <v>Non testé</v>
      </c>
      <c r="AC114" s="23" t="s">
        <v>44</v>
      </c>
      <c r="AD114" s="23" t="s">
        <v>561</v>
      </c>
      <c r="AE114" s="23" t="str">
        <f t="shared" si="12"/>
        <v/>
      </c>
      <c r="AF114" s="23"/>
      <c r="AG114" s="23" t="str">
        <f t="shared" si="13"/>
        <v/>
      </c>
      <c r="AH114" s="24" t="s">
        <v>502</v>
      </c>
      <c r="AI114" s="23">
        <v>2.1</v>
      </c>
      <c r="AJ114" s="23">
        <v>0.73280000000000001</v>
      </c>
      <c r="AK114" s="23"/>
      <c r="AL114" s="24" t="s">
        <v>526</v>
      </c>
      <c r="AM114" s="24">
        <v>210</v>
      </c>
      <c r="AN114" s="24">
        <v>0</v>
      </c>
      <c r="AO114" s="24" t="str">
        <f>IF(ISBLANK(AM114),"",IF(AM114=92,IF(T114="Censure haute",120,""),IF(AB114="Censure haute",120,"")))</f>
        <v/>
      </c>
    </row>
    <row r="115" spans="1:41" x14ac:dyDescent="0.3">
      <c r="A115" s="24" t="s">
        <v>174</v>
      </c>
      <c r="B115" s="24" t="s">
        <v>516</v>
      </c>
      <c r="C115" s="25"/>
      <c r="D115" s="26">
        <v>33.700000000000003</v>
      </c>
      <c r="E115" s="24" t="s">
        <v>522</v>
      </c>
      <c r="F115" s="27" t="s">
        <v>525</v>
      </c>
      <c r="G115" s="28">
        <v>44453</v>
      </c>
      <c r="H115" s="28">
        <v>44480</v>
      </c>
      <c r="I115" s="24">
        <v>15</v>
      </c>
      <c r="J115" s="24" t="s">
        <v>43</v>
      </c>
      <c r="K115" s="24" t="s">
        <v>527</v>
      </c>
      <c r="L115" s="24" t="str">
        <f t="shared" si="7"/>
        <v>Non testé</v>
      </c>
      <c r="M115" s="23" t="s">
        <v>44</v>
      </c>
      <c r="N115" s="23" t="str">
        <f t="shared" si="8"/>
        <v/>
      </c>
      <c r="O115" s="24" t="s">
        <v>502</v>
      </c>
      <c r="P115" s="23">
        <v>3.5</v>
      </c>
      <c r="Q115" s="29">
        <v>0.27250000000000002</v>
      </c>
      <c r="R115" s="29"/>
      <c r="S115" s="24" t="s">
        <v>526</v>
      </c>
      <c r="T115" s="24" t="str">
        <f t="shared" si="9"/>
        <v>Echec technique</v>
      </c>
      <c r="U115" s="24" t="s">
        <v>44</v>
      </c>
      <c r="V115" s="24" t="str">
        <f t="shared" si="10"/>
        <v/>
      </c>
      <c r="W115" s="24" t="s">
        <v>502</v>
      </c>
      <c r="X115" s="23">
        <v>3.4039999999999999</v>
      </c>
      <c r="Y115" s="23">
        <v>1.8689</v>
      </c>
      <c r="Z115" s="23"/>
      <c r="AA115" s="24" t="s">
        <v>527</v>
      </c>
      <c r="AB115" s="24" t="str">
        <f t="shared" si="11"/>
        <v>Censure haute</v>
      </c>
      <c r="AC115" s="23" t="s">
        <v>35</v>
      </c>
      <c r="AD115" s="23" t="s">
        <v>561</v>
      </c>
      <c r="AE115" s="23" t="str">
        <f t="shared" si="12"/>
        <v/>
      </c>
      <c r="AF115" s="23"/>
      <c r="AG115" s="23" t="str">
        <f t="shared" si="13"/>
        <v/>
      </c>
      <c r="AH115" s="24" t="s">
        <v>527</v>
      </c>
      <c r="AI115" s="23">
        <v>2.1579999999999999</v>
      </c>
      <c r="AJ115" s="23">
        <v>1.1291</v>
      </c>
      <c r="AK115" s="23"/>
      <c r="AL115" s="24" t="s">
        <v>527</v>
      </c>
      <c r="AM115" s="24">
        <v>210</v>
      </c>
      <c r="AN115" s="24">
        <v>0</v>
      </c>
      <c r="AO115" s="24">
        <f>IF(ISBLANK(AM115),"",IF(AM115=92,IF(T115="Censure haute",120,""),IF(AB115="Censure haute",120,"")))</f>
        <v>120</v>
      </c>
    </row>
    <row r="116" spans="1:41" x14ac:dyDescent="0.3">
      <c r="A116" s="24" t="s">
        <v>175</v>
      </c>
      <c r="B116" s="24" t="s">
        <v>516</v>
      </c>
      <c r="C116" s="30" t="s">
        <v>519</v>
      </c>
      <c r="D116" s="26">
        <v>19.899999999999999</v>
      </c>
      <c r="E116" s="24" t="s">
        <v>521</v>
      </c>
      <c r="F116" s="27" t="s">
        <v>525</v>
      </c>
      <c r="G116" s="28">
        <v>44453</v>
      </c>
      <c r="H116" s="28">
        <v>44476</v>
      </c>
      <c r="I116" s="24">
        <v>15</v>
      </c>
      <c r="J116" s="24" t="s">
        <v>43</v>
      </c>
      <c r="K116" s="24" t="s">
        <v>526</v>
      </c>
      <c r="L116" s="24" t="str">
        <f t="shared" si="7"/>
        <v>Non testé</v>
      </c>
      <c r="M116" s="23" t="s">
        <v>44</v>
      </c>
      <c r="N116" s="23" t="str">
        <f t="shared" si="8"/>
        <v/>
      </c>
      <c r="O116" s="24" t="s">
        <v>502</v>
      </c>
      <c r="P116" s="23">
        <v>3.5</v>
      </c>
      <c r="Q116" s="29">
        <v>0.11409999999999999</v>
      </c>
      <c r="R116" s="29"/>
      <c r="S116" s="24" t="s">
        <v>526</v>
      </c>
      <c r="T116" s="24" t="str">
        <f t="shared" si="9"/>
        <v>Censure haute</v>
      </c>
      <c r="U116" s="24" t="s">
        <v>35</v>
      </c>
      <c r="V116" s="24" t="str">
        <f t="shared" si="10"/>
        <v/>
      </c>
      <c r="W116" s="24" t="s">
        <v>527</v>
      </c>
      <c r="X116" s="23">
        <v>3.1789999999999998</v>
      </c>
      <c r="Y116" s="23">
        <v>2.3022999999999998</v>
      </c>
      <c r="Z116" s="23"/>
      <c r="AA116" s="24" t="s">
        <v>527</v>
      </c>
      <c r="AB116" s="24" t="str">
        <f t="shared" si="11"/>
        <v>Censure haute</v>
      </c>
      <c r="AC116" s="23" t="s">
        <v>35</v>
      </c>
      <c r="AD116" s="23" t="s">
        <v>561</v>
      </c>
      <c r="AE116" s="23" t="str">
        <f t="shared" si="12"/>
        <v/>
      </c>
      <c r="AF116" s="23"/>
      <c r="AG116" s="23" t="str">
        <f t="shared" si="13"/>
        <v/>
      </c>
      <c r="AH116" s="24" t="s">
        <v>527</v>
      </c>
      <c r="AI116" s="23">
        <v>2.2930000000000001</v>
      </c>
      <c r="AJ116" s="23">
        <v>1.0335000000000001</v>
      </c>
      <c r="AK116" s="23"/>
      <c r="AL116" s="24" t="s">
        <v>526</v>
      </c>
      <c r="AM116" s="24">
        <v>210</v>
      </c>
      <c r="AN116" s="24">
        <v>0</v>
      </c>
      <c r="AO116" s="24">
        <f>IF(ISBLANK(AM116),"",IF(AM116=92,IF(T116="Censure haute",120,""),IF(AB116="Censure haute",120,"")))</f>
        <v>120</v>
      </c>
    </row>
    <row r="117" spans="1:41" x14ac:dyDescent="0.3">
      <c r="A117" s="24" t="s">
        <v>176</v>
      </c>
      <c r="B117" s="24" t="s">
        <v>516</v>
      </c>
      <c r="C117" s="25" t="s">
        <v>518</v>
      </c>
      <c r="D117" s="26">
        <v>18.899999999999999</v>
      </c>
      <c r="E117" s="24" t="s">
        <v>521</v>
      </c>
      <c r="F117" s="27" t="s">
        <v>525</v>
      </c>
      <c r="G117" s="28">
        <v>44453</v>
      </c>
      <c r="H117" s="28">
        <v>44476</v>
      </c>
      <c r="I117" s="24">
        <v>15</v>
      </c>
      <c r="J117" s="24" t="s">
        <v>43</v>
      </c>
      <c r="K117" s="24" t="s">
        <v>527</v>
      </c>
      <c r="L117" s="24" t="str">
        <f t="shared" si="7"/>
        <v>Non testé</v>
      </c>
      <c r="M117" s="23" t="s">
        <v>44</v>
      </c>
      <c r="N117" s="23" t="str">
        <f t="shared" si="8"/>
        <v/>
      </c>
      <c r="O117" s="24" t="s">
        <v>502</v>
      </c>
      <c r="P117" s="23">
        <v>3.5</v>
      </c>
      <c r="Q117" s="29">
        <v>0.50770000000000004</v>
      </c>
      <c r="R117" s="29"/>
      <c r="S117" s="24" t="s">
        <v>526</v>
      </c>
      <c r="T117" s="24" t="str">
        <f t="shared" si="9"/>
        <v>Echec technique</v>
      </c>
      <c r="U117" s="24" t="s">
        <v>44</v>
      </c>
      <c r="V117" s="24" t="str">
        <f t="shared" si="10"/>
        <v/>
      </c>
      <c r="W117" s="24" t="s">
        <v>502</v>
      </c>
      <c r="X117" s="23">
        <v>3.2229999999999999</v>
      </c>
      <c r="Y117" s="23">
        <v>1.8322000000000001</v>
      </c>
      <c r="Z117" s="23"/>
      <c r="AA117" s="24" t="s">
        <v>527</v>
      </c>
      <c r="AB117" s="24" t="str">
        <f t="shared" si="11"/>
        <v>Censure haute</v>
      </c>
      <c r="AC117" s="23" t="s">
        <v>35</v>
      </c>
      <c r="AD117" s="23" t="s">
        <v>561</v>
      </c>
      <c r="AE117" s="23" t="str">
        <f t="shared" si="12"/>
        <v/>
      </c>
      <c r="AF117" s="23"/>
      <c r="AG117" s="23" t="str">
        <f t="shared" si="13"/>
        <v/>
      </c>
      <c r="AH117" s="24" t="s">
        <v>527</v>
      </c>
      <c r="AI117" s="23">
        <v>2.3919999999999999</v>
      </c>
      <c r="AJ117" s="23">
        <v>0.41599999999999998</v>
      </c>
      <c r="AK117" s="23"/>
      <c r="AL117" s="24" t="s">
        <v>526</v>
      </c>
      <c r="AM117" s="24">
        <v>210</v>
      </c>
      <c r="AN117" s="24">
        <v>0</v>
      </c>
      <c r="AO117" s="24">
        <f>IF(ISBLANK(AM117),"",IF(AM117=92,IF(T117="Censure haute",120,""),IF(AB117="Censure haute",120,"")))</f>
        <v>120</v>
      </c>
    </row>
    <row r="118" spans="1:41" x14ac:dyDescent="0.3">
      <c r="A118" s="24" t="s">
        <v>177</v>
      </c>
      <c r="B118" s="24" t="s">
        <v>516</v>
      </c>
      <c r="C118" s="25" t="s">
        <v>518</v>
      </c>
      <c r="D118" s="26">
        <v>21.8</v>
      </c>
      <c r="E118" s="24" t="s">
        <v>520</v>
      </c>
      <c r="F118" s="27" t="s">
        <v>525</v>
      </c>
      <c r="G118" s="28">
        <v>44453</v>
      </c>
      <c r="H118" s="28">
        <v>44477</v>
      </c>
      <c r="I118" s="24">
        <v>12</v>
      </c>
      <c r="J118" s="24" t="s">
        <v>33</v>
      </c>
      <c r="K118" s="24" t="s">
        <v>526</v>
      </c>
      <c r="L118" s="24" t="str">
        <f t="shared" si="7"/>
        <v>Non testé</v>
      </c>
      <c r="M118" s="23" t="s">
        <v>44</v>
      </c>
      <c r="N118" s="23" t="str">
        <f t="shared" si="8"/>
        <v/>
      </c>
      <c r="O118" s="24" t="s">
        <v>502</v>
      </c>
      <c r="P118" s="23">
        <v>3.5</v>
      </c>
      <c r="Q118" s="29">
        <v>1.2043999999999999</v>
      </c>
      <c r="R118" s="29"/>
      <c r="S118" s="24" t="s">
        <v>527</v>
      </c>
      <c r="T118" s="24" t="str">
        <f t="shared" si="9"/>
        <v>Censure haute</v>
      </c>
      <c r="U118" s="24" t="s">
        <v>35</v>
      </c>
      <c r="V118" s="24" t="str">
        <f t="shared" si="10"/>
        <v/>
      </c>
      <c r="W118" s="24" t="s">
        <v>527</v>
      </c>
      <c r="X118" s="23">
        <v>3.3090000000000002</v>
      </c>
      <c r="Y118" s="23">
        <v>6.5496999999999996</v>
      </c>
      <c r="Z118" s="23"/>
      <c r="AA118" s="24" t="s">
        <v>527</v>
      </c>
      <c r="AB118" s="24" t="str">
        <f t="shared" si="11"/>
        <v>Normal</v>
      </c>
      <c r="AC118" s="23">
        <v>979798</v>
      </c>
      <c r="AD118" s="23">
        <v>97.979799999999997</v>
      </c>
      <c r="AE118" s="23" t="str">
        <f t="shared" si="12"/>
        <v/>
      </c>
      <c r="AF118" s="23"/>
      <c r="AG118" s="23" t="str">
        <f t="shared" si="13"/>
        <v/>
      </c>
      <c r="AH118" s="24" t="s">
        <v>527</v>
      </c>
      <c r="AI118" s="23">
        <v>2.4350000000000001</v>
      </c>
      <c r="AJ118" s="23">
        <v>2.1475</v>
      </c>
      <c r="AK118" s="23"/>
      <c r="AL118" s="24" t="s">
        <v>526</v>
      </c>
      <c r="AM118" s="24">
        <v>182</v>
      </c>
      <c r="AN118" s="24">
        <v>1</v>
      </c>
      <c r="AO118" s="24" t="str">
        <f>IF(ISBLANK(AM118),"",IF(AM118=92,IF(T118="Censure haute",120,""),IF(AB118="Censure haute",120,"")))</f>
        <v/>
      </c>
    </row>
    <row r="119" spans="1:41" x14ac:dyDescent="0.3">
      <c r="A119" s="24" t="s">
        <v>178</v>
      </c>
      <c r="B119" s="24" t="s">
        <v>516</v>
      </c>
      <c r="C119" s="30" t="s">
        <v>518</v>
      </c>
      <c r="D119" s="26">
        <v>18.399999999999999</v>
      </c>
      <c r="E119" s="24" t="s">
        <v>521</v>
      </c>
      <c r="F119" s="27" t="s">
        <v>525</v>
      </c>
      <c r="G119" s="28">
        <v>44453</v>
      </c>
      <c r="H119" s="28">
        <v>44477</v>
      </c>
      <c r="I119" s="24">
        <v>12</v>
      </c>
      <c r="J119" s="24" t="s">
        <v>33</v>
      </c>
      <c r="K119" s="24" t="s">
        <v>526</v>
      </c>
      <c r="L119" s="24" t="str">
        <f t="shared" si="7"/>
        <v>Non testé</v>
      </c>
      <c r="M119" s="23" t="s">
        <v>44</v>
      </c>
      <c r="N119" s="23" t="str">
        <f t="shared" si="8"/>
        <v/>
      </c>
      <c r="O119" s="24" t="s">
        <v>502</v>
      </c>
      <c r="P119" s="23">
        <v>3.5</v>
      </c>
      <c r="Q119" s="29">
        <v>7.3300000000000004E-2</v>
      </c>
      <c r="R119" s="29"/>
      <c r="S119" s="24" t="s">
        <v>526</v>
      </c>
      <c r="T119" s="24" t="str">
        <f t="shared" si="9"/>
        <v>Censure haute</v>
      </c>
      <c r="U119" s="24" t="s">
        <v>35</v>
      </c>
      <c r="V119" s="24" t="str">
        <f t="shared" si="10"/>
        <v/>
      </c>
      <c r="W119" s="24" t="s">
        <v>527</v>
      </c>
      <c r="X119" s="23">
        <v>3.5</v>
      </c>
      <c r="Y119" s="23">
        <v>0.2848</v>
      </c>
      <c r="Z119" s="23"/>
      <c r="AA119" s="24" t="s">
        <v>526</v>
      </c>
      <c r="AB119" s="24" t="str">
        <f t="shared" si="11"/>
        <v>Censure haute</v>
      </c>
      <c r="AC119" s="23" t="s">
        <v>35</v>
      </c>
      <c r="AD119" s="23" t="s">
        <v>561</v>
      </c>
      <c r="AE119" s="23" t="str">
        <f t="shared" si="12"/>
        <v/>
      </c>
      <c r="AF119" s="23"/>
      <c r="AG119" s="23" t="str">
        <f t="shared" si="13"/>
        <v/>
      </c>
      <c r="AH119" s="24" t="s">
        <v>527</v>
      </c>
      <c r="AI119" s="23">
        <v>2.456</v>
      </c>
      <c r="AJ119" s="23">
        <v>9.5000000000000001E-2</v>
      </c>
      <c r="AK119" s="23"/>
      <c r="AL119" s="24" t="s">
        <v>526</v>
      </c>
      <c r="AM119" s="24">
        <v>210</v>
      </c>
      <c r="AN119" s="24">
        <v>0</v>
      </c>
      <c r="AO119" s="24">
        <f>IF(ISBLANK(AM119),"",IF(AM119=92,IF(T119="Censure haute",120,""),IF(AB119="Censure haute",120,"")))</f>
        <v>120</v>
      </c>
    </row>
    <row r="120" spans="1:41" x14ac:dyDescent="0.3">
      <c r="A120" s="24" t="s">
        <v>179</v>
      </c>
      <c r="B120" s="24" t="s">
        <v>517</v>
      </c>
      <c r="C120" s="30"/>
      <c r="D120" s="26">
        <v>35.1</v>
      </c>
      <c r="E120" s="24" t="s">
        <v>521</v>
      </c>
      <c r="F120" s="27" t="s">
        <v>525</v>
      </c>
      <c r="G120" s="28">
        <v>44453</v>
      </c>
      <c r="H120" s="28">
        <v>44476</v>
      </c>
      <c r="I120" s="24">
        <v>15</v>
      </c>
      <c r="J120" s="24" t="s">
        <v>43</v>
      </c>
      <c r="K120" s="24" t="s">
        <v>526</v>
      </c>
      <c r="L120" s="24" t="str">
        <f t="shared" si="7"/>
        <v>Non testé</v>
      </c>
      <c r="M120" s="23" t="s">
        <v>44</v>
      </c>
      <c r="N120" s="23" t="str">
        <f t="shared" si="8"/>
        <v/>
      </c>
      <c r="O120" s="24" t="s">
        <v>502</v>
      </c>
      <c r="P120" s="23">
        <v>3.5</v>
      </c>
      <c r="Q120" s="29">
        <v>9.4500000000000001E-2</v>
      </c>
      <c r="R120" s="29"/>
      <c r="S120" s="24" t="s">
        <v>526</v>
      </c>
      <c r="T120" s="24" t="str">
        <f t="shared" si="9"/>
        <v>Censure haute</v>
      </c>
      <c r="U120" s="24" t="s">
        <v>35</v>
      </c>
      <c r="V120" s="24" t="str">
        <f t="shared" si="10"/>
        <v/>
      </c>
      <c r="W120" s="24" t="s">
        <v>527</v>
      </c>
      <c r="X120" s="23">
        <v>3.5</v>
      </c>
      <c r="Y120" s="23">
        <v>2.1928000000000001</v>
      </c>
      <c r="Z120" s="23"/>
      <c r="AA120" s="24" t="s">
        <v>527</v>
      </c>
      <c r="AB120" s="24" t="str">
        <f t="shared" si="11"/>
        <v>Non testé</v>
      </c>
      <c r="AC120" s="23" t="s">
        <v>44</v>
      </c>
      <c r="AD120" s="23" t="s">
        <v>561</v>
      </c>
      <c r="AE120" s="23" t="str">
        <f t="shared" si="12"/>
        <v/>
      </c>
      <c r="AF120" s="23"/>
      <c r="AG120" s="23" t="str">
        <f t="shared" si="13"/>
        <v/>
      </c>
      <c r="AH120" s="24" t="s">
        <v>502</v>
      </c>
      <c r="AI120" s="23">
        <v>2.508</v>
      </c>
      <c r="AJ120" s="23">
        <v>1.3967000000000001</v>
      </c>
      <c r="AK120" s="23"/>
      <c r="AL120" s="24" t="s">
        <v>527</v>
      </c>
      <c r="AM120" s="24">
        <v>210</v>
      </c>
      <c r="AN120" s="24">
        <v>0</v>
      </c>
      <c r="AO120" s="24" t="str">
        <f>IF(ISBLANK(AM120),"",IF(AM120=92,IF(T120="Censure haute",120,""),IF(AB120="Censure haute",120,"")))</f>
        <v/>
      </c>
    </row>
    <row r="121" spans="1:41" x14ac:dyDescent="0.3">
      <c r="A121" s="24" t="s">
        <v>180</v>
      </c>
      <c r="B121" s="24" t="s">
        <v>516</v>
      </c>
      <c r="C121" s="25"/>
      <c r="D121" s="26">
        <v>23</v>
      </c>
      <c r="E121" s="24" t="s">
        <v>521</v>
      </c>
      <c r="F121" s="27" t="s">
        <v>525</v>
      </c>
      <c r="G121" s="28">
        <v>44453</v>
      </c>
      <c r="H121" s="28">
        <v>44476</v>
      </c>
      <c r="I121" s="24">
        <v>15</v>
      </c>
      <c r="J121" s="24" t="s">
        <v>43</v>
      </c>
      <c r="K121" s="24" t="s">
        <v>527</v>
      </c>
      <c r="L121" s="24" t="str">
        <f t="shared" si="7"/>
        <v>Non testé</v>
      </c>
      <c r="M121" s="23" t="s">
        <v>44</v>
      </c>
      <c r="N121" s="23" t="str">
        <f t="shared" si="8"/>
        <v/>
      </c>
      <c r="O121" s="24" t="s">
        <v>502</v>
      </c>
      <c r="P121" s="23">
        <v>3.5</v>
      </c>
      <c r="Q121" s="29">
        <v>1.4278999999999999</v>
      </c>
      <c r="R121" s="29"/>
      <c r="S121" s="24" t="s">
        <v>527</v>
      </c>
      <c r="T121" s="24" t="str">
        <f t="shared" si="9"/>
        <v>Echec technique</v>
      </c>
      <c r="U121" s="24" t="s">
        <v>44</v>
      </c>
      <c r="V121" s="24" t="str">
        <f t="shared" si="10"/>
        <v/>
      </c>
      <c r="W121" s="24" t="s">
        <v>502</v>
      </c>
      <c r="X121" s="23">
        <v>3.0190000000000001</v>
      </c>
      <c r="Y121" s="23">
        <v>0.92</v>
      </c>
      <c r="Z121" s="23"/>
      <c r="AA121" s="24" t="s">
        <v>526</v>
      </c>
      <c r="AB121" s="24" t="str">
        <f t="shared" si="11"/>
        <v>Censure haute</v>
      </c>
      <c r="AC121" s="23" t="s">
        <v>35</v>
      </c>
      <c r="AD121" s="23" t="s">
        <v>561</v>
      </c>
      <c r="AE121" s="23" t="str">
        <f t="shared" si="12"/>
        <v/>
      </c>
      <c r="AF121" s="23"/>
      <c r="AG121" s="23" t="str">
        <f t="shared" si="13"/>
        <v/>
      </c>
      <c r="AH121" s="24" t="s">
        <v>527</v>
      </c>
      <c r="AI121" s="23">
        <v>2.528</v>
      </c>
      <c r="AJ121" s="23">
        <v>0.62419999999999998</v>
      </c>
      <c r="AK121" s="23"/>
      <c r="AL121" s="24" t="s">
        <v>526</v>
      </c>
      <c r="AM121" s="24">
        <v>210</v>
      </c>
      <c r="AN121" s="24">
        <v>0</v>
      </c>
      <c r="AO121" s="24">
        <f>IF(ISBLANK(AM121),"",IF(AM121=92,IF(T121="Censure haute",120,""),IF(AB121="Censure haute",120,"")))</f>
        <v>120</v>
      </c>
    </row>
    <row r="122" spans="1:41" x14ac:dyDescent="0.3">
      <c r="A122" s="24" t="s">
        <v>181</v>
      </c>
      <c r="B122" s="24" t="s">
        <v>517</v>
      </c>
      <c r="C122" s="25" t="s">
        <v>518</v>
      </c>
      <c r="D122" s="26">
        <v>29</v>
      </c>
      <c r="E122" s="24" t="s">
        <v>522</v>
      </c>
      <c r="F122" s="27" t="s">
        <v>525</v>
      </c>
      <c r="G122" s="28">
        <v>44453</v>
      </c>
      <c r="H122" s="28">
        <v>44477</v>
      </c>
      <c r="I122" s="24">
        <v>12</v>
      </c>
      <c r="J122" s="24" t="s">
        <v>33</v>
      </c>
      <c r="K122" s="24" t="s">
        <v>527</v>
      </c>
      <c r="L122" s="24" t="str">
        <f t="shared" si="7"/>
        <v>Non testé</v>
      </c>
      <c r="M122" s="23" t="s">
        <v>44</v>
      </c>
      <c r="N122" s="23" t="str">
        <f t="shared" si="8"/>
        <v/>
      </c>
      <c r="O122" s="24" t="s">
        <v>502</v>
      </c>
      <c r="P122" s="23">
        <v>3.5</v>
      </c>
      <c r="Q122" s="29">
        <v>2.6709999999999998</v>
      </c>
      <c r="R122" s="29"/>
      <c r="S122" s="24" t="s">
        <v>527</v>
      </c>
      <c r="T122" s="24" t="str">
        <f t="shared" si="9"/>
        <v>Echec technique</v>
      </c>
      <c r="U122" s="24" t="s">
        <v>44</v>
      </c>
      <c r="V122" s="24" t="str">
        <f t="shared" si="10"/>
        <v/>
      </c>
      <c r="W122" s="24" t="s">
        <v>502</v>
      </c>
      <c r="X122" s="23">
        <v>3.032</v>
      </c>
      <c r="Y122" s="23">
        <v>4.8895999999999997</v>
      </c>
      <c r="Z122" s="23"/>
      <c r="AA122" s="24" t="s">
        <v>527</v>
      </c>
      <c r="AB122" s="24" t="str">
        <f t="shared" si="11"/>
        <v>Non testé</v>
      </c>
      <c r="AC122" s="23" t="s">
        <v>44</v>
      </c>
      <c r="AD122" s="23" t="s">
        <v>561</v>
      </c>
      <c r="AE122" s="23" t="str">
        <f t="shared" si="12"/>
        <v/>
      </c>
      <c r="AF122" s="23"/>
      <c r="AG122" s="23" t="str">
        <f t="shared" si="13"/>
        <v/>
      </c>
      <c r="AH122" s="24" t="s">
        <v>502</v>
      </c>
      <c r="AI122" s="23">
        <v>2.5649999999999999</v>
      </c>
      <c r="AJ122" s="23">
        <v>2.3450000000000002</v>
      </c>
      <c r="AK122" s="23"/>
      <c r="AL122" s="24" t="s">
        <v>527</v>
      </c>
      <c r="AM122" s="24">
        <v>210</v>
      </c>
      <c r="AN122" s="24">
        <v>0</v>
      </c>
      <c r="AO122" s="24" t="str">
        <f>IF(ISBLANK(AM122),"",IF(AM122=92,IF(T122="Censure haute",120,""),IF(AB122="Censure haute",120,"")))</f>
        <v/>
      </c>
    </row>
    <row r="123" spans="1:41" x14ac:dyDescent="0.3">
      <c r="A123" s="24" t="s">
        <v>182</v>
      </c>
      <c r="B123" s="24" t="s">
        <v>517</v>
      </c>
      <c r="C123" s="25" t="s">
        <v>518</v>
      </c>
      <c r="D123" s="26">
        <v>15.9</v>
      </c>
      <c r="E123" s="24" t="s">
        <v>521</v>
      </c>
      <c r="F123" s="27" t="s">
        <v>525</v>
      </c>
      <c r="G123" s="28">
        <v>44453</v>
      </c>
      <c r="H123" s="28">
        <v>44477</v>
      </c>
      <c r="I123" s="24">
        <v>13</v>
      </c>
      <c r="J123" s="24" t="s">
        <v>33</v>
      </c>
      <c r="K123" s="24" t="s">
        <v>527</v>
      </c>
      <c r="L123" s="24" t="str">
        <f t="shared" si="7"/>
        <v>Non testé</v>
      </c>
      <c r="M123" s="23" t="s">
        <v>44</v>
      </c>
      <c r="N123" s="23" t="str">
        <f t="shared" si="8"/>
        <v/>
      </c>
      <c r="O123" s="24" t="s">
        <v>502</v>
      </c>
      <c r="P123" s="23">
        <v>3.5</v>
      </c>
      <c r="Q123" s="29">
        <v>1.3257000000000001</v>
      </c>
      <c r="R123" s="29">
        <v>1.2524</v>
      </c>
      <c r="S123" s="24" t="s">
        <v>527</v>
      </c>
      <c r="T123" s="24" t="str">
        <f t="shared" si="9"/>
        <v>Echec technique</v>
      </c>
      <c r="U123" s="24" t="s">
        <v>44</v>
      </c>
      <c r="V123" s="24" t="str">
        <f t="shared" si="10"/>
        <v/>
      </c>
      <c r="W123" s="24" t="s">
        <v>502</v>
      </c>
      <c r="X123" s="23">
        <v>3.206</v>
      </c>
      <c r="Y123" s="23">
        <v>1.1192</v>
      </c>
      <c r="Z123" s="23"/>
      <c r="AA123" s="24" t="s">
        <v>527</v>
      </c>
      <c r="AB123" s="24" t="str">
        <f t="shared" si="11"/>
        <v>Censure haute</v>
      </c>
      <c r="AC123" s="23" t="s">
        <v>35</v>
      </c>
      <c r="AD123" s="23" t="s">
        <v>561</v>
      </c>
      <c r="AE123" s="23" t="str">
        <f t="shared" si="12"/>
        <v/>
      </c>
      <c r="AF123" s="23"/>
      <c r="AG123" s="23" t="str">
        <f t="shared" si="13"/>
        <v/>
      </c>
      <c r="AH123" s="24" t="s">
        <v>527</v>
      </c>
      <c r="AI123" s="23">
        <v>2.589</v>
      </c>
      <c r="AJ123" s="23">
        <v>5.5533000000000001</v>
      </c>
      <c r="AK123" s="23"/>
      <c r="AL123" s="24" t="s">
        <v>527</v>
      </c>
      <c r="AM123" s="24">
        <v>210</v>
      </c>
      <c r="AN123" s="24">
        <v>0</v>
      </c>
      <c r="AO123" s="24">
        <f>IF(ISBLANK(AM123),"",IF(AM123=92,IF(T123="Censure haute",120,""),IF(AB123="Censure haute",120,"")))</f>
        <v>120</v>
      </c>
    </row>
    <row r="124" spans="1:41" x14ac:dyDescent="0.3">
      <c r="A124" s="24" t="s">
        <v>184</v>
      </c>
      <c r="B124" s="24" t="s">
        <v>517</v>
      </c>
      <c r="C124" s="25"/>
      <c r="D124" s="26">
        <v>31.3</v>
      </c>
      <c r="E124" s="24" t="s">
        <v>522</v>
      </c>
      <c r="F124" s="27" t="s">
        <v>525</v>
      </c>
      <c r="G124" s="28">
        <v>44453</v>
      </c>
      <c r="H124" s="28">
        <v>44477</v>
      </c>
      <c r="I124" s="24">
        <v>12</v>
      </c>
      <c r="J124" s="24" t="s">
        <v>33</v>
      </c>
      <c r="K124" s="24" t="s">
        <v>526</v>
      </c>
      <c r="L124" s="24" t="str">
        <f t="shared" si="7"/>
        <v>Non testé</v>
      </c>
      <c r="M124" s="23" t="s">
        <v>44</v>
      </c>
      <c r="N124" s="23" t="str">
        <f t="shared" si="8"/>
        <v/>
      </c>
      <c r="O124" s="24" t="s">
        <v>502</v>
      </c>
      <c r="P124" s="23">
        <v>3.5</v>
      </c>
      <c r="Q124" s="29">
        <v>0.92530000000000001</v>
      </c>
      <c r="R124" s="29">
        <v>1.0065999999999999</v>
      </c>
      <c r="S124" s="24" t="s">
        <v>526</v>
      </c>
      <c r="T124" s="24" t="str">
        <f t="shared" si="9"/>
        <v>Echec technique</v>
      </c>
      <c r="U124" s="24" t="s">
        <v>44</v>
      </c>
      <c r="V124" s="24" t="str">
        <f t="shared" si="10"/>
        <v/>
      </c>
      <c r="W124" s="24" t="s">
        <v>502</v>
      </c>
      <c r="X124" s="23">
        <v>3.38</v>
      </c>
      <c r="Y124" s="23">
        <v>1.1235999999999999</v>
      </c>
      <c r="Z124" s="23"/>
      <c r="AA124" s="24" t="s">
        <v>527</v>
      </c>
      <c r="AB124" s="24" t="str">
        <f t="shared" si="11"/>
        <v>Censure haute</v>
      </c>
      <c r="AC124" s="23" t="s">
        <v>35</v>
      </c>
      <c r="AD124" s="23" t="s">
        <v>561</v>
      </c>
      <c r="AE124" s="23" t="str">
        <f t="shared" si="12"/>
        <v/>
      </c>
      <c r="AF124" s="23"/>
      <c r="AG124" s="23" t="str">
        <f t="shared" si="13"/>
        <v/>
      </c>
      <c r="AH124" s="24" t="s">
        <v>527</v>
      </c>
      <c r="AI124" s="23">
        <v>2.5979999999999999</v>
      </c>
      <c r="AJ124" s="23">
        <v>0.75</v>
      </c>
      <c r="AK124" s="23">
        <v>0.78890000000000005</v>
      </c>
      <c r="AL124" s="24" t="s">
        <v>526</v>
      </c>
      <c r="AM124" s="24">
        <v>210</v>
      </c>
      <c r="AN124" s="24">
        <v>0</v>
      </c>
      <c r="AO124" s="24">
        <f>IF(ISBLANK(AM124),"",IF(AM124=92,IF(T124="Censure haute",120,""),IF(AB124="Censure haute",120,"")))</f>
        <v>120</v>
      </c>
    </row>
    <row r="125" spans="1:41" x14ac:dyDescent="0.3">
      <c r="A125" s="24" t="s">
        <v>187</v>
      </c>
      <c r="B125" s="24" t="s">
        <v>516</v>
      </c>
      <c r="C125" s="25" t="s">
        <v>518</v>
      </c>
      <c r="D125" s="26">
        <v>28</v>
      </c>
      <c r="E125" s="24" t="s">
        <v>520</v>
      </c>
      <c r="F125" s="27" t="s">
        <v>525</v>
      </c>
      <c r="G125" s="28">
        <v>44453</v>
      </c>
      <c r="H125" s="28">
        <v>44476</v>
      </c>
      <c r="I125" s="24">
        <v>15</v>
      </c>
      <c r="J125" s="24" t="s">
        <v>43</v>
      </c>
      <c r="K125" s="24" t="s">
        <v>526</v>
      </c>
      <c r="L125" s="24" t="str">
        <f t="shared" si="7"/>
        <v>Non testé</v>
      </c>
      <c r="M125" s="23" t="s">
        <v>44</v>
      </c>
      <c r="N125" s="23" t="str">
        <f t="shared" si="8"/>
        <v/>
      </c>
      <c r="O125" s="24" t="s">
        <v>502</v>
      </c>
      <c r="P125" s="23">
        <v>3.5</v>
      </c>
      <c r="Q125" s="29">
        <v>1.3843000000000001</v>
      </c>
      <c r="R125" s="29"/>
      <c r="S125" s="24" t="s">
        <v>527</v>
      </c>
      <c r="T125" s="24" t="str">
        <f t="shared" si="9"/>
        <v>Censure haute</v>
      </c>
      <c r="U125" s="24" t="s">
        <v>35</v>
      </c>
      <c r="V125" s="24" t="str">
        <f t="shared" si="10"/>
        <v/>
      </c>
      <c r="W125" s="24" t="s">
        <v>527</v>
      </c>
      <c r="X125" s="23">
        <v>3.0350000000000001</v>
      </c>
      <c r="Y125" s="23">
        <v>1.1874</v>
      </c>
      <c r="Z125" s="23">
        <v>1.2083999999999999</v>
      </c>
      <c r="AA125" s="24" t="s">
        <v>527</v>
      </c>
      <c r="AB125" s="24" t="str">
        <f t="shared" si="11"/>
        <v>Normal</v>
      </c>
      <c r="AC125" s="23">
        <v>846647</v>
      </c>
      <c r="AD125" s="23">
        <v>84.664699999999996</v>
      </c>
      <c r="AE125" s="23" t="str">
        <f t="shared" si="12"/>
        <v/>
      </c>
      <c r="AF125" s="23"/>
      <c r="AG125" s="23" t="str">
        <f t="shared" si="13"/>
        <v/>
      </c>
      <c r="AH125" s="24" t="s">
        <v>527</v>
      </c>
      <c r="AI125" s="23">
        <v>2.601</v>
      </c>
      <c r="AJ125" s="23">
        <v>0.7954</v>
      </c>
      <c r="AK125" s="23"/>
      <c r="AL125" s="24" t="s">
        <v>526</v>
      </c>
      <c r="AM125" s="24">
        <v>182</v>
      </c>
      <c r="AN125" s="24">
        <v>1</v>
      </c>
      <c r="AO125" s="24" t="str">
        <f>IF(ISBLANK(AM125),"",IF(AM125=92,IF(T125="Censure haute",120,""),IF(AB125="Censure haute",120,"")))</f>
        <v/>
      </c>
    </row>
    <row r="126" spans="1:41" x14ac:dyDescent="0.3">
      <c r="A126" s="24" t="s">
        <v>189</v>
      </c>
      <c r="B126" s="24" t="s">
        <v>516</v>
      </c>
      <c r="C126" s="25" t="s">
        <v>518</v>
      </c>
      <c r="D126" s="26">
        <v>34.799999999999997</v>
      </c>
      <c r="E126" s="24" t="s">
        <v>522</v>
      </c>
      <c r="F126" s="27" t="s">
        <v>525</v>
      </c>
      <c r="G126" s="28">
        <v>44456</v>
      </c>
      <c r="H126" s="28">
        <v>44476</v>
      </c>
      <c r="I126" s="24">
        <v>15</v>
      </c>
      <c r="J126" s="24" t="s">
        <v>43</v>
      </c>
      <c r="K126" s="24" t="s">
        <v>526</v>
      </c>
      <c r="L126" s="24" t="str">
        <f t="shared" si="7"/>
        <v>Non testé</v>
      </c>
      <c r="M126" s="23" t="s">
        <v>44</v>
      </c>
      <c r="N126" s="23" t="str">
        <f t="shared" si="8"/>
        <v/>
      </c>
      <c r="O126" s="24" t="s">
        <v>502</v>
      </c>
      <c r="P126" s="23">
        <v>3.5</v>
      </c>
      <c r="Q126" s="29">
        <v>8.5000000000000006E-2</v>
      </c>
      <c r="R126" s="29"/>
      <c r="S126" s="24" t="s">
        <v>526</v>
      </c>
      <c r="T126" s="24" t="str">
        <f t="shared" si="9"/>
        <v>Censure haute</v>
      </c>
      <c r="U126" s="24" t="s">
        <v>35</v>
      </c>
      <c r="V126" s="24" t="str">
        <f t="shared" si="10"/>
        <v/>
      </c>
      <c r="W126" s="24" t="s">
        <v>527</v>
      </c>
      <c r="X126" s="23">
        <v>3.3929999999999998</v>
      </c>
      <c r="Y126" s="23">
        <v>1.3103</v>
      </c>
      <c r="Z126" s="23"/>
      <c r="AA126" s="24" t="s">
        <v>527</v>
      </c>
      <c r="AB126" s="24" t="str">
        <f t="shared" si="11"/>
        <v>Censure haute</v>
      </c>
      <c r="AC126" s="23" t="s">
        <v>35</v>
      </c>
      <c r="AD126" s="23" t="s">
        <v>561</v>
      </c>
      <c r="AE126" s="23" t="str">
        <f t="shared" si="12"/>
        <v/>
      </c>
      <c r="AF126" s="23"/>
      <c r="AG126" s="23" t="str">
        <f t="shared" si="13"/>
        <v/>
      </c>
      <c r="AH126" s="24" t="s">
        <v>527</v>
      </c>
      <c r="AI126" s="23">
        <v>2.6019999999999999</v>
      </c>
      <c r="AJ126" s="23">
        <v>0.73099999999999998</v>
      </c>
      <c r="AK126" s="23"/>
      <c r="AL126" s="24" t="s">
        <v>526</v>
      </c>
      <c r="AM126" s="24">
        <v>210</v>
      </c>
      <c r="AN126" s="24">
        <v>0</v>
      </c>
      <c r="AO126" s="24">
        <f>IF(ISBLANK(AM126),"",IF(AM126=92,IF(T126="Censure haute",120,""),IF(AB126="Censure haute",120,"")))</f>
        <v>120</v>
      </c>
    </row>
    <row r="127" spans="1:41" x14ac:dyDescent="0.3">
      <c r="A127" s="24" t="s">
        <v>190</v>
      </c>
      <c r="B127" s="24" t="s">
        <v>516</v>
      </c>
      <c r="C127" s="30" t="s">
        <v>518</v>
      </c>
      <c r="D127" s="26">
        <v>37.5</v>
      </c>
      <c r="E127" s="24" t="s">
        <v>522</v>
      </c>
      <c r="F127" s="27" t="s">
        <v>525</v>
      </c>
      <c r="G127" s="28">
        <v>44453</v>
      </c>
      <c r="H127" s="28">
        <v>44476</v>
      </c>
      <c r="I127" s="24">
        <v>15</v>
      </c>
      <c r="J127" s="24" t="s">
        <v>43</v>
      </c>
      <c r="K127" s="24" t="s">
        <v>526</v>
      </c>
      <c r="L127" s="24" t="str">
        <f t="shared" si="7"/>
        <v>Non testé</v>
      </c>
      <c r="M127" s="23" t="s">
        <v>44</v>
      </c>
      <c r="N127" s="23" t="str">
        <f t="shared" si="8"/>
        <v/>
      </c>
      <c r="O127" s="24" t="s">
        <v>502</v>
      </c>
      <c r="P127" s="23">
        <v>3.5</v>
      </c>
      <c r="Q127" s="29">
        <v>3.4200000000000001E-2</v>
      </c>
      <c r="R127" s="29"/>
      <c r="S127" s="24" t="s">
        <v>526</v>
      </c>
      <c r="T127" s="24" t="str">
        <f t="shared" si="9"/>
        <v>Normal</v>
      </c>
      <c r="U127" s="24">
        <v>17.8963</v>
      </c>
      <c r="V127" s="24">
        <f t="shared" si="10"/>
        <v>17.8963</v>
      </c>
      <c r="W127" s="24" t="s">
        <v>527</v>
      </c>
      <c r="X127" s="23">
        <v>3.262</v>
      </c>
      <c r="Y127" s="23">
        <v>2.4821</v>
      </c>
      <c r="Z127" s="23"/>
      <c r="AA127" s="24" t="s">
        <v>527</v>
      </c>
      <c r="AB127" s="24" t="str">
        <f t="shared" si="11"/>
        <v>Normal</v>
      </c>
      <c r="AC127" s="23">
        <v>93832</v>
      </c>
      <c r="AD127" s="23">
        <v>9.3832000000000004</v>
      </c>
      <c r="AE127" s="23" t="str">
        <f t="shared" si="12"/>
        <v/>
      </c>
      <c r="AF127" s="23"/>
      <c r="AG127" s="23" t="str">
        <f t="shared" si="13"/>
        <v/>
      </c>
      <c r="AH127" s="24" t="s">
        <v>503</v>
      </c>
      <c r="AI127" s="23">
        <v>2.6080000000000001</v>
      </c>
      <c r="AJ127" s="23">
        <v>0.78100000000000003</v>
      </c>
      <c r="AK127" s="23"/>
      <c r="AL127" s="24" t="s">
        <v>526</v>
      </c>
      <c r="AM127" s="24"/>
      <c r="AN127" s="24"/>
      <c r="AO127" s="24" t="str">
        <f>IF(ISBLANK(AM127),"",IF(AM127=92,IF(T127="Censure haute",120,""),IF(AB127="Censure haute",120,"")))</f>
        <v/>
      </c>
    </row>
    <row r="128" spans="1:41" x14ac:dyDescent="0.3">
      <c r="A128" s="24" t="s">
        <v>191</v>
      </c>
      <c r="B128" s="24" t="s">
        <v>516</v>
      </c>
      <c r="C128" s="25"/>
      <c r="D128" s="26">
        <v>40.1</v>
      </c>
      <c r="E128" s="24" t="s">
        <v>522</v>
      </c>
      <c r="F128" s="27" t="s">
        <v>525</v>
      </c>
      <c r="G128" s="28">
        <v>44454</v>
      </c>
      <c r="H128" s="28">
        <v>44476</v>
      </c>
      <c r="I128" s="24">
        <v>15</v>
      </c>
      <c r="J128" s="24" t="s">
        <v>43</v>
      </c>
      <c r="K128" s="24" t="s">
        <v>527</v>
      </c>
      <c r="L128" s="24" t="str">
        <f t="shared" si="7"/>
        <v>Non testé</v>
      </c>
      <c r="M128" s="23" t="s">
        <v>44</v>
      </c>
      <c r="N128" s="23" t="str">
        <f t="shared" si="8"/>
        <v/>
      </c>
      <c r="O128" s="24" t="s">
        <v>502</v>
      </c>
      <c r="P128" s="23">
        <v>3.5</v>
      </c>
      <c r="Q128" s="29">
        <v>9.6199999999999994E-2</v>
      </c>
      <c r="R128" s="29"/>
      <c r="S128" s="24" t="s">
        <v>526</v>
      </c>
      <c r="T128" s="24" t="str">
        <f t="shared" si="9"/>
        <v>Censure haute</v>
      </c>
      <c r="U128" s="24" t="s">
        <v>35</v>
      </c>
      <c r="V128" s="24" t="str">
        <f t="shared" si="10"/>
        <v/>
      </c>
      <c r="W128" s="24" t="s">
        <v>527</v>
      </c>
      <c r="X128" s="23">
        <v>3.339</v>
      </c>
      <c r="Y128" s="23">
        <v>3.0960000000000001</v>
      </c>
      <c r="Z128" s="23"/>
      <c r="AA128" s="24" t="s">
        <v>526</v>
      </c>
      <c r="AB128" s="24" t="str">
        <f t="shared" si="11"/>
        <v>Censure haute</v>
      </c>
      <c r="AC128" s="23" t="s">
        <v>35</v>
      </c>
      <c r="AD128" s="23" t="s">
        <v>561</v>
      </c>
      <c r="AE128" s="23" t="str">
        <f t="shared" si="12"/>
        <v/>
      </c>
      <c r="AF128" s="23"/>
      <c r="AG128" s="23" t="str">
        <f t="shared" si="13"/>
        <v/>
      </c>
      <c r="AH128" s="24" t="s">
        <v>527</v>
      </c>
      <c r="AI128" s="23">
        <v>2.6150000000000002</v>
      </c>
      <c r="AJ128" s="23">
        <v>0.79659999999999997</v>
      </c>
      <c r="AK128" s="23"/>
      <c r="AL128" s="24" t="s">
        <v>526</v>
      </c>
      <c r="AM128" s="24">
        <v>210</v>
      </c>
      <c r="AN128" s="24">
        <v>0</v>
      </c>
      <c r="AO128" s="24">
        <f>IF(ISBLANK(AM128),"",IF(AM128=92,IF(T128="Censure haute",120,""),IF(AB128="Censure haute",120,"")))</f>
        <v>120</v>
      </c>
    </row>
    <row r="129" spans="1:41" x14ac:dyDescent="0.3">
      <c r="A129" s="24" t="s">
        <v>192</v>
      </c>
      <c r="B129" s="24" t="s">
        <v>517</v>
      </c>
      <c r="C129" s="25" t="s">
        <v>518</v>
      </c>
      <c r="D129" s="26">
        <v>20.2</v>
      </c>
      <c r="E129" s="24" t="s">
        <v>521</v>
      </c>
      <c r="F129" s="27" t="s">
        <v>525</v>
      </c>
      <c r="G129" s="28">
        <v>44453</v>
      </c>
      <c r="H129" s="28">
        <v>44477</v>
      </c>
      <c r="I129" s="24">
        <v>12</v>
      </c>
      <c r="J129" s="24" t="s">
        <v>33</v>
      </c>
      <c r="K129" s="24" t="s">
        <v>526</v>
      </c>
      <c r="L129" s="24" t="str">
        <f t="shared" si="7"/>
        <v>Non testé</v>
      </c>
      <c r="M129" s="23" t="s">
        <v>44</v>
      </c>
      <c r="N129" s="23" t="str">
        <f t="shared" si="8"/>
        <v/>
      </c>
      <c r="O129" s="24" t="s">
        <v>502</v>
      </c>
      <c r="P129" s="23">
        <v>3.5</v>
      </c>
      <c r="Q129" s="29">
        <v>0.1163</v>
      </c>
      <c r="R129" s="29"/>
      <c r="S129" s="24" t="s">
        <v>526</v>
      </c>
      <c r="T129" s="24" t="str">
        <f t="shared" si="9"/>
        <v>Echec technique</v>
      </c>
      <c r="U129" s="24" t="s">
        <v>44</v>
      </c>
      <c r="V129" s="24" t="str">
        <f t="shared" si="10"/>
        <v/>
      </c>
      <c r="W129" s="24" t="s">
        <v>502</v>
      </c>
      <c r="X129" s="23">
        <v>3.0169999999999999</v>
      </c>
      <c r="Y129" s="23">
        <v>2.2643</v>
      </c>
      <c r="Z129" s="23"/>
      <c r="AA129" s="24" t="s">
        <v>527</v>
      </c>
      <c r="AB129" s="24" t="str">
        <f t="shared" si="11"/>
        <v>Censure haute</v>
      </c>
      <c r="AC129" s="23" t="s">
        <v>35</v>
      </c>
      <c r="AD129" s="23" t="s">
        <v>561</v>
      </c>
      <c r="AE129" s="23" t="str">
        <f t="shared" si="12"/>
        <v/>
      </c>
      <c r="AF129" s="23"/>
      <c r="AG129" s="23" t="str">
        <f t="shared" si="13"/>
        <v/>
      </c>
      <c r="AH129" s="24" t="s">
        <v>527</v>
      </c>
      <c r="AI129" s="23">
        <v>2.6240000000000001</v>
      </c>
      <c r="AJ129" s="23">
        <v>0.97699999999999998</v>
      </c>
      <c r="AK129" s="23"/>
      <c r="AL129" s="24" t="s">
        <v>526</v>
      </c>
      <c r="AM129" s="24">
        <v>210</v>
      </c>
      <c r="AN129" s="24">
        <v>0</v>
      </c>
      <c r="AO129" s="24">
        <f>IF(ISBLANK(AM129),"",IF(AM129=92,IF(T129="Censure haute",120,""),IF(AB129="Censure haute",120,"")))</f>
        <v>120</v>
      </c>
    </row>
    <row r="130" spans="1:41" x14ac:dyDescent="0.3">
      <c r="A130" s="24" t="s">
        <v>193</v>
      </c>
      <c r="B130" s="24" t="s">
        <v>516</v>
      </c>
      <c r="C130" s="30"/>
      <c r="D130" s="26">
        <v>17.2</v>
      </c>
      <c r="E130" s="24" t="s">
        <v>521</v>
      </c>
      <c r="F130" s="27" t="s">
        <v>525</v>
      </c>
      <c r="G130" s="28">
        <v>44453</v>
      </c>
      <c r="H130" s="28">
        <v>44476</v>
      </c>
      <c r="I130" s="24">
        <v>15</v>
      </c>
      <c r="J130" s="24" t="s">
        <v>43</v>
      </c>
      <c r="K130" s="24" t="s">
        <v>527</v>
      </c>
      <c r="L130" s="24" t="str">
        <f t="shared" si="7"/>
        <v>Non testé</v>
      </c>
      <c r="M130" s="23" t="s">
        <v>44</v>
      </c>
      <c r="N130" s="23" t="str">
        <f t="shared" si="8"/>
        <v/>
      </c>
      <c r="O130" s="24" t="s">
        <v>502</v>
      </c>
      <c r="P130" s="23">
        <v>3.5</v>
      </c>
      <c r="Q130" s="29">
        <v>0.21759999999999999</v>
      </c>
      <c r="R130" s="29"/>
      <c r="S130" s="24" t="s">
        <v>526</v>
      </c>
      <c r="T130" s="24" t="str">
        <f t="shared" si="9"/>
        <v>Echec technique</v>
      </c>
      <c r="U130" s="24" t="s">
        <v>44</v>
      </c>
      <c r="V130" s="24" t="str">
        <f t="shared" si="10"/>
        <v/>
      </c>
      <c r="W130" s="24" t="s">
        <v>502</v>
      </c>
      <c r="X130" s="23">
        <v>3.468</v>
      </c>
      <c r="Y130" s="23">
        <v>0.43480000000000002</v>
      </c>
      <c r="Z130" s="23"/>
      <c r="AA130" s="24" t="s">
        <v>526</v>
      </c>
      <c r="AB130" s="24" t="str">
        <f t="shared" si="11"/>
        <v>Censure haute</v>
      </c>
      <c r="AC130" s="23" t="s">
        <v>35</v>
      </c>
      <c r="AD130" s="23" t="s">
        <v>561</v>
      </c>
      <c r="AE130" s="23" t="str">
        <f t="shared" si="12"/>
        <v/>
      </c>
      <c r="AF130" s="23"/>
      <c r="AG130" s="23" t="str">
        <f t="shared" si="13"/>
        <v/>
      </c>
      <c r="AH130" s="24" t="s">
        <v>527</v>
      </c>
      <c r="AI130" s="23">
        <v>2.64</v>
      </c>
      <c r="AJ130" s="23">
        <v>0.59630000000000005</v>
      </c>
      <c r="AK130" s="23"/>
      <c r="AL130" s="24" t="s">
        <v>526</v>
      </c>
      <c r="AM130" s="24"/>
      <c r="AN130" s="24"/>
      <c r="AO130" s="24" t="str">
        <f>IF(ISBLANK(AM130),"",IF(AM130=92,IF(T130="Censure haute",120,""),IF(AB130="Censure haute",120,"")))</f>
        <v/>
      </c>
    </row>
    <row r="131" spans="1:41" x14ac:dyDescent="0.3">
      <c r="A131" s="24" t="s">
        <v>194</v>
      </c>
      <c r="B131" s="24" t="s">
        <v>517</v>
      </c>
      <c r="C131" s="25"/>
      <c r="D131" s="26">
        <v>21.7</v>
      </c>
      <c r="E131" s="24" t="s">
        <v>521</v>
      </c>
      <c r="F131" s="27" t="s">
        <v>525</v>
      </c>
      <c r="G131" s="28">
        <v>44453</v>
      </c>
      <c r="H131" s="28">
        <v>44477</v>
      </c>
      <c r="I131" s="24">
        <v>15</v>
      </c>
      <c r="J131" s="24" t="s">
        <v>43</v>
      </c>
      <c r="K131" s="24" t="s">
        <v>526</v>
      </c>
      <c r="L131" s="24" t="str">
        <f t="shared" ref="L131:L194" si="14">IF(LEFT(M131,1)="&gt;","Censure haute",IF(M131="*****","Non testé","Normal"))</f>
        <v>Non testé</v>
      </c>
      <c r="M131" s="23" t="s">
        <v>44</v>
      </c>
      <c r="N131" s="23" t="str">
        <f t="shared" ref="N131:N194" si="15">IFERROR(VALUE(M131),"")</f>
        <v/>
      </c>
      <c r="O131" s="24" t="s">
        <v>502</v>
      </c>
      <c r="P131" s="23">
        <v>3.5</v>
      </c>
      <c r="Q131" s="29">
        <v>7.4200000000000002E-2</v>
      </c>
      <c r="R131" s="29"/>
      <c r="S131" s="24" t="s">
        <v>526</v>
      </c>
      <c r="T131" s="24" t="str">
        <f t="shared" ref="T131:T194" si="16">IF(LEFT(U131,1)="&gt;","Censure haute",IF(U131="*****","Echec technique","Normal"))</f>
        <v>Censure haute</v>
      </c>
      <c r="U131" s="24" t="s">
        <v>35</v>
      </c>
      <c r="V131" s="24" t="str">
        <f t="shared" ref="V131:V194" si="17">IFERROR(VALUE(U131),"")</f>
        <v/>
      </c>
      <c r="W131" s="24" t="s">
        <v>527</v>
      </c>
      <c r="X131" s="23">
        <v>2.8530000000000002</v>
      </c>
      <c r="Y131" s="23">
        <v>3.7900000000000003E-2</v>
      </c>
      <c r="Z131" s="23"/>
      <c r="AA131" s="24" t="s">
        <v>526</v>
      </c>
      <c r="AB131" s="24" t="str">
        <f t="shared" ref="AB131:AB194" si="18">IF(LEFT(AC131,1)="&gt;","Censure haute",IF(AC131="*****","Non testé","Normal"))</f>
        <v>Non testé</v>
      </c>
      <c r="AC131" s="23" t="s">
        <v>44</v>
      </c>
      <c r="AD131" s="23" t="s">
        <v>561</v>
      </c>
      <c r="AE131" s="23" t="str">
        <f t="shared" ref="AE131:AE194" si="19">IF(ISBLANK(AF131),"",IF(LEFT(AF131,1)="&gt;","Censure haute",IF(AF131="*****","Non testé","Normal")))</f>
        <v/>
      </c>
      <c r="AF131" s="23"/>
      <c r="AG131" s="23" t="str">
        <f t="shared" ref="AG131:AG194" si="20">IF(ISBLANK(AF131),"",IFERROR(VALUE(AF131),""))</f>
        <v/>
      </c>
      <c r="AH131" s="24" t="s">
        <v>502</v>
      </c>
      <c r="AI131" s="23">
        <v>2.6749999999999998</v>
      </c>
      <c r="AJ131" s="23">
        <v>1.1273</v>
      </c>
      <c r="AK131" s="23"/>
      <c r="AL131" s="24" t="s">
        <v>527</v>
      </c>
      <c r="AM131" s="24">
        <v>210</v>
      </c>
      <c r="AN131" s="24">
        <v>0</v>
      </c>
      <c r="AO131" s="24" t="str">
        <f>IF(ISBLANK(AM131),"",IF(AM131=92,IF(T131="Censure haute",120,""),IF(AB131="Censure haute",120,"")))</f>
        <v/>
      </c>
    </row>
    <row r="132" spans="1:41" x14ac:dyDescent="0.3">
      <c r="A132" s="24" t="s">
        <v>195</v>
      </c>
      <c r="B132" s="24" t="s">
        <v>516</v>
      </c>
      <c r="C132" s="25" t="s">
        <v>518</v>
      </c>
      <c r="D132" s="26">
        <v>21</v>
      </c>
      <c r="E132" s="24" t="s">
        <v>521</v>
      </c>
      <c r="F132" s="27" t="s">
        <v>525</v>
      </c>
      <c r="G132" s="28">
        <v>44454</v>
      </c>
      <c r="H132" s="28">
        <v>44476</v>
      </c>
      <c r="I132" s="24">
        <v>15</v>
      </c>
      <c r="J132" s="24" t="s">
        <v>43</v>
      </c>
      <c r="K132" s="24" t="s">
        <v>526</v>
      </c>
      <c r="L132" s="24" t="str">
        <f t="shared" si="14"/>
        <v>Non testé</v>
      </c>
      <c r="M132" s="23" t="s">
        <v>44</v>
      </c>
      <c r="N132" s="23" t="str">
        <f t="shared" si="15"/>
        <v/>
      </c>
      <c r="O132" s="24" t="s">
        <v>502</v>
      </c>
      <c r="P132" s="23">
        <v>3.5</v>
      </c>
      <c r="Q132" s="29">
        <v>9.1700000000000004E-2</v>
      </c>
      <c r="R132" s="29"/>
      <c r="S132" s="24" t="s">
        <v>526</v>
      </c>
      <c r="T132" s="24" t="str">
        <f t="shared" si="16"/>
        <v>Censure haute</v>
      </c>
      <c r="U132" s="24" t="s">
        <v>35</v>
      </c>
      <c r="V132" s="24" t="str">
        <f t="shared" si="17"/>
        <v/>
      </c>
      <c r="W132" s="24" t="s">
        <v>527</v>
      </c>
      <c r="X132" s="23">
        <v>3.5</v>
      </c>
      <c r="Y132" s="23">
        <v>8.2600000000000007E-2</v>
      </c>
      <c r="Z132" s="23">
        <v>9.1499999999999998E-2</v>
      </c>
      <c r="AA132" s="24" t="s">
        <v>526</v>
      </c>
      <c r="AB132" s="24" t="str">
        <f t="shared" si="18"/>
        <v>Non testé</v>
      </c>
      <c r="AC132" s="23" t="s">
        <v>44</v>
      </c>
      <c r="AD132" s="23" t="s">
        <v>561</v>
      </c>
      <c r="AE132" s="23" t="str">
        <f t="shared" si="19"/>
        <v>Non testé</v>
      </c>
      <c r="AF132" s="23" t="s">
        <v>44</v>
      </c>
      <c r="AG132" s="23" t="str">
        <f t="shared" si="20"/>
        <v/>
      </c>
      <c r="AH132" s="24" t="s">
        <v>502</v>
      </c>
      <c r="AI132" s="23">
        <v>2.6970000000000001</v>
      </c>
      <c r="AJ132" s="23">
        <v>1.0792999999999999</v>
      </c>
      <c r="AK132" s="23"/>
      <c r="AL132" s="24" t="s">
        <v>526</v>
      </c>
      <c r="AM132" s="24">
        <v>210</v>
      </c>
      <c r="AN132" s="24">
        <v>0</v>
      </c>
      <c r="AO132" s="24" t="str">
        <f>IF(ISBLANK(AM132),"",IF(AM132=92,IF(T132="Censure haute",120,""),IF(AB132="Censure haute",120,"")))</f>
        <v/>
      </c>
    </row>
    <row r="133" spans="1:41" x14ac:dyDescent="0.3">
      <c r="A133" s="24" t="s">
        <v>198</v>
      </c>
      <c r="B133" s="24" t="s">
        <v>517</v>
      </c>
      <c r="C133" s="25"/>
      <c r="D133" s="26">
        <v>20.3</v>
      </c>
      <c r="E133" s="24" t="s">
        <v>521</v>
      </c>
      <c r="F133" s="27" t="s">
        <v>525</v>
      </c>
      <c r="G133" s="28">
        <v>44454</v>
      </c>
      <c r="H133" s="28">
        <v>44476</v>
      </c>
      <c r="I133" s="24">
        <v>15</v>
      </c>
      <c r="J133" s="24" t="s">
        <v>43</v>
      </c>
      <c r="K133" s="24" t="s">
        <v>527</v>
      </c>
      <c r="L133" s="24" t="str">
        <f t="shared" si="14"/>
        <v>Non testé</v>
      </c>
      <c r="M133" s="23" t="s">
        <v>44</v>
      </c>
      <c r="N133" s="23" t="str">
        <f t="shared" si="15"/>
        <v/>
      </c>
      <c r="O133" s="24" t="s">
        <v>502</v>
      </c>
      <c r="P133" s="23">
        <v>3.5</v>
      </c>
      <c r="Q133" s="29">
        <v>0.13200000000000001</v>
      </c>
      <c r="R133" s="29"/>
      <c r="S133" s="24" t="s">
        <v>526</v>
      </c>
      <c r="T133" s="24" t="str">
        <f t="shared" si="16"/>
        <v>Normal</v>
      </c>
      <c r="U133" s="24">
        <v>0.21310000000000001</v>
      </c>
      <c r="V133" s="24">
        <f t="shared" si="17"/>
        <v>0.21310000000000001</v>
      </c>
      <c r="W133" s="24" t="s">
        <v>526</v>
      </c>
      <c r="X133" s="23">
        <v>3.456</v>
      </c>
      <c r="Y133" s="23">
        <v>0.1116</v>
      </c>
      <c r="Z133" s="23"/>
      <c r="AA133" s="24" t="s">
        <v>526</v>
      </c>
      <c r="AB133" s="24" t="str">
        <f t="shared" si="18"/>
        <v>Normal</v>
      </c>
      <c r="AC133" s="23">
        <v>736868</v>
      </c>
      <c r="AD133" s="23">
        <v>73.686800000000005</v>
      </c>
      <c r="AE133" s="23" t="str">
        <f t="shared" si="19"/>
        <v/>
      </c>
      <c r="AF133" s="23"/>
      <c r="AG133" s="23" t="str">
        <f t="shared" si="20"/>
        <v/>
      </c>
      <c r="AH133" s="24" t="s">
        <v>527</v>
      </c>
      <c r="AI133" s="23">
        <v>2.72</v>
      </c>
      <c r="AJ133" s="23">
        <v>4.8620999999999999</v>
      </c>
      <c r="AK133" s="23"/>
      <c r="AL133" s="24" t="s">
        <v>527</v>
      </c>
      <c r="AM133" s="24"/>
      <c r="AN133" s="24"/>
      <c r="AO133" s="24" t="str">
        <f>IF(ISBLANK(AM133),"",IF(AM133=92,IF(T133="Censure haute",120,""),IF(AB133="Censure haute",120,"")))</f>
        <v/>
      </c>
    </row>
    <row r="134" spans="1:41" x14ac:dyDescent="0.3">
      <c r="A134" s="24" t="s">
        <v>199</v>
      </c>
      <c r="B134" s="24" t="s">
        <v>517</v>
      </c>
      <c r="C134" s="30" t="s">
        <v>519</v>
      </c>
      <c r="D134" s="26">
        <v>18.100000000000001</v>
      </c>
      <c r="E134" s="24" t="s">
        <v>521</v>
      </c>
      <c r="F134" s="27" t="s">
        <v>525</v>
      </c>
      <c r="G134" s="28">
        <v>44453</v>
      </c>
      <c r="H134" s="28">
        <v>44476</v>
      </c>
      <c r="I134" s="24">
        <v>15</v>
      </c>
      <c r="J134" s="24" t="s">
        <v>43</v>
      </c>
      <c r="K134" s="24" t="s">
        <v>526</v>
      </c>
      <c r="L134" s="24" t="str">
        <f t="shared" si="14"/>
        <v>Non testé</v>
      </c>
      <c r="M134" s="23" t="s">
        <v>44</v>
      </c>
      <c r="N134" s="23" t="str">
        <f t="shared" si="15"/>
        <v/>
      </c>
      <c r="O134" s="24" t="s">
        <v>502</v>
      </c>
      <c r="P134" s="23">
        <v>3.5</v>
      </c>
      <c r="Q134" s="29">
        <v>0.40389999999999998</v>
      </c>
      <c r="R134" s="29"/>
      <c r="S134" s="24" t="s">
        <v>526</v>
      </c>
      <c r="T134" s="24" t="str">
        <f t="shared" si="16"/>
        <v>Censure haute</v>
      </c>
      <c r="U134" s="24" t="s">
        <v>35</v>
      </c>
      <c r="V134" s="24" t="str">
        <f t="shared" si="17"/>
        <v/>
      </c>
      <c r="W134" s="24" t="s">
        <v>527</v>
      </c>
      <c r="X134" s="23">
        <v>3.5</v>
      </c>
      <c r="Y134" s="23">
        <v>5.0807000000000002</v>
      </c>
      <c r="Z134" s="23"/>
      <c r="AA134" s="24" t="s">
        <v>527</v>
      </c>
      <c r="AB134" s="24" t="str">
        <f t="shared" si="18"/>
        <v>Normal</v>
      </c>
      <c r="AC134" s="23">
        <v>1104883</v>
      </c>
      <c r="AD134" s="23">
        <v>110.4883</v>
      </c>
      <c r="AE134" s="23" t="str">
        <f t="shared" si="19"/>
        <v/>
      </c>
      <c r="AF134" s="23"/>
      <c r="AG134" s="23" t="str">
        <f t="shared" si="20"/>
        <v/>
      </c>
      <c r="AH134" s="24" t="s">
        <v>527</v>
      </c>
      <c r="AI134" s="23">
        <v>2.7440000000000002</v>
      </c>
      <c r="AJ134" s="23">
        <v>1.8409</v>
      </c>
      <c r="AK134" s="23"/>
      <c r="AL134" s="24" t="s">
        <v>527</v>
      </c>
      <c r="AM134" s="24"/>
      <c r="AN134" s="24"/>
      <c r="AO134" s="24" t="str">
        <f>IF(ISBLANK(AM134),"",IF(AM134=92,IF(T134="Censure haute",120,""),IF(AB134="Censure haute",120,"")))</f>
        <v/>
      </c>
    </row>
    <row r="135" spans="1:41" x14ac:dyDescent="0.3">
      <c r="A135" s="24" t="s">
        <v>200</v>
      </c>
      <c r="B135" s="24" t="s">
        <v>517</v>
      </c>
      <c r="C135" s="30" t="s">
        <v>518</v>
      </c>
      <c r="D135" s="26">
        <v>29.5</v>
      </c>
      <c r="E135" s="24" t="s">
        <v>522</v>
      </c>
      <c r="F135" s="27" t="s">
        <v>525</v>
      </c>
      <c r="G135" s="28">
        <v>44453</v>
      </c>
      <c r="H135" s="28">
        <v>44482</v>
      </c>
      <c r="I135" s="24">
        <v>12</v>
      </c>
      <c r="J135" s="24" t="s">
        <v>33</v>
      </c>
      <c r="K135" s="24" t="s">
        <v>526</v>
      </c>
      <c r="L135" s="24" t="str">
        <f t="shared" si="14"/>
        <v>Non testé</v>
      </c>
      <c r="M135" s="23" t="s">
        <v>44</v>
      </c>
      <c r="N135" s="23" t="str">
        <f t="shared" si="15"/>
        <v/>
      </c>
      <c r="O135" s="24" t="s">
        <v>502</v>
      </c>
      <c r="P135" s="23">
        <v>3.5</v>
      </c>
      <c r="Q135" s="29">
        <v>0.12379999999999999</v>
      </c>
      <c r="R135" s="29"/>
      <c r="S135" s="24" t="s">
        <v>526</v>
      </c>
      <c r="T135" s="24" t="str">
        <f t="shared" si="16"/>
        <v>Censure haute</v>
      </c>
      <c r="U135" s="24" t="s">
        <v>35</v>
      </c>
      <c r="V135" s="24" t="str">
        <f t="shared" si="17"/>
        <v/>
      </c>
      <c r="W135" s="24" t="s">
        <v>527</v>
      </c>
      <c r="X135" s="23">
        <v>3.355</v>
      </c>
      <c r="Y135" s="23">
        <v>1.7837000000000001</v>
      </c>
      <c r="Z135" s="23"/>
      <c r="AA135" s="24" t="s">
        <v>527</v>
      </c>
      <c r="AB135" s="24" t="str">
        <f t="shared" si="18"/>
        <v>Censure haute</v>
      </c>
      <c r="AC135" s="23" t="s">
        <v>35</v>
      </c>
      <c r="AD135" s="23" t="s">
        <v>561</v>
      </c>
      <c r="AE135" s="23" t="str">
        <f t="shared" si="19"/>
        <v/>
      </c>
      <c r="AF135" s="23"/>
      <c r="AG135" s="23" t="str">
        <f t="shared" si="20"/>
        <v/>
      </c>
      <c r="AH135" s="24" t="s">
        <v>527</v>
      </c>
      <c r="AI135" s="23">
        <v>2.7490000000000001</v>
      </c>
      <c r="AJ135" s="23">
        <v>0.77070000000000005</v>
      </c>
      <c r="AK135" s="23">
        <v>0.75</v>
      </c>
      <c r="AL135" s="24" t="s">
        <v>526</v>
      </c>
      <c r="AM135" s="24">
        <v>210</v>
      </c>
      <c r="AN135" s="24">
        <v>0</v>
      </c>
      <c r="AO135" s="24">
        <f>IF(ISBLANK(AM135),"",IF(AM135=92,IF(T135="Censure haute",120,""),IF(AB135="Censure haute",120,"")))</f>
        <v>120</v>
      </c>
    </row>
    <row r="136" spans="1:41" x14ac:dyDescent="0.3">
      <c r="A136" s="24" t="s">
        <v>202</v>
      </c>
      <c r="B136" s="24" t="s">
        <v>516</v>
      </c>
      <c r="C136" s="25" t="s">
        <v>518</v>
      </c>
      <c r="D136" s="26">
        <v>16.899999999999999</v>
      </c>
      <c r="E136" s="24" t="s">
        <v>521</v>
      </c>
      <c r="F136" s="27" t="s">
        <v>525</v>
      </c>
      <c r="G136" s="28">
        <v>44468</v>
      </c>
      <c r="H136" s="28">
        <v>44489</v>
      </c>
      <c r="I136" s="24">
        <v>12</v>
      </c>
      <c r="J136" s="24" t="s">
        <v>33</v>
      </c>
      <c r="K136" s="24" t="s">
        <v>526</v>
      </c>
      <c r="L136" s="24" t="str">
        <f t="shared" si="14"/>
        <v>Non testé</v>
      </c>
      <c r="M136" s="23" t="s">
        <v>44</v>
      </c>
      <c r="N136" s="23" t="str">
        <f t="shared" si="15"/>
        <v/>
      </c>
      <c r="O136" s="24" t="s">
        <v>502</v>
      </c>
      <c r="P136" s="23">
        <v>3.5</v>
      </c>
      <c r="Q136" s="29">
        <v>6.9400000000000003E-2</v>
      </c>
      <c r="R136" s="29"/>
      <c r="S136" s="24" t="s">
        <v>526</v>
      </c>
      <c r="T136" s="24" t="str">
        <f t="shared" si="16"/>
        <v>Echec technique</v>
      </c>
      <c r="U136" s="24" t="s">
        <v>44</v>
      </c>
      <c r="V136" s="24" t="str">
        <f t="shared" si="17"/>
        <v/>
      </c>
      <c r="W136" s="24" t="s">
        <v>502</v>
      </c>
      <c r="X136" s="23">
        <v>3.3109999999999999</v>
      </c>
      <c r="Y136" s="23">
        <v>0.65539999999999998</v>
      </c>
      <c r="Z136" s="23"/>
      <c r="AA136" s="24" t="s">
        <v>526</v>
      </c>
      <c r="AB136" s="24" t="str">
        <f t="shared" si="18"/>
        <v>Censure haute</v>
      </c>
      <c r="AC136" s="23" t="s">
        <v>35</v>
      </c>
      <c r="AD136" s="23" t="s">
        <v>561</v>
      </c>
      <c r="AE136" s="23" t="str">
        <f t="shared" si="19"/>
        <v/>
      </c>
      <c r="AF136" s="23"/>
      <c r="AG136" s="23" t="str">
        <f t="shared" si="20"/>
        <v/>
      </c>
      <c r="AH136" s="24" t="s">
        <v>527</v>
      </c>
      <c r="AI136" s="23">
        <v>2.7629999999999999</v>
      </c>
      <c r="AJ136" s="23">
        <v>0.75</v>
      </c>
      <c r="AK136" s="23"/>
      <c r="AL136" s="24" t="s">
        <v>526</v>
      </c>
      <c r="AM136" s="24">
        <v>210</v>
      </c>
      <c r="AN136" s="24">
        <v>0</v>
      </c>
      <c r="AO136" s="24">
        <f>IF(ISBLANK(AM136),"",IF(AM136=92,IF(T136="Censure haute",120,""),IF(AB136="Censure haute",120,"")))</f>
        <v>120</v>
      </c>
    </row>
    <row r="137" spans="1:41" x14ac:dyDescent="0.3">
      <c r="A137" s="24" t="s">
        <v>203</v>
      </c>
      <c r="B137" s="24" t="s">
        <v>516</v>
      </c>
      <c r="C137" s="25" t="s">
        <v>518</v>
      </c>
      <c r="D137" s="26">
        <v>19.7</v>
      </c>
      <c r="E137" s="24" t="s">
        <v>521</v>
      </c>
      <c r="F137" s="27" t="s">
        <v>525</v>
      </c>
      <c r="G137" s="28">
        <v>44454</v>
      </c>
      <c r="H137" s="28">
        <v>44476</v>
      </c>
      <c r="I137" s="24">
        <v>15</v>
      </c>
      <c r="J137" s="24" t="s">
        <v>43</v>
      </c>
      <c r="K137" s="24" t="s">
        <v>526</v>
      </c>
      <c r="L137" s="24" t="str">
        <f t="shared" si="14"/>
        <v>Non testé</v>
      </c>
      <c r="M137" s="23" t="s">
        <v>44</v>
      </c>
      <c r="N137" s="23" t="str">
        <f t="shared" si="15"/>
        <v/>
      </c>
      <c r="O137" s="24" t="s">
        <v>502</v>
      </c>
      <c r="P137" s="23">
        <v>3.5</v>
      </c>
      <c r="Q137" s="29">
        <v>6.4899999999999999E-2</v>
      </c>
      <c r="R137" s="29"/>
      <c r="S137" s="24" t="s">
        <v>526</v>
      </c>
      <c r="T137" s="24" t="str">
        <f t="shared" si="16"/>
        <v>Normal</v>
      </c>
      <c r="U137" s="24">
        <v>11.4489</v>
      </c>
      <c r="V137" s="24">
        <f t="shared" si="17"/>
        <v>11.4489</v>
      </c>
      <c r="W137" s="24" t="s">
        <v>527</v>
      </c>
      <c r="X137" s="23">
        <v>3.44</v>
      </c>
      <c r="Y137" s="23">
        <v>0.78349999999999997</v>
      </c>
      <c r="Z137" s="23"/>
      <c r="AA137" s="24" t="s">
        <v>526</v>
      </c>
      <c r="AB137" s="24" t="str">
        <f t="shared" si="18"/>
        <v>Censure haute</v>
      </c>
      <c r="AC137" s="23" t="s">
        <v>35</v>
      </c>
      <c r="AD137" s="23" t="s">
        <v>561</v>
      </c>
      <c r="AE137" s="23" t="str">
        <f t="shared" si="19"/>
        <v/>
      </c>
      <c r="AF137" s="23"/>
      <c r="AG137" s="23" t="str">
        <f t="shared" si="20"/>
        <v/>
      </c>
      <c r="AH137" s="24" t="s">
        <v>527</v>
      </c>
      <c r="AI137" s="23">
        <v>2.7629999999999999</v>
      </c>
      <c r="AJ137" s="23">
        <v>2.9413999999999998</v>
      </c>
      <c r="AK137" s="23"/>
      <c r="AL137" s="24" t="s">
        <v>527</v>
      </c>
      <c r="AM137" s="24"/>
      <c r="AN137" s="24"/>
      <c r="AO137" s="24" t="str">
        <f>IF(ISBLANK(AM137),"",IF(AM137=92,IF(T137="Censure haute",120,""),IF(AB137="Censure haute",120,"")))</f>
        <v/>
      </c>
    </row>
    <row r="138" spans="1:41" x14ac:dyDescent="0.3">
      <c r="A138" s="24" t="s">
        <v>204</v>
      </c>
      <c r="B138" s="24" t="s">
        <v>516</v>
      </c>
      <c r="C138" s="25" t="s">
        <v>518</v>
      </c>
      <c r="D138" s="26">
        <v>18.2</v>
      </c>
      <c r="E138" s="24" t="s">
        <v>521</v>
      </c>
      <c r="F138" s="27" t="s">
        <v>525</v>
      </c>
      <c r="G138" s="28">
        <v>44454</v>
      </c>
      <c r="H138" s="28">
        <v>44476</v>
      </c>
      <c r="I138" s="24">
        <v>15</v>
      </c>
      <c r="J138" s="24" t="s">
        <v>43</v>
      </c>
      <c r="K138" s="24" t="s">
        <v>526</v>
      </c>
      <c r="L138" s="24" t="str">
        <f t="shared" si="14"/>
        <v>Non testé</v>
      </c>
      <c r="M138" s="23" t="s">
        <v>44</v>
      </c>
      <c r="N138" s="23" t="str">
        <f t="shared" si="15"/>
        <v/>
      </c>
      <c r="O138" s="24" t="s">
        <v>502</v>
      </c>
      <c r="P138" s="23">
        <v>3.5</v>
      </c>
      <c r="Q138" s="29">
        <v>0.44819999999999999</v>
      </c>
      <c r="R138" s="29"/>
      <c r="S138" s="24" t="s">
        <v>526</v>
      </c>
      <c r="T138" s="24" t="str">
        <f t="shared" si="16"/>
        <v>Normal</v>
      </c>
      <c r="U138" s="24">
        <v>7.2950999999999997</v>
      </c>
      <c r="V138" s="24">
        <f t="shared" si="17"/>
        <v>7.2950999999999997</v>
      </c>
      <c r="W138" s="24" t="s">
        <v>526</v>
      </c>
      <c r="X138" s="23">
        <v>3.2570000000000001</v>
      </c>
      <c r="Y138" s="23">
        <v>1.3929</v>
      </c>
      <c r="Z138" s="23"/>
      <c r="AA138" s="24" t="s">
        <v>526</v>
      </c>
      <c r="AB138" s="24" t="str">
        <f t="shared" si="18"/>
        <v>Normal</v>
      </c>
      <c r="AC138" s="23">
        <v>797534</v>
      </c>
      <c r="AD138" s="23">
        <v>79.753399999999999</v>
      </c>
      <c r="AE138" s="23" t="str">
        <f t="shared" si="19"/>
        <v/>
      </c>
      <c r="AF138" s="23"/>
      <c r="AG138" s="23" t="str">
        <f t="shared" si="20"/>
        <v/>
      </c>
      <c r="AH138" s="24" t="s">
        <v>527</v>
      </c>
      <c r="AI138" s="23">
        <v>2.7669999999999999</v>
      </c>
      <c r="AJ138" s="23">
        <v>2.7845</v>
      </c>
      <c r="AK138" s="23"/>
      <c r="AL138" s="24" t="s">
        <v>527</v>
      </c>
      <c r="AM138" s="24"/>
      <c r="AN138" s="24"/>
      <c r="AO138" s="24" t="str">
        <f>IF(ISBLANK(AM138),"",IF(AM138=92,IF(T138="Censure haute",120,""),IF(AB138="Censure haute",120,"")))</f>
        <v/>
      </c>
    </row>
    <row r="139" spans="1:41" x14ac:dyDescent="0.3">
      <c r="A139" s="24" t="s">
        <v>205</v>
      </c>
      <c r="B139" s="24" t="s">
        <v>516</v>
      </c>
      <c r="C139" s="25" t="s">
        <v>518</v>
      </c>
      <c r="D139" s="26">
        <v>22.2</v>
      </c>
      <c r="E139" s="24" t="s">
        <v>521</v>
      </c>
      <c r="F139" s="27" t="s">
        <v>525</v>
      </c>
      <c r="G139" s="28">
        <v>44453</v>
      </c>
      <c r="H139" s="28">
        <v>44477</v>
      </c>
      <c r="I139" s="24">
        <v>12</v>
      </c>
      <c r="J139" s="24" t="s">
        <v>33</v>
      </c>
      <c r="K139" s="24" t="s">
        <v>527</v>
      </c>
      <c r="L139" s="24" t="str">
        <f t="shared" si="14"/>
        <v>Non testé</v>
      </c>
      <c r="M139" s="23" t="s">
        <v>44</v>
      </c>
      <c r="N139" s="23" t="str">
        <f t="shared" si="15"/>
        <v/>
      </c>
      <c r="O139" s="24" t="s">
        <v>502</v>
      </c>
      <c r="P139" s="23">
        <v>3.5</v>
      </c>
      <c r="Q139" s="29">
        <v>0.90549999999999997</v>
      </c>
      <c r="R139" s="29"/>
      <c r="S139" s="24" t="s">
        <v>526</v>
      </c>
      <c r="T139" s="24" t="str">
        <f t="shared" si="16"/>
        <v>Censure haute</v>
      </c>
      <c r="U139" s="24" t="s">
        <v>35</v>
      </c>
      <c r="V139" s="24" t="str">
        <f t="shared" si="17"/>
        <v/>
      </c>
      <c r="W139" s="24" t="s">
        <v>527</v>
      </c>
      <c r="X139" s="23">
        <v>3.3290000000000002</v>
      </c>
      <c r="Y139" s="23">
        <v>1.0224</v>
      </c>
      <c r="Z139" s="23">
        <v>1.1099000000000001</v>
      </c>
      <c r="AA139" s="24" t="s">
        <v>526</v>
      </c>
      <c r="AB139" s="24" t="str">
        <f t="shared" si="18"/>
        <v>Censure haute</v>
      </c>
      <c r="AC139" s="23" t="s">
        <v>35</v>
      </c>
      <c r="AD139" s="23" t="s">
        <v>561</v>
      </c>
      <c r="AE139" s="23" t="str">
        <f t="shared" si="19"/>
        <v/>
      </c>
      <c r="AF139" s="23"/>
      <c r="AG139" s="23" t="str">
        <f t="shared" si="20"/>
        <v/>
      </c>
      <c r="AH139" s="24" t="s">
        <v>527</v>
      </c>
      <c r="AI139" s="23">
        <v>2.7789999999999999</v>
      </c>
      <c r="AJ139" s="23">
        <v>0.78510000000000002</v>
      </c>
      <c r="AK139" s="23"/>
      <c r="AL139" s="24" t="s">
        <v>526</v>
      </c>
      <c r="AM139" s="24">
        <v>210</v>
      </c>
      <c r="AN139" s="24">
        <v>0</v>
      </c>
      <c r="AO139" s="24">
        <f>IF(ISBLANK(AM139),"",IF(AM139=92,IF(T139="Censure haute",120,""),IF(AB139="Censure haute",120,"")))</f>
        <v>120</v>
      </c>
    </row>
    <row r="140" spans="1:41" x14ac:dyDescent="0.3">
      <c r="A140" s="24" t="s">
        <v>207</v>
      </c>
      <c r="B140" s="24" t="s">
        <v>516</v>
      </c>
      <c r="C140" s="25"/>
      <c r="D140" s="26">
        <v>36.700000000000003</v>
      </c>
      <c r="E140" s="24" t="s">
        <v>522</v>
      </c>
      <c r="F140" s="27" t="s">
        <v>525</v>
      </c>
      <c r="G140" s="28">
        <v>44453</v>
      </c>
      <c r="H140" s="28">
        <v>44477</v>
      </c>
      <c r="I140" s="24">
        <v>12</v>
      </c>
      <c r="J140" s="24" t="s">
        <v>33</v>
      </c>
      <c r="K140" s="24" t="s">
        <v>527</v>
      </c>
      <c r="L140" s="24" t="str">
        <f t="shared" si="14"/>
        <v>Non testé</v>
      </c>
      <c r="M140" s="23" t="s">
        <v>44</v>
      </c>
      <c r="N140" s="23" t="str">
        <f t="shared" si="15"/>
        <v/>
      </c>
      <c r="O140" s="23" t="s">
        <v>502</v>
      </c>
      <c r="P140" s="23">
        <v>3.5</v>
      </c>
      <c r="Q140" s="29">
        <v>8.9499999999999996E-2</v>
      </c>
      <c r="R140" s="29"/>
      <c r="S140" s="24" t="s">
        <v>526</v>
      </c>
      <c r="T140" s="24" t="str">
        <f t="shared" si="16"/>
        <v>Censure haute</v>
      </c>
      <c r="U140" s="24" t="s">
        <v>35</v>
      </c>
      <c r="V140" s="24" t="str">
        <f t="shared" si="17"/>
        <v/>
      </c>
      <c r="W140" s="24" t="s">
        <v>527</v>
      </c>
      <c r="X140" s="23">
        <v>3.181</v>
      </c>
      <c r="Y140" s="23">
        <v>0.1242</v>
      </c>
      <c r="Z140" s="23"/>
      <c r="AA140" s="24" t="s">
        <v>526</v>
      </c>
      <c r="AB140" s="24" t="str">
        <f t="shared" si="18"/>
        <v>Normal</v>
      </c>
      <c r="AC140" s="23">
        <v>956268</v>
      </c>
      <c r="AD140" s="23">
        <v>95.626800000000003</v>
      </c>
      <c r="AE140" s="23" t="str">
        <f t="shared" si="19"/>
        <v/>
      </c>
      <c r="AF140" s="23"/>
      <c r="AG140" s="23" t="str">
        <f t="shared" si="20"/>
        <v/>
      </c>
      <c r="AH140" s="24" t="s">
        <v>527</v>
      </c>
      <c r="AI140" s="23">
        <v>2.7869999999999999</v>
      </c>
      <c r="AJ140" s="23">
        <v>7.5200000000000003E-2</v>
      </c>
      <c r="AK140" s="23"/>
      <c r="AL140" s="24" t="s">
        <v>526</v>
      </c>
      <c r="AM140" s="24">
        <v>182</v>
      </c>
      <c r="AN140" s="24">
        <v>1</v>
      </c>
      <c r="AO140" s="24" t="str">
        <f>IF(ISBLANK(AM140),"",IF(AM140=92,IF(T140="Censure haute",120,""),IF(AB140="Censure haute",120,"")))</f>
        <v/>
      </c>
    </row>
    <row r="141" spans="1:41" x14ac:dyDescent="0.3">
      <c r="A141" s="24" t="s">
        <v>208</v>
      </c>
      <c r="B141" s="24" t="s">
        <v>517</v>
      </c>
      <c r="C141" s="25"/>
      <c r="D141" s="26">
        <v>28.9</v>
      </c>
      <c r="E141" s="24" t="s">
        <v>522</v>
      </c>
      <c r="F141" s="27" t="s">
        <v>525</v>
      </c>
      <c r="G141" s="28">
        <v>44458</v>
      </c>
      <c r="H141" s="28">
        <v>44477</v>
      </c>
      <c r="I141" s="24">
        <v>15</v>
      </c>
      <c r="J141" s="24" t="s">
        <v>43</v>
      </c>
      <c r="K141" s="24" t="s">
        <v>526</v>
      </c>
      <c r="L141" s="24" t="str">
        <f t="shared" si="14"/>
        <v>Non testé</v>
      </c>
      <c r="M141" s="23" t="s">
        <v>44</v>
      </c>
      <c r="N141" s="23" t="str">
        <f t="shared" si="15"/>
        <v/>
      </c>
      <c r="O141" s="24" t="s">
        <v>502</v>
      </c>
      <c r="P141" s="23">
        <v>3.5</v>
      </c>
      <c r="Q141" s="29">
        <v>0.20660000000000001</v>
      </c>
      <c r="R141" s="29"/>
      <c r="S141" s="24" t="s">
        <v>526</v>
      </c>
      <c r="T141" s="24" t="str">
        <f t="shared" si="16"/>
        <v>Censure haute</v>
      </c>
      <c r="U141" s="24" t="s">
        <v>35</v>
      </c>
      <c r="V141" s="24" t="str">
        <f t="shared" si="17"/>
        <v/>
      </c>
      <c r="W141" s="24" t="s">
        <v>527</v>
      </c>
      <c r="X141" s="23">
        <v>3.3740000000000001</v>
      </c>
      <c r="Y141" s="23">
        <v>9.4899999999999998E-2</v>
      </c>
      <c r="Z141" s="23"/>
      <c r="AA141" s="24" t="s">
        <v>527</v>
      </c>
      <c r="AB141" s="24" t="str">
        <f t="shared" si="18"/>
        <v>Non testé</v>
      </c>
      <c r="AC141" s="23" t="s">
        <v>44</v>
      </c>
      <c r="AD141" s="23" t="s">
        <v>561</v>
      </c>
      <c r="AE141" s="23" t="str">
        <f t="shared" si="19"/>
        <v/>
      </c>
      <c r="AF141" s="23"/>
      <c r="AG141" s="23" t="str">
        <f t="shared" si="20"/>
        <v/>
      </c>
      <c r="AH141" s="24" t="s">
        <v>502</v>
      </c>
      <c r="AI141" s="23">
        <v>2.7869999999999999</v>
      </c>
      <c r="AJ141" s="23">
        <v>1.8093999999999999</v>
      </c>
      <c r="AK141" s="23">
        <v>1.7439</v>
      </c>
      <c r="AL141" s="24" t="s">
        <v>527</v>
      </c>
      <c r="AM141" s="24">
        <v>210</v>
      </c>
      <c r="AN141" s="24">
        <v>0</v>
      </c>
      <c r="AO141" s="24" t="str">
        <f>IF(ISBLANK(AM141),"",IF(AM141=92,IF(T141="Censure haute",120,""),IF(AB141="Censure haute",120,"")))</f>
        <v/>
      </c>
    </row>
    <row r="142" spans="1:41" x14ac:dyDescent="0.3">
      <c r="A142" s="24" t="s">
        <v>210</v>
      </c>
      <c r="B142" s="24" t="s">
        <v>516</v>
      </c>
      <c r="C142" s="30"/>
      <c r="D142" s="26">
        <v>14.1</v>
      </c>
      <c r="E142" s="24" t="s">
        <v>523</v>
      </c>
      <c r="F142" s="27" t="s">
        <v>525</v>
      </c>
      <c r="G142" s="28">
        <v>44453</v>
      </c>
      <c r="H142" s="28">
        <v>44477</v>
      </c>
      <c r="I142" s="24">
        <v>11</v>
      </c>
      <c r="J142" s="24" t="s">
        <v>33</v>
      </c>
      <c r="K142" s="24" t="s">
        <v>527</v>
      </c>
      <c r="L142" s="24" t="str">
        <f t="shared" si="14"/>
        <v>Non testé</v>
      </c>
      <c r="M142" s="23" t="s">
        <v>44</v>
      </c>
      <c r="N142" s="23" t="str">
        <f t="shared" si="15"/>
        <v/>
      </c>
      <c r="O142" s="24" t="s">
        <v>502</v>
      </c>
      <c r="P142" s="23">
        <v>3.5</v>
      </c>
      <c r="Q142" s="29">
        <v>0.26419999999999999</v>
      </c>
      <c r="R142" s="29"/>
      <c r="S142" s="24" t="s">
        <v>526</v>
      </c>
      <c r="T142" s="24" t="str">
        <f t="shared" si="16"/>
        <v>Echec technique</v>
      </c>
      <c r="U142" s="24" t="s">
        <v>44</v>
      </c>
      <c r="V142" s="24" t="str">
        <f t="shared" si="17"/>
        <v/>
      </c>
      <c r="W142" s="24" t="s">
        <v>502</v>
      </c>
      <c r="X142" s="23">
        <v>2.819</v>
      </c>
      <c r="Y142" s="23">
        <v>0.22950000000000001</v>
      </c>
      <c r="Z142" s="23"/>
      <c r="AA142" s="24" t="s">
        <v>526</v>
      </c>
      <c r="AB142" s="24" t="str">
        <f t="shared" si="18"/>
        <v>Non testé</v>
      </c>
      <c r="AC142" s="23" t="s">
        <v>44</v>
      </c>
      <c r="AD142" s="23" t="s">
        <v>561</v>
      </c>
      <c r="AE142" s="23" t="str">
        <f t="shared" si="19"/>
        <v/>
      </c>
      <c r="AF142" s="23"/>
      <c r="AG142" s="23" t="str">
        <f t="shared" si="20"/>
        <v/>
      </c>
      <c r="AH142" s="24" t="s">
        <v>502</v>
      </c>
      <c r="AI142" s="23">
        <v>2.798</v>
      </c>
      <c r="AJ142" s="23">
        <v>4.9645000000000001</v>
      </c>
      <c r="AK142" s="23"/>
      <c r="AL142" s="24" t="s">
        <v>527</v>
      </c>
      <c r="AM142" s="24">
        <v>210</v>
      </c>
      <c r="AN142" s="24">
        <v>0</v>
      </c>
      <c r="AO142" s="24" t="str">
        <f>IF(ISBLANK(AM142),"",IF(AM142=92,IF(T142="Censure haute",120,""),IF(AB142="Censure haute",120,"")))</f>
        <v/>
      </c>
    </row>
    <row r="143" spans="1:41" x14ac:dyDescent="0.3">
      <c r="A143" s="24" t="s">
        <v>211</v>
      </c>
      <c r="B143" s="24" t="s">
        <v>516</v>
      </c>
      <c r="C143" s="25" t="s">
        <v>518</v>
      </c>
      <c r="D143" s="26">
        <v>16.399999999999999</v>
      </c>
      <c r="E143" s="24" t="s">
        <v>521</v>
      </c>
      <c r="F143" s="27" t="s">
        <v>525</v>
      </c>
      <c r="G143" s="28">
        <v>44454</v>
      </c>
      <c r="H143" s="28">
        <v>44476</v>
      </c>
      <c r="I143" s="24">
        <v>15</v>
      </c>
      <c r="J143" s="24" t="s">
        <v>43</v>
      </c>
      <c r="K143" s="24" t="s">
        <v>526</v>
      </c>
      <c r="L143" s="24" t="str">
        <f t="shared" si="14"/>
        <v>Non testé</v>
      </c>
      <c r="M143" s="23" t="s">
        <v>44</v>
      </c>
      <c r="N143" s="23" t="str">
        <f t="shared" si="15"/>
        <v/>
      </c>
      <c r="O143" s="24" t="s">
        <v>502</v>
      </c>
      <c r="P143" s="23">
        <v>3.5</v>
      </c>
      <c r="Q143" s="29">
        <v>1.1454</v>
      </c>
      <c r="R143" s="29"/>
      <c r="S143" s="24" t="s">
        <v>527</v>
      </c>
      <c r="T143" s="24" t="str">
        <f t="shared" si="16"/>
        <v>Censure haute</v>
      </c>
      <c r="U143" s="24" t="s">
        <v>35</v>
      </c>
      <c r="V143" s="24" t="str">
        <f t="shared" si="17"/>
        <v/>
      </c>
      <c r="W143" s="24" t="s">
        <v>527</v>
      </c>
      <c r="X143" s="23">
        <v>3.3330000000000002</v>
      </c>
      <c r="Y143" s="23">
        <v>6.2946</v>
      </c>
      <c r="Z143" s="23"/>
      <c r="AA143" s="24" t="s">
        <v>526</v>
      </c>
      <c r="AB143" s="24" t="str">
        <f t="shared" si="18"/>
        <v>Censure haute</v>
      </c>
      <c r="AC143" s="23" t="s">
        <v>35</v>
      </c>
      <c r="AD143" s="23" t="s">
        <v>561</v>
      </c>
      <c r="AE143" s="23" t="str">
        <f t="shared" si="19"/>
        <v/>
      </c>
      <c r="AF143" s="23"/>
      <c r="AG143" s="23" t="str">
        <f t="shared" si="20"/>
        <v/>
      </c>
      <c r="AH143" s="24" t="s">
        <v>527</v>
      </c>
      <c r="AI143" s="23">
        <v>2.798</v>
      </c>
      <c r="AJ143" s="23">
        <v>2.4121000000000001</v>
      </c>
      <c r="AK143" s="23"/>
      <c r="AL143" s="24" t="s">
        <v>527</v>
      </c>
      <c r="AM143" s="24"/>
      <c r="AN143" s="24"/>
      <c r="AO143" s="24" t="str">
        <f>IF(ISBLANK(AM143),"",IF(AM143=92,IF(T143="Censure haute",120,""),IF(AB143="Censure haute",120,"")))</f>
        <v/>
      </c>
    </row>
    <row r="144" spans="1:41" x14ac:dyDescent="0.3">
      <c r="A144" s="24" t="s">
        <v>212</v>
      </c>
      <c r="B144" s="24" t="s">
        <v>517</v>
      </c>
      <c r="C144" s="25" t="s">
        <v>519</v>
      </c>
      <c r="D144" s="26">
        <v>17.2</v>
      </c>
      <c r="E144" s="24" t="s">
        <v>521</v>
      </c>
      <c r="F144" s="27" t="s">
        <v>525</v>
      </c>
      <c r="G144" s="28">
        <v>44453</v>
      </c>
      <c r="H144" s="28">
        <v>44476</v>
      </c>
      <c r="I144" s="24">
        <v>11</v>
      </c>
      <c r="J144" s="24" t="s">
        <v>33</v>
      </c>
      <c r="K144" s="24" t="s">
        <v>527</v>
      </c>
      <c r="L144" s="24" t="str">
        <f t="shared" si="14"/>
        <v>Non testé</v>
      </c>
      <c r="M144" s="23" t="s">
        <v>44</v>
      </c>
      <c r="N144" s="23" t="str">
        <f t="shared" si="15"/>
        <v/>
      </c>
      <c r="O144" s="24" t="s">
        <v>502</v>
      </c>
      <c r="P144" s="23">
        <v>3.5</v>
      </c>
      <c r="Q144" s="29">
        <v>1.9105000000000001</v>
      </c>
      <c r="R144" s="29"/>
      <c r="S144" s="24" t="s">
        <v>527</v>
      </c>
      <c r="T144" s="24" t="str">
        <f t="shared" si="16"/>
        <v>Normal</v>
      </c>
      <c r="U144" s="24">
        <v>26.064299999999999</v>
      </c>
      <c r="V144" s="24">
        <f t="shared" si="17"/>
        <v>26.064299999999999</v>
      </c>
      <c r="W144" s="24" t="s">
        <v>527</v>
      </c>
      <c r="X144" s="23">
        <v>3.355</v>
      </c>
      <c r="Y144" s="23">
        <v>0.90629999999999999</v>
      </c>
      <c r="Z144" s="23"/>
      <c r="AA144" s="24" t="s">
        <v>526</v>
      </c>
      <c r="AB144" s="24" t="str">
        <f t="shared" si="18"/>
        <v>Censure haute</v>
      </c>
      <c r="AC144" s="23" t="s">
        <v>35</v>
      </c>
      <c r="AD144" s="23" t="s">
        <v>561</v>
      </c>
      <c r="AE144" s="23" t="str">
        <f t="shared" si="19"/>
        <v/>
      </c>
      <c r="AF144" s="23"/>
      <c r="AG144" s="23" t="str">
        <f t="shared" si="20"/>
        <v/>
      </c>
      <c r="AH144" s="24" t="s">
        <v>527</v>
      </c>
      <c r="AI144" s="23">
        <v>2.798</v>
      </c>
      <c r="AJ144" s="23">
        <v>4.3499999999999996</v>
      </c>
      <c r="AK144" s="23"/>
      <c r="AL144" s="24" t="s">
        <v>527</v>
      </c>
      <c r="AM144" s="24"/>
      <c r="AN144" s="24"/>
      <c r="AO144" s="24" t="str">
        <f>IF(ISBLANK(AM144),"",IF(AM144=92,IF(T144="Censure haute",120,""),IF(AB144="Censure haute",120,"")))</f>
        <v/>
      </c>
    </row>
    <row r="145" spans="1:41" x14ac:dyDescent="0.3">
      <c r="A145" s="24" t="s">
        <v>213</v>
      </c>
      <c r="B145" s="24" t="s">
        <v>516</v>
      </c>
      <c r="C145" s="25" t="s">
        <v>519</v>
      </c>
      <c r="D145" s="26">
        <v>21.4</v>
      </c>
      <c r="E145" s="24" t="s">
        <v>521</v>
      </c>
      <c r="F145" s="27" t="s">
        <v>525</v>
      </c>
      <c r="G145" s="28">
        <v>44454</v>
      </c>
      <c r="H145" s="28">
        <v>44476</v>
      </c>
      <c r="I145" s="24">
        <v>15</v>
      </c>
      <c r="J145" s="24" t="s">
        <v>43</v>
      </c>
      <c r="K145" s="24" t="s">
        <v>527</v>
      </c>
      <c r="L145" s="24" t="str">
        <f t="shared" si="14"/>
        <v>Non testé</v>
      </c>
      <c r="M145" s="23" t="s">
        <v>44</v>
      </c>
      <c r="N145" s="23" t="str">
        <f t="shared" si="15"/>
        <v/>
      </c>
      <c r="O145" s="24" t="s">
        <v>502</v>
      </c>
      <c r="P145" s="23">
        <v>3.5</v>
      </c>
      <c r="Q145" s="29">
        <v>0.37840000000000001</v>
      </c>
      <c r="R145" s="29"/>
      <c r="S145" s="24" t="s">
        <v>526</v>
      </c>
      <c r="T145" s="24" t="str">
        <f t="shared" si="16"/>
        <v>Normal</v>
      </c>
      <c r="U145" s="24">
        <v>5.6966999999999999</v>
      </c>
      <c r="V145" s="24">
        <f t="shared" si="17"/>
        <v>5.6966999999999999</v>
      </c>
      <c r="W145" s="24" t="s">
        <v>526</v>
      </c>
      <c r="X145" s="23">
        <v>3.37</v>
      </c>
      <c r="Y145" s="23">
        <v>2.8304</v>
      </c>
      <c r="Z145" s="23"/>
      <c r="AA145" s="24" t="s">
        <v>526</v>
      </c>
      <c r="AB145" s="24" t="str">
        <f t="shared" si="18"/>
        <v>Censure haute</v>
      </c>
      <c r="AC145" s="23" t="s">
        <v>35</v>
      </c>
      <c r="AD145" s="23" t="s">
        <v>561</v>
      </c>
      <c r="AE145" s="23" t="str">
        <f t="shared" si="19"/>
        <v/>
      </c>
      <c r="AF145" s="23"/>
      <c r="AG145" s="23" t="str">
        <f t="shared" si="20"/>
        <v/>
      </c>
      <c r="AH145" s="24" t="s">
        <v>527</v>
      </c>
      <c r="AI145" s="23">
        <v>2.798</v>
      </c>
      <c r="AJ145" s="23">
        <v>4.9931000000000001</v>
      </c>
      <c r="AK145" s="23"/>
      <c r="AL145" s="24" t="s">
        <v>527</v>
      </c>
      <c r="AM145" s="24"/>
      <c r="AN145" s="24"/>
      <c r="AO145" s="24" t="str">
        <f>IF(ISBLANK(AM145),"",IF(AM145=92,IF(T145="Censure haute",120,""),IF(AB145="Censure haute",120,"")))</f>
        <v/>
      </c>
    </row>
    <row r="146" spans="1:41" x14ac:dyDescent="0.3">
      <c r="A146" s="24" t="s">
        <v>214</v>
      </c>
      <c r="B146" s="24" t="s">
        <v>517</v>
      </c>
      <c r="C146" s="25" t="s">
        <v>518</v>
      </c>
      <c r="D146" s="26">
        <v>14</v>
      </c>
      <c r="E146" s="24" t="s">
        <v>523</v>
      </c>
      <c r="F146" s="27" t="s">
        <v>525</v>
      </c>
      <c r="G146" s="28">
        <v>44453</v>
      </c>
      <c r="H146" s="28">
        <v>44477</v>
      </c>
      <c r="I146" s="24">
        <v>11</v>
      </c>
      <c r="J146" s="24" t="s">
        <v>33</v>
      </c>
      <c r="K146" s="24" t="s">
        <v>527</v>
      </c>
      <c r="L146" s="24" t="str">
        <f t="shared" si="14"/>
        <v>Non testé</v>
      </c>
      <c r="M146" s="23" t="s">
        <v>44</v>
      </c>
      <c r="N146" s="23" t="str">
        <f t="shared" si="15"/>
        <v/>
      </c>
      <c r="O146" s="24" t="s">
        <v>502</v>
      </c>
      <c r="P146" s="23">
        <v>3.5</v>
      </c>
      <c r="Q146" s="29">
        <v>2.8944999999999999</v>
      </c>
      <c r="R146" s="29"/>
      <c r="S146" s="24" t="s">
        <v>527</v>
      </c>
      <c r="T146" s="24" t="str">
        <f t="shared" si="16"/>
        <v>Normal</v>
      </c>
      <c r="U146" s="23">
        <v>7.617</v>
      </c>
      <c r="V146" s="24">
        <f t="shared" si="17"/>
        <v>7.617</v>
      </c>
      <c r="W146" s="24" t="s">
        <v>526</v>
      </c>
      <c r="X146" s="23">
        <v>3.419</v>
      </c>
      <c r="Y146" s="23">
        <v>1.3002</v>
      </c>
      <c r="Z146" s="23"/>
      <c r="AA146" s="24" t="s">
        <v>527</v>
      </c>
      <c r="AB146" s="24" t="str">
        <f t="shared" si="18"/>
        <v>Normal</v>
      </c>
      <c r="AC146" s="23">
        <v>592878</v>
      </c>
      <c r="AD146" s="23">
        <v>59.287799999999997</v>
      </c>
      <c r="AE146" s="23" t="str">
        <f t="shared" si="19"/>
        <v/>
      </c>
      <c r="AF146" s="23"/>
      <c r="AG146" s="23" t="str">
        <f t="shared" si="20"/>
        <v/>
      </c>
      <c r="AH146" s="24" t="s">
        <v>527</v>
      </c>
      <c r="AI146" s="23">
        <v>2.8</v>
      </c>
      <c r="AJ146" s="23">
        <v>0.64139999999999997</v>
      </c>
      <c r="AK146" s="23"/>
      <c r="AL146" s="24" t="s">
        <v>526</v>
      </c>
      <c r="AM146" s="24"/>
      <c r="AN146" s="24"/>
      <c r="AO146" s="24" t="str">
        <f>IF(ISBLANK(AM146),"",IF(AM146=92,IF(T146="Censure haute",120,""),IF(AB146="Censure haute",120,"")))</f>
        <v/>
      </c>
    </row>
    <row r="147" spans="1:41" x14ac:dyDescent="0.3">
      <c r="A147" s="24" t="s">
        <v>215</v>
      </c>
      <c r="B147" s="24" t="s">
        <v>517</v>
      </c>
      <c r="C147" s="25" t="s">
        <v>518</v>
      </c>
      <c r="D147" s="26">
        <v>19.100000000000001</v>
      </c>
      <c r="E147" s="24" t="s">
        <v>521</v>
      </c>
      <c r="F147" s="27" t="s">
        <v>525</v>
      </c>
      <c r="G147" s="28">
        <v>44453</v>
      </c>
      <c r="H147" s="28">
        <v>44477</v>
      </c>
      <c r="I147" s="24">
        <v>12</v>
      </c>
      <c r="J147" s="24" t="s">
        <v>33</v>
      </c>
      <c r="K147" s="24" t="s">
        <v>527</v>
      </c>
      <c r="L147" s="24" t="str">
        <f t="shared" si="14"/>
        <v>Non testé</v>
      </c>
      <c r="M147" s="23" t="s">
        <v>44</v>
      </c>
      <c r="N147" s="23" t="str">
        <f t="shared" si="15"/>
        <v/>
      </c>
      <c r="O147" s="24" t="s">
        <v>502</v>
      </c>
      <c r="P147" s="23">
        <v>3.5</v>
      </c>
      <c r="Q147" s="29">
        <v>2.0152999999999999</v>
      </c>
      <c r="R147" s="29">
        <v>1.8908</v>
      </c>
      <c r="S147" s="24" t="s">
        <v>527</v>
      </c>
      <c r="T147" s="24" t="str">
        <f t="shared" si="16"/>
        <v>Censure haute</v>
      </c>
      <c r="U147" s="24" t="s">
        <v>35</v>
      </c>
      <c r="V147" s="24" t="str">
        <f t="shared" si="17"/>
        <v/>
      </c>
      <c r="W147" s="24" t="s">
        <v>527</v>
      </c>
      <c r="X147" s="23">
        <v>3.2120000000000002</v>
      </c>
      <c r="Y147" s="23">
        <v>6.7601000000000004</v>
      </c>
      <c r="Z147" s="23"/>
      <c r="AA147" s="24" t="s">
        <v>527</v>
      </c>
      <c r="AB147" s="24" t="str">
        <f t="shared" si="18"/>
        <v>Normal</v>
      </c>
      <c r="AC147" s="23">
        <v>717972</v>
      </c>
      <c r="AD147" s="23">
        <v>71.797200000000004</v>
      </c>
      <c r="AE147" s="23" t="str">
        <f t="shared" si="19"/>
        <v/>
      </c>
      <c r="AF147" s="23"/>
      <c r="AG147" s="23" t="str">
        <f t="shared" si="20"/>
        <v/>
      </c>
      <c r="AH147" s="24" t="s">
        <v>527</v>
      </c>
      <c r="AI147" s="23">
        <v>2.8039999999999998</v>
      </c>
      <c r="AJ147" s="23">
        <v>2.7787000000000002</v>
      </c>
      <c r="AK147" s="23">
        <v>2.8079000000000001</v>
      </c>
      <c r="AL147" s="24" t="s">
        <v>527</v>
      </c>
      <c r="AM147" s="24"/>
      <c r="AN147" s="24"/>
      <c r="AO147" s="24" t="str">
        <f>IF(ISBLANK(AM147),"",IF(AM147=92,IF(T147="Censure haute",120,""),IF(AB147="Censure haute",120,"")))</f>
        <v/>
      </c>
    </row>
    <row r="148" spans="1:41" x14ac:dyDescent="0.3">
      <c r="A148" s="24" t="s">
        <v>218</v>
      </c>
      <c r="B148" s="24" t="s">
        <v>516</v>
      </c>
      <c r="C148" s="25" t="s">
        <v>518</v>
      </c>
      <c r="D148" s="26">
        <v>27</v>
      </c>
      <c r="E148" s="24" t="s">
        <v>520</v>
      </c>
      <c r="F148" s="27" t="s">
        <v>525</v>
      </c>
      <c r="G148" s="28">
        <v>44454</v>
      </c>
      <c r="H148" s="28">
        <v>44476</v>
      </c>
      <c r="I148" s="24">
        <v>15</v>
      </c>
      <c r="J148" s="24" t="s">
        <v>43</v>
      </c>
      <c r="K148" s="24" t="s">
        <v>527</v>
      </c>
      <c r="L148" s="24" t="str">
        <f t="shared" si="14"/>
        <v>Non testé</v>
      </c>
      <c r="M148" s="23" t="s">
        <v>44</v>
      </c>
      <c r="N148" s="23" t="str">
        <f t="shared" si="15"/>
        <v/>
      </c>
      <c r="O148" s="24" t="s">
        <v>502</v>
      </c>
      <c r="P148" s="23">
        <v>3.5</v>
      </c>
      <c r="Q148" s="29">
        <v>1.2378</v>
      </c>
      <c r="R148" s="29"/>
      <c r="S148" s="24" t="s">
        <v>527</v>
      </c>
      <c r="T148" s="24" t="str">
        <f t="shared" si="16"/>
        <v>Normal</v>
      </c>
      <c r="U148" s="24">
        <v>17.9251</v>
      </c>
      <c r="V148" s="24">
        <f t="shared" si="17"/>
        <v>17.9251</v>
      </c>
      <c r="W148" s="24" t="s">
        <v>527</v>
      </c>
      <c r="X148" s="23">
        <v>3.5</v>
      </c>
      <c r="Y148" s="23">
        <v>0.85870000000000002</v>
      </c>
      <c r="Z148" s="23"/>
      <c r="AA148" s="24" t="s">
        <v>526</v>
      </c>
      <c r="AB148" s="24" t="str">
        <f t="shared" si="18"/>
        <v>Censure haute</v>
      </c>
      <c r="AC148" s="23" t="s">
        <v>35</v>
      </c>
      <c r="AD148" s="23" t="s">
        <v>561</v>
      </c>
      <c r="AE148" s="23" t="str">
        <f t="shared" si="19"/>
        <v/>
      </c>
      <c r="AF148" s="23"/>
      <c r="AG148" s="23" t="str">
        <f t="shared" si="20"/>
        <v/>
      </c>
      <c r="AH148" s="24" t="s">
        <v>527</v>
      </c>
      <c r="AI148" s="23">
        <v>2.8340000000000001</v>
      </c>
      <c r="AJ148" s="23">
        <v>5.4090999999999996</v>
      </c>
      <c r="AK148" s="23"/>
      <c r="AL148" s="24" t="s">
        <v>527</v>
      </c>
      <c r="AM148" s="24"/>
      <c r="AN148" s="24"/>
      <c r="AO148" s="24" t="str">
        <f>IF(ISBLANK(AM148),"",IF(AM148=92,IF(T148="Censure haute",120,""),IF(AB148="Censure haute",120,"")))</f>
        <v/>
      </c>
    </row>
    <row r="149" spans="1:41" x14ac:dyDescent="0.3">
      <c r="A149" s="24" t="s">
        <v>219</v>
      </c>
      <c r="B149" s="24" t="s">
        <v>517</v>
      </c>
      <c r="C149" s="25" t="s">
        <v>518</v>
      </c>
      <c r="D149" s="26">
        <v>25.5</v>
      </c>
      <c r="E149" s="24" t="s">
        <v>522</v>
      </c>
      <c r="F149" s="27" t="s">
        <v>525</v>
      </c>
      <c r="G149" s="28">
        <v>44453</v>
      </c>
      <c r="H149" s="28">
        <v>44495</v>
      </c>
      <c r="I149" s="24">
        <v>12</v>
      </c>
      <c r="J149" s="24" t="s">
        <v>33</v>
      </c>
      <c r="K149" s="24" t="s">
        <v>527</v>
      </c>
      <c r="L149" s="24" t="str">
        <f t="shared" si="14"/>
        <v>Non testé</v>
      </c>
      <c r="M149" s="23" t="s">
        <v>44</v>
      </c>
      <c r="N149" s="23" t="str">
        <f t="shared" si="15"/>
        <v/>
      </c>
      <c r="O149" s="24" t="s">
        <v>502</v>
      </c>
      <c r="P149" s="23">
        <v>3.5</v>
      </c>
      <c r="Q149" s="29">
        <v>0.10290000000000001</v>
      </c>
      <c r="R149" s="29"/>
      <c r="S149" s="24" t="s">
        <v>526</v>
      </c>
      <c r="T149" s="24" t="str">
        <f t="shared" si="16"/>
        <v>Echec technique</v>
      </c>
      <c r="U149" s="24" t="s">
        <v>44</v>
      </c>
      <c r="V149" s="24" t="str">
        <f t="shared" si="17"/>
        <v/>
      </c>
      <c r="W149" s="24" t="s">
        <v>502</v>
      </c>
      <c r="X149" s="23">
        <v>3.23</v>
      </c>
      <c r="Y149" s="23">
        <v>1.4397</v>
      </c>
      <c r="Z149" s="23"/>
      <c r="AA149" s="24" t="s">
        <v>527</v>
      </c>
      <c r="AB149" s="24" t="str">
        <f t="shared" si="18"/>
        <v>Censure haute</v>
      </c>
      <c r="AC149" s="23" t="s">
        <v>35</v>
      </c>
      <c r="AD149" s="23" t="s">
        <v>561</v>
      </c>
      <c r="AE149" s="23" t="str">
        <f t="shared" si="19"/>
        <v/>
      </c>
      <c r="AF149" s="23"/>
      <c r="AG149" s="23" t="str">
        <f t="shared" si="20"/>
        <v/>
      </c>
      <c r="AH149" s="24" t="s">
        <v>527</v>
      </c>
      <c r="AI149" s="23">
        <v>2.85</v>
      </c>
      <c r="AJ149" s="23">
        <v>0.75160000000000005</v>
      </c>
      <c r="AK149" s="23"/>
      <c r="AL149" s="24" t="s">
        <v>526</v>
      </c>
      <c r="AM149" s="24">
        <v>210</v>
      </c>
      <c r="AN149" s="24">
        <v>0</v>
      </c>
      <c r="AO149" s="24">
        <f>IF(ISBLANK(AM149),"",IF(AM149=92,IF(T149="Censure haute",120,""),IF(AB149="Censure haute",120,"")))</f>
        <v>120</v>
      </c>
    </row>
    <row r="150" spans="1:41" x14ac:dyDescent="0.3">
      <c r="A150" s="24" t="s">
        <v>220</v>
      </c>
      <c r="B150" s="24" t="s">
        <v>516</v>
      </c>
      <c r="C150" s="25" t="s">
        <v>518</v>
      </c>
      <c r="D150" s="26">
        <v>27.3</v>
      </c>
      <c r="E150" s="24" t="s">
        <v>520</v>
      </c>
      <c r="F150" s="27" t="s">
        <v>525</v>
      </c>
      <c r="G150" s="28">
        <v>44454</v>
      </c>
      <c r="H150" s="28">
        <v>44476</v>
      </c>
      <c r="I150" s="24">
        <v>15</v>
      </c>
      <c r="J150" s="24" t="s">
        <v>43</v>
      </c>
      <c r="K150" s="24" t="s">
        <v>527</v>
      </c>
      <c r="L150" s="24" t="str">
        <f t="shared" si="14"/>
        <v>Non testé</v>
      </c>
      <c r="M150" s="23" t="s">
        <v>44</v>
      </c>
      <c r="N150" s="23" t="str">
        <f t="shared" si="15"/>
        <v/>
      </c>
      <c r="O150" s="24" t="s">
        <v>502</v>
      </c>
      <c r="P150" s="23">
        <v>3.5</v>
      </c>
      <c r="Q150" s="29">
        <v>0.38929999999999998</v>
      </c>
      <c r="R150" s="29"/>
      <c r="S150" s="24" t="s">
        <v>526</v>
      </c>
      <c r="T150" s="24" t="str">
        <f t="shared" si="16"/>
        <v>Echec technique</v>
      </c>
      <c r="U150" s="24" t="s">
        <v>44</v>
      </c>
      <c r="V150" s="24" t="str">
        <f t="shared" si="17"/>
        <v/>
      </c>
      <c r="W150" s="24" t="s">
        <v>502</v>
      </c>
      <c r="X150" s="23">
        <v>3.0649999999999999</v>
      </c>
      <c r="Y150" s="23">
        <v>1.7656000000000001</v>
      </c>
      <c r="Z150" s="23"/>
      <c r="AA150" s="24" t="s">
        <v>527</v>
      </c>
      <c r="AB150" s="24" t="str">
        <f t="shared" si="18"/>
        <v>Non testé</v>
      </c>
      <c r="AC150" s="23" t="s">
        <v>44</v>
      </c>
      <c r="AD150" s="23" t="s">
        <v>561</v>
      </c>
      <c r="AE150" s="23" t="str">
        <f t="shared" si="19"/>
        <v/>
      </c>
      <c r="AF150" s="23"/>
      <c r="AG150" s="23" t="str">
        <f t="shared" si="20"/>
        <v/>
      </c>
      <c r="AH150" s="24" t="s">
        <v>502</v>
      </c>
      <c r="AI150" s="23">
        <v>2.8580000000000001</v>
      </c>
      <c r="AJ150" s="23">
        <v>1.0586</v>
      </c>
      <c r="AK150" s="23"/>
      <c r="AL150" s="24" t="s">
        <v>526</v>
      </c>
      <c r="AM150" s="24">
        <v>210</v>
      </c>
      <c r="AN150" s="24">
        <v>0</v>
      </c>
      <c r="AO150" s="24" t="str">
        <f>IF(ISBLANK(AM150),"",IF(AM150=92,IF(T150="Censure haute",120,""),IF(AB150="Censure haute",120,"")))</f>
        <v/>
      </c>
    </row>
    <row r="151" spans="1:41" x14ac:dyDescent="0.3">
      <c r="A151" s="24" t="s">
        <v>221</v>
      </c>
      <c r="B151" s="24" t="s">
        <v>516</v>
      </c>
      <c r="C151" s="25"/>
      <c r="D151" s="26">
        <v>17.8</v>
      </c>
      <c r="E151" s="24" t="s">
        <v>521</v>
      </c>
      <c r="F151" s="27" t="s">
        <v>525</v>
      </c>
      <c r="G151" s="28">
        <v>44453</v>
      </c>
      <c r="H151" s="28">
        <v>44476</v>
      </c>
      <c r="I151" s="24">
        <v>12</v>
      </c>
      <c r="J151" s="24" t="s">
        <v>33</v>
      </c>
      <c r="K151" s="24" t="s">
        <v>527</v>
      </c>
      <c r="L151" s="24" t="str">
        <f t="shared" si="14"/>
        <v>Non testé</v>
      </c>
      <c r="M151" s="23" t="s">
        <v>44</v>
      </c>
      <c r="N151" s="23" t="str">
        <f t="shared" si="15"/>
        <v/>
      </c>
      <c r="O151" s="24" t="s">
        <v>502</v>
      </c>
      <c r="P151" s="23">
        <v>3.5</v>
      </c>
      <c r="Q151" s="29">
        <v>1.4786999999999999</v>
      </c>
      <c r="R151" s="29"/>
      <c r="S151" s="24" t="s">
        <v>527</v>
      </c>
      <c r="T151" s="24" t="str">
        <f t="shared" si="16"/>
        <v>Censure haute</v>
      </c>
      <c r="U151" s="24" t="s">
        <v>35</v>
      </c>
      <c r="V151" s="24" t="str">
        <f t="shared" si="17"/>
        <v/>
      </c>
      <c r="W151" s="24" t="s">
        <v>527</v>
      </c>
      <c r="X151" s="23">
        <v>3.0880000000000001</v>
      </c>
      <c r="Y151" s="23">
        <v>6.1246999999999998</v>
      </c>
      <c r="Z151" s="23"/>
      <c r="AA151" s="24" t="s">
        <v>527</v>
      </c>
      <c r="AB151" s="24" t="str">
        <f t="shared" si="18"/>
        <v>Censure haute</v>
      </c>
      <c r="AC151" s="23" t="s">
        <v>35</v>
      </c>
      <c r="AD151" s="23" t="s">
        <v>561</v>
      </c>
      <c r="AE151" s="23" t="str">
        <f t="shared" si="19"/>
        <v/>
      </c>
      <c r="AF151" s="23"/>
      <c r="AG151" s="23" t="str">
        <f t="shared" si="20"/>
        <v/>
      </c>
      <c r="AH151" s="24" t="s">
        <v>527</v>
      </c>
      <c r="AI151" s="23">
        <v>2.863</v>
      </c>
      <c r="AJ151" s="23">
        <v>3.2433000000000001</v>
      </c>
      <c r="AK151" s="23"/>
      <c r="AL151" s="24" t="s">
        <v>527</v>
      </c>
      <c r="AM151" s="24">
        <v>210</v>
      </c>
      <c r="AN151" s="24">
        <v>0</v>
      </c>
      <c r="AO151" s="24">
        <f>IF(ISBLANK(AM151),"",IF(AM151=92,IF(T151="Censure haute",120,""),IF(AB151="Censure haute",120,"")))</f>
        <v>120</v>
      </c>
    </row>
    <row r="152" spans="1:41" x14ac:dyDescent="0.3">
      <c r="A152" s="24" t="s">
        <v>222</v>
      </c>
      <c r="B152" s="24" t="s">
        <v>517</v>
      </c>
      <c r="C152" s="25" t="s">
        <v>518</v>
      </c>
      <c r="D152" s="26">
        <v>17.100000000000001</v>
      </c>
      <c r="E152" s="24" t="s">
        <v>521</v>
      </c>
      <c r="F152" s="27" t="s">
        <v>525</v>
      </c>
      <c r="G152" s="28">
        <v>44453</v>
      </c>
      <c r="H152" s="28">
        <v>44476</v>
      </c>
      <c r="I152" s="24">
        <v>12</v>
      </c>
      <c r="J152" s="24" t="s">
        <v>33</v>
      </c>
      <c r="K152" s="24" t="s">
        <v>527</v>
      </c>
      <c r="L152" s="24" t="str">
        <f t="shared" si="14"/>
        <v>Non testé</v>
      </c>
      <c r="M152" s="23" t="s">
        <v>44</v>
      </c>
      <c r="N152" s="23" t="str">
        <f t="shared" si="15"/>
        <v/>
      </c>
      <c r="O152" s="24" t="s">
        <v>502</v>
      </c>
      <c r="P152" s="23">
        <v>3.5</v>
      </c>
      <c r="Q152" s="29">
        <v>2.9620000000000002</v>
      </c>
      <c r="R152" s="29"/>
      <c r="S152" s="24" t="s">
        <v>527</v>
      </c>
      <c r="T152" s="24" t="str">
        <f t="shared" si="16"/>
        <v>Censure haute</v>
      </c>
      <c r="U152" s="24" t="s">
        <v>35</v>
      </c>
      <c r="V152" s="24" t="str">
        <f t="shared" si="17"/>
        <v/>
      </c>
      <c r="W152" s="24" t="s">
        <v>527</v>
      </c>
      <c r="X152" s="23">
        <v>3.2370000000000001</v>
      </c>
      <c r="Y152" s="23">
        <v>0.97670000000000001</v>
      </c>
      <c r="Z152" s="23"/>
      <c r="AA152" s="24" t="s">
        <v>526</v>
      </c>
      <c r="AB152" s="24" t="str">
        <f t="shared" si="18"/>
        <v>Censure haute</v>
      </c>
      <c r="AC152" s="23" t="s">
        <v>35</v>
      </c>
      <c r="AD152" s="23" t="s">
        <v>561</v>
      </c>
      <c r="AE152" s="23" t="str">
        <f t="shared" si="19"/>
        <v/>
      </c>
      <c r="AF152" s="23"/>
      <c r="AG152" s="23" t="str">
        <f t="shared" si="20"/>
        <v/>
      </c>
      <c r="AH152" s="24" t="s">
        <v>527</v>
      </c>
      <c r="AI152" s="23">
        <v>2.867</v>
      </c>
      <c r="AJ152" s="23">
        <v>0.4531</v>
      </c>
      <c r="AK152" s="23"/>
      <c r="AL152" s="24" t="s">
        <v>526</v>
      </c>
      <c r="AM152" s="24">
        <v>210</v>
      </c>
      <c r="AN152" s="24">
        <v>0</v>
      </c>
      <c r="AO152" s="24">
        <f>IF(ISBLANK(AM152),"",IF(AM152=92,IF(T152="Censure haute",120,""),IF(AB152="Censure haute",120,"")))</f>
        <v>120</v>
      </c>
    </row>
    <row r="153" spans="1:41" x14ac:dyDescent="0.3">
      <c r="A153" s="24" t="s">
        <v>223</v>
      </c>
      <c r="B153" s="24" t="s">
        <v>517</v>
      </c>
      <c r="C153" s="25"/>
      <c r="D153" s="26">
        <v>12.4</v>
      </c>
      <c r="E153" s="24" t="s">
        <v>523</v>
      </c>
      <c r="F153" s="27" t="s">
        <v>525</v>
      </c>
      <c r="G153" s="28">
        <v>44453</v>
      </c>
      <c r="H153" s="28">
        <v>44477</v>
      </c>
      <c r="I153" s="24">
        <v>12</v>
      </c>
      <c r="J153" s="24" t="s">
        <v>33</v>
      </c>
      <c r="K153" s="24" t="s">
        <v>526</v>
      </c>
      <c r="L153" s="24" t="str">
        <f t="shared" si="14"/>
        <v>Non testé</v>
      </c>
      <c r="M153" s="23" t="s">
        <v>44</v>
      </c>
      <c r="N153" s="23" t="str">
        <f t="shared" si="15"/>
        <v/>
      </c>
      <c r="O153" s="23" t="s">
        <v>502</v>
      </c>
      <c r="P153" s="23">
        <v>3.5</v>
      </c>
      <c r="Q153" s="29">
        <v>0.19</v>
      </c>
      <c r="R153" s="29"/>
      <c r="S153" s="24" t="s">
        <v>526</v>
      </c>
      <c r="T153" s="24" t="str">
        <f t="shared" si="16"/>
        <v>Echec technique</v>
      </c>
      <c r="U153" s="24" t="s">
        <v>44</v>
      </c>
      <c r="V153" s="24" t="str">
        <f t="shared" si="17"/>
        <v/>
      </c>
      <c r="W153" s="24" t="s">
        <v>502</v>
      </c>
      <c r="X153" s="23">
        <v>3.218</v>
      </c>
      <c r="Y153" s="23">
        <v>2.3283999999999998</v>
      </c>
      <c r="Z153" s="23"/>
      <c r="AA153" s="24" t="s">
        <v>527</v>
      </c>
      <c r="AB153" s="24" t="str">
        <f t="shared" si="18"/>
        <v>Censure haute</v>
      </c>
      <c r="AC153" s="23" t="s">
        <v>35</v>
      </c>
      <c r="AD153" s="23" t="s">
        <v>561</v>
      </c>
      <c r="AE153" s="23" t="str">
        <f t="shared" si="19"/>
        <v/>
      </c>
      <c r="AF153" s="23"/>
      <c r="AG153" s="23" t="str">
        <f t="shared" si="20"/>
        <v/>
      </c>
      <c r="AH153" s="24" t="s">
        <v>527</v>
      </c>
      <c r="AI153" s="23">
        <v>2.8679999999999999</v>
      </c>
      <c r="AJ153" s="23">
        <v>1.1503000000000001</v>
      </c>
      <c r="AK153" s="23"/>
      <c r="AL153" s="24" t="s">
        <v>527</v>
      </c>
      <c r="AM153" s="24">
        <v>210</v>
      </c>
      <c r="AN153" s="24">
        <v>0</v>
      </c>
      <c r="AO153" s="24">
        <f>IF(ISBLANK(AM153),"",IF(AM153=92,IF(T153="Censure haute",120,""),IF(AB153="Censure haute",120,"")))</f>
        <v>120</v>
      </c>
    </row>
    <row r="154" spans="1:41" x14ac:dyDescent="0.3">
      <c r="A154" s="24" t="s">
        <v>224</v>
      </c>
      <c r="B154" s="24" t="s">
        <v>516</v>
      </c>
      <c r="C154" s="30" t="s">
        <v>518</v>
      </c>
      <c r="D154" s="26">
        <v>19.399999999999999</v>
      </c>
      <c r="E154" s="24" t="s">
        <v>521</v>
      </c>
      <c r="F154" s="27" t="s">
        <v>525</v>
      </c>
      <c r="G154" s="28">
        <v>44453</v>
      </c>
      <c r="H154" s="28">
        <v>44477</v>
      </c>
      <c r="I154" s="24">
        <v>12</v>
      </c>
      <c r="J154" s="24" t="s">
        <v>33</v>
      </c>
      <c r="K154" s="24" t="s">
        <v>526</v>
      </c>
      <c r="L154" s="24" t="str">
        <f t="shared" si="14"/>
        <v>Non testé</v>
      </c>
      <c r="M154" s="23" t="s">
        <v>44</v>
      </c>
      <c r="N154" s="23" t="str">
        <f t="shared" si="15"/>
        <v/>
      </c>
      <c r="O154" s="24" t="s">
        <v>502</v>
      </c>
      <c r="P154" s="23">
        <v>3.5</v>
      </c>
      <c r="Q154" s="29">
        <v>8.9499999999999996E-2</v>
      </c>
      <c r="R154" s="29"/>
      <c r="S154" s="24" t="s">
        <v>526</v>
      </c>
      <c r="T154" s="24" t="str">
        <f t="shared" si="16"/>
        <v>Censure haute</v>
      </c>
      <c r="U154" s="24" t="s">
        <v>35</v>
      </c>
      <c r="V154" s="24" t="str">
        <f t="shared" si="17"/>
        <v/>
      </c>
      <c r="W154" s="24" t="s">
        <v>527</v>
      </c>
      <c r="X154" s="23">
        <v>3.5</v>
      </c>
      <c r="Y154" s="23">
        <v>1.5792999999999999</v>
      </c>
      <c r="Z154" s="23"/>
      <c r="AA154" s="24" t="s">
        <v>527</v>
      </c>
      <c r="AB154" s="24" t="str">
        <f t="shared" si="18"/>
        <v>Censure haute</v>
      </c>
      <c r="AC154" s="23" t="s">
        <v>35</v>
      </c>
      <c r="AD154" s="23" t="s">
        <v>561</v>
      </c>
      <c r="AE154" s="23" t="str">
        <f t="shared" si="19"/>
        <v/>
      </c>
      <c r="AF154" s="23"/>
      <c r="AG154" s="23" t="str">
        <f t="shared" si="20"/>
        <v/>
      </c>
      <c r="AH154" s="24" t="s">
        <v>527</v>
      </c>
      <c r="AI154" s="23">
        <v>2.8679999999999999</v>
      </c>
      <c r="AJ154" s="23">
        <v>1.0134000000000001</v>
      </c>
      <c r="AK154" s="23"/>
      <c r="AL154" s="24" t="s">
        <v>526</v>
      </c>
      <c r="AM154" s="24">
        <v>210</v>
      </c>
      <c r="AN154" s="24">
        <v>0</v>
      </c>
      <c r="AO154" s="24">
        <f>IF(ISBLANK(AM154),"",IF(AM154=92,IF(T154="Censure haute",120,""),IF(AB154="Censure haute",120,"")))</f>
        <v>120</v>
      </c>
    </row>
    <row r="155" spans="1:41" x14ac:dyDescent="0.3">
      <c r="A155" s="24" t="s">
        <v>225</v>
      </c>
      <c r="B155" s="24" t="s">
        <v>516</v>
      </c>
      <c r="C155" s="25"/>
      <c r="D155" s="26">
        <v>32.799999999999997</v>
      </c>
      <c r="E155" s="24" t="s">
        <v>522</v>
      </c>
      <c r="F155" s="27" t="s">
        <v>525</v>
      </c>
      <c r="G155" s="28">
        <v>44453</v>
      </c>
      <c r="H155" s="28">
        <v>44476</v>
      </c>
      <c r="I155" s="24">
        <v>15</v>
      </c>
      <c r="J155" s="24" t="s">
        <v>43</v>
      </c>
      <c r="K155" s="24" t="s">
        <v>526</v>
      </c>
      <c r="L155" s="24" t="str">
        <f t="shared" si="14"/>
        <v>Non testé</v>
      </c>
      <c r="M155" s="23" t="s">
        <v>44</v>
      </c>
      <c r="N155" s="23" t="str">
        <f t="shared" si="15"/>
        <v/>
      </c>
      <c r="O155" s="24" t="s">
        <v>502</v>
      </c>
      <c r="P155" s="23">
        <v>3.5</v>
      </c>
      <c r="Q155" s="29">
        <v>0.46589999999999998</v>
      </c>
      <c r="R155" s="29"/>
      <c r="S155" s="24" t="s">
        <v>526</v>
      </c>
      <c r="T155" s="24" t="str">
        <f t="shared" si="16"/>
        <v>Censure haute</v>
      </c>
      <c r="U155" s="24" t="s">
        <v>35</v>
      </c>
      <c r="V155" s="24" t="str">
        <f t="shared" si="17"/>
        <v/>
      </c>
      <c r="W155" s="24" t="s">
        <v>527</v>
      </c>
      <c r="X155" s="23">
        <v>3.1850000000000001</v>
      </c>
      <c r="Y155" s="23">
        <v>6.8182</v>
      </c>
      <c r="Z155" s="23"/>
      <c r="AA155" s="24" t="s">
        <v>527</v>
      </c>
      <c r="AB155" s="24" t="str">
        <f t="shared" si="18"/>
        <v>Normal</v>
      </c>
      <c r="AC155" s="23">
        <v>718694</v>
      </c>
      <c r="AD155" s="23">
        <v>71.869399999999999</v>
      </c>
      <c r="AE155" s="23" t="str">
        <f t="shared" si="19"/>
        <v/>
      </c>
      <c r="AF155" s="23"/>
      <c r="AG155" s="23" t="str">
        <f t="shared" si="20"/>
        <v/>
      </c>
      <c r="AH155" s="24" t="s">
        <v>527</v>
      </c>
      <c r="AI155" s="23">
        <v>2.8690000000000002</v>
      </c>
      <c r="AJ155" s="23">
        <v>3.5512000000000001</v>
      </c>
      <c r="AK155" s="23"/>
      <c r="AL155" s="24" t="s">
        <v>526</v>
      </c>
      <c r="AM155" s="24"/>
      <c r="AN155" s="24"/>
      <c r="AO155" s="24" t="str">
        <f>IF(ISBLANK(AM155),"",IF(AM155=92,IF(T155="Censure haute",120,""),IF(AB155="Censure haute",120,"")))</f>
        <v/>
      </c>
    </row>
    <row r="156" spans="1:41" x14ac:dyDescent="0.3">
      <c r="A156" s="24" t="s">
        <v>226</v>
      </c>
      <c r="B156" s="24" t="s">
        <v>516</v>
      </c>
      <c r="C156" s="25" t="s">
        <v>518</v>
      </c>
      <c r="D156" s="26">
        <v>28.6</v>
      </c>
      <c r="E156" s="24" t="s">
        <v>522</v>
      </c>
      <c r="F156" s="27" t="s">
        <v>525</v>
      </c>
      <c r="G156" s="28">
        <v>44453</v>
      </c>
      <c r="H156" s="28">
        <v>44477</v>
      </c>
      <c r="I156" s="24">
        <v>12</v>
      </c>
      <c r="J156" s="24" t="s">
        <v>33</v>
      </c>
      <c r="K156" s="24" t="s">
        <v>526</v>
      </c>
      <c r="L156" s="24" t="str">
        <f t="shared" si="14"/>
        <v>Non testé</v>
      </c>
      <c r="M156" s="23" t="s">
        <v>44</v>
      </c>
      <c r="N156" s="23" t="str">
        <f t="shared" si="15"/>
        <v/>
      </c>
      <c r="O156" s="24" t="s">
        <v>502</v>
      </c>
      <c r="P156" s="23">
        <v>3.5</v>
      </c>
      <c r="Q156" s="29">
        <v>0.28170000000000001</v>
      </c>
      <c r="R156" s="29">
        <v>0.28170000000000001</v>
      </c>
      <c r="S156" s="24" t="s">
        <v>526</v>
      </c>
      <c r="T156" s="24" t="str">
        <f t="shared" si="16"/>
        <v>Censure haute</v>
      </c>
      <c r="U156" s="24" t="s">
        <v>35</v>
      </c>
      <c r="V156" s="24" t="str">
        <f t="shared" si="17"/>
        <v/>
      </c>
      <c r="W156" s="24" t="s">
        <v>527</v>
      </c>
      <c r="X156" s="23">
        <v>3.3889999999999998</v>
      </c>
      <c r="Y156" s="23">
        <v>0.33410000000000001</v>
      </c>
      <c r="Z156" s="23"/>
      <c r="AA156" s="24" t="s">
        <v>526</v>
      </c>
      <c r="AB156" s="24" t="str">
        <f t="shared" si="18"/>
        <v>Censure haute</v>
      </c>
      <c r="AC156" s="23" t="s">
        <v>35</v>
      </c>
      <c r="AD156" s="23" t="s">
        <v>561</v>
      </c>
      <c r="AE156" s="23" t="str">
        <f t="shared" si="19"/>
        <v/>
      </c>
      <c r="AF156" s="23"/>
      <c r="AG156" s="23" t="str">
        <f t="shared" si="20"/>
        <v/>
      </c>
      <c r="AH156" s="24" t="s">
        <v>527</v>
      </c>
      <c r="AI156" s="23">
        <v>2.8690000000000002</v>
      </c>
      <c r="AJ156" s="23">
        <v>0.2046</v>
      </c>
      <c r="AK156" s="23"/>
      <c r="AL156" s="24" t="s">
        <v>526</v>
      </c>
      <c r="AM156" s="24">
        <v>210</v>
      </c>
      <c r="AN156" s="24">
        <v>0</v>
      </c>
      <c r="AO156" s="24">
        <f>IF(ISBLANK(AM156),"",IF(AM156=92,IF(T156="Censure haute",120,""),IF(AB156="Censure haute",120,"")))</f>
        <v>120</v>
      </c>
    </row>
    <row r="157" spans="1:41" x14ac:dyDescent="0.3">
      <c r="A157" s="24" t="s">
        <v>228</v>
      </c>
      <c r="B157" s="24" t="s">
        <v>516</v>
      </c>
      <c r="C157" s="25" t="s">
        <v>518</v>
      </c>
      <c r="D157" s="26">
        <v>24.9</v>
      </c>
      <c r="E157" s="24" t="s">
        <v>520</v>
      </c>
      <c r="F157" s="27" t="s">
        <v>525</v>
      </c>
      <c r="G157" s="28">
        <v>44453</v>
      </c>
      <c r="H157" s="28">
        <v>44477</v>
      </c>
      <c r="I157" s="24">
        <v>12</v>
      </c>
      <c r="J157" s="24" t="s">
        <v>33</v>
      </c>
      <c r="K157" s="24" t="s">
        <v>527</v>
      </c>
      <c r="L157" s="24" t="str">
        <f t="shared" si="14"/>
        <v>Non testé</v>
      </c>
      <c r="M157" s="23" t="s">
        <v>44</v>
      </c>
      <c r="N157" s="23" t="str">
        <f t="shared" si="15"/>
        <v/>
      </c>
      <c r="O157" s="24" t="s">
        <v>502</v>
      </c>
      <c r="P157" s="23">
        <v>3.5</v>
      </c>
      <c r="Q157" s="29">
        <v>1.3241000000000001</v>
      </c>
      <c r="R157" s="29"/>
      <c r="S157" s="24" t="s">
        <v>527</v>
      </c>
      <c r="T157" s="24" t="str">
        <f t="shared" si="16"/>
        <v>Normal</v>
      </c>
      <c r="U157" s="24">
        <v>30.3657</v>
      </c>
      <c r="V157" s="24">
        <f t="shared" si="17"/>
        <v>30.3657</v>
      </c>
      <c r="W157" s="24" t="s">
        <v>527</v>
      </c>
      <c r="X157" s="23">
        <v>3.2440000000000002</v>
      </c>
      <c r="Y157" s="23">
        <v>1.1075999999999999</v>
      </c>
      <c r="Z157" s="23"/>
      <c r="AA157" s="24" t="s">
        <v>527</v>
      </c>
      <c r="AB157" s="24" t="str">
        <f t="shared" si="18"/>
        <v>Censure haute</v>
      </c>
      <c r="AC157" s="23" t="s">
        <v>35</v>
      </c>
      <c r="AD157" s="23" t="s">
        <v>561</v>
      </c>
      <c r="AE157" s="23" t="str">
        <f t="shared" si="19"/>
        <v/>
      </c>
      <c r="AF157" s="23"/>
      <c r="AG157" s="23" t="str">
        <f t="shared" si="20"/>
        <v/>
      </c>
      <c r="AH157" s="24" t="s">
        <v>527</v>
      </c>
      <c r="AI157" s="23">
        <v>2.871</v>
      </c>
      <c r="AJ157" s="23">
        <v>5.4690000000000003</v>
      </c>
      <c r="AK157" s="23"/>
      <c r="AL157" s="24" t="s">
        <v>527</v>
      </c>
      <c r="AM157" s="24"/>
      <c r="AN157" s="24"/>
      <c r="AO157" s="24" t="str">
        <f>IF(ISBLANK(AM157),"",IF(AM157=92,IF(T157="Censure haute",120,""),IF(AB157="Censure haute",120,"")))</f>
        <v/>
      </c>
    </row>
    <row r="158" spans="1:41" x14ac:dyDescent="0.3">
      <c r="A158" s="24" t="s">
        <v>229</v>
      </c>
      <c r="B158" s="24" t="s">
        <v>516</v>
      </c>
      <c r="C158" s="25"/>
      <c r="D158" s="26">
        <v>32.1</v>
      </c>
      <c r="E158" s="24" t="s">
        <v>522</v>
      </c>
      <c r="F158" s="27" t="s">
        <v>525</v>
      </c>
      <c r="G158" s="28">
        <v>44454</v>
      </c>
      <c r="H158" s="28">
        <v>44476</v>
      </c>
      <c r="I158" s="24">
        <v>15</v>
      </c>
      <c r="J158" s="24" t="s">
        <v>43</v>
      </c>
      <c r="K158" s="24" t="s">
        <v>526</v>
      </c>
      <c r="L158" s="24" t="str">
        <f t="shared" si="14"/>
        <v>Non testé</v>
      </c>
      <c r="M158" s="23" t="s">
        <v>44</v>
      </c>
      <c r="N158" s="23" t="str">
        <f t="shared" si="15"/>
        <v/>
      </c>
      <c r="O158" s="23" t="s">
        <v>502</v>
      </c>
      <c r="P158" s="23">
        <v>3.5</v>
      </c>
      <c r="Q158" s="29">
        <v>0.22819999999999999</v>
      </c>
      <c r="R158" s="29"/>
      <c r="S158" s="24" t="s">
        <v>526</v>
      </c>
      <c r="T158" s="24" t="str">
        <f t="shared" si="16"/>
        <v>Censure haute</v>
      </c>
      <c r="U158" s="24" t="s">
        <v>35</v>
      </c>
      <c r="V158" s="24" t="str">
        <f t="shared" si="17"/>
        <v/>
      </c>
      <c r="W158" s="24" t="s">
        <v>527</v>
      </c>
      <c r="X158" s="23">
        <v>2.923</v>
      </c>
      <c r="Y158" s="23">
        <v>0.16700000000000001</v>
      </c>
      <c r="Z158" s="23"/>
      <c r="AA158" s="24" t="s">
        <v>526</v>
      </c>
      <c r="AB158" s="24" t="str">
        <f t="shared" si="18"/>
        <v>Normal</v>
      </c>
      <c r="AC158" s="23">
        <v>729493</v>
      </c>
      <c r="AD158" s="23">
        <v>72.949299999999994</v>
      </c>
      <c r="AE158" s="23" t="str">
        <f t="shared" si="19"/>
        <v/>
      </c>
      <c r="AF158" s="23"/>
      <c r="AG158" s="23" t="str">
        <f t="shared" si="20"/>
        <v/>
      </c>
      <c r="AH158" s="24" t="s">
        <v>527</v>
      </c>
      <c r="AI158" s="23">
        <v>2.8940000000000001</v>
      </c>
      <c r="AJ158" s="23">
        <v>0.20039999999999999</v>
      </c>
      <c r="AK158" s="23"/>
      <c r="AL158" s="24" t="s">
        <v>526</v>
      </c>
      <c r="AM158" s="24">
        <v>182</v>
      </c>
      <c r="AN158" s="24">
        <v>1</v>
      </c>
      <c r="AO158" s="24" t="str">
        <f>IF(ISBLANK(AM158),"",IF(AM158=92,IF(T158="Censure haute",120,""),IF(AB158="Censure haute",120,"")))</f>
        <v/>
      </c>
    </row>
    <row r="159" spans="1:41" x14ac:dyDescent="0.3">
      <c r="A159" s="24" t="s">
        <v>230</v>
      </c>
      <c r="B159" s="24" t="s">
        <v>516</v>
      </c>
      <c r="C159" s="25" t="s">
        <v>519</v>
      </c>
      <c r="D159" s="26">
        <v>18.5</v>
      </c>
      <c r="E159" s="24" t="s">
        <v>521</v>
      </c>
      <c r="F159" s="27" t="s">
        <v>525</v>
      </c>
      <c r="G159" s="28">
        <v>44454</v>
      </c>
      <c r="H159" s="28">
        <v>44476</v>
      </c>
      <c r="I159" s="24">
        <v>15</v>
      </c>
      <c r="J159" s="24" t="s">
        <v>43</v>
      </c>
      <c r="K159" s="24" t="s">
        <v>527</v>
      </c>
      <c r="L159" s="24" t="str">
        <f t="shared" si="14"/>
        <v>Non testé</v>
      </c>
      <c r="M159" s="23" t="s">
        <v>44</v>
      </c>
      <c r="N159" s="23" t="str">
        <f t="shared" si="15"/>
        <v/>
      </c>
      <c r="O159" s="24" t="s">
        <v>502</v>
      </c>
      <c r="P159" s="23">
        <v>3.5</v>
      </c>
      <c r="Q159" s="29">
        <v>0.13320000000000001</v>
      </c>
      <c r="R159" s="29"/>
      <c r="S159" s="24" t="s">
        <v>526</v>
      </c>
      <c r="T159" s="24" t="str">
        <f t="shared" si="16"/>
        <v>Normal</v>
      </c>
      <c r="U159" s="24">
        <v>70.463200000000001</v>
      </c>
      <c r="V159" s="24">
        <f t="shared" si="17"/>
        <v>70.463200000000001</v>
      </c>
      <c r="W159" s="24" t="s">
        <v>527</v>
      </c>
      <c r="X159" s="23">
        <v>3.3069999999999999</v>
      </c>
      <c r="Y159" s="23">
        <v>3.9799000000000002</v>
      </c>
      <c r="Z159" s="23"/>
      <c r="AA159" s="24" t="s">
        <v>526</v>
      </c>
      <c r="AB159" s="24" t="str">
        <f t="shared" si="18"/>
        <v>Normal</v>
      </c>
      <c r="AC159" s="23">
        <v>611591</v>
      </c>
      <c r="AD159" s="23">
        <v>61.159100000000002</v>
      </c>
      <c r="AE159" s="23" t="str">
        <f t="shared" si="19"/>
        <v/>
      </c>
      <c r="AF159" s="23"/>
      <c r="AG159" s="23" t="str">
        <f t="shared" si="20"/>
        <v/>
      </c>
      <c r="AH159" s="24" t="s">
        <v>527</v>
      </c>
      <c r="AI159" s="23">
        <v>2.8980000000000001</v>
      </c>
      <c r="AJ159" s="23">
        <v>2.0499999999999998</v>
      </c>
      <c r="AK159" s="23"/>
      <c r="AL159" s="24" t="s">
        <v>527</v>
      </c>
      <c r="AM159" s="24"/>
      <c r="AN159" s="24"/>
      <c r="AO159" s="24" t="str">
        <f>IF(ISBLANK(AM159),"",IF(AM159=92,IF(T159="Censure haute",120,""),IF(AB159="Censure haute",120,"")))</f>
        <v/>
      </c>
    </row>
    <row r="160" spans="1:41" x14ac:dyDescent="0.3">
      <c r="A160" s="24" t="s">
        <v>231</v>
      </c>
      <c r="B160" s="24" t="s">
        <v>516</v>
      </c>
      <c r="C160" s="30" t="s">
        <v>519</v>
      </c>
      <c r="D160" s="26">
        <v>22.9</v>
      </c>
      <c r="E160" s="24" t="s">
        <v>521</v>
      </c>
      <c r="F160" s="27" t="s">
        <v>525</v>
      </c>
      <c r="G160" s="28">
        <v>44453</v>
      </c>
      <c r="H160" s="28">
        <v>44476</v>
      </c>
      <c r="I160" s="24">
        <v>14</v>
      </c>
      <c r="J160" s="24" t="s">
        <v>43</v>
      </c>
      <c r="K160" s="24" t="s">
        <v>526</v>
      </c>
      <c r="L160" s="24" t="str">
        <f t="shared" si="14"/>
        <v>Non testé</v>
      </c>
      <c r="M160" s="23" t="s">
        <v>44</v>
      </c>
      <c r="N160" s="23" t="str">
        <f t="shared" si="15"/>
        <v/>
      </c>
      <c r="O160" s="24" t="s">
        <v>502</v>
      </c>
      <c r="P160" s="23">
        <v>3.5</v>
      </c>
      <c r="Q160" s="29">
        <v>0.1956</v>
      </c>
      <c r="R160" s="29"/>
      <c r="S160" s="24" t="s">
        <v>526</v>
      </c>
      <c r="T160" s="24" t="str">
        <f t="shared" si="16"/>
        <v>Censure haute</v>
      </c>
      <c r="U160" s="23" t="s">
        <v>35</v>
      </c>
      <c r="V160" s="24" t="str">
        <f t="shared" si="17"/>
        <v/>
      </c>
      <c r="W160" s="24" t="s">
        <v>527</v>
      </c>
      <c r="X160" s="23">
        <v>3.0129999999999999</v>
      </c>
      <c r="Y160" s="23">
        <v>4.4200000000000003E-2</v>
      </c>
      <c r="Z160" s="23"/>
      <c r="AA160" s="24" t="s">
        <v>526</v>
      </c>
      <c r="AB160" s="24" t="str">
        <f t="shared" si="18"/>
        <v>Censure haute</v>
      </c>
      <c r="AC160" s="23" t="s">
        <v>35</v>
      </c>
      <c r="AD160" s="23" t="s">
        <v>561</v>
      </c>
      <c r="AE160" s="23" t="str">
        <f t="shared" si="19"/>
        <v/>
      </c>
      <c r="AF160" s="23"/>
      <c r="AG160" s="23" t="str">
        <f t="shared" si="20"/>
        <v/>
      </c>
      <c r="AH160" s="24" t="s">
        <v>527</v>
      </c>
      <c r="AI160" s="23">
        <v>2.9260000000000002</v>
      </c>
      <c r="AJ160" s="23">
        <v>8.6099999999999996E-2</v>
      </c>
      <c r="AK160" s="23"/>
      <c r="AL160" s="24" t="s">
        <v>526</v>
      </c>
      <c r="AM160" s="24">
        <v>210</v>
      </c>
      <c r="AN160" s="24">
        <v>0</v>
      </c>
      <c r="AO160" s="24">
        <f>IF(ISBLANK(AM160),"",IF(AM160=92,IF(T160="Censure haute",120,""),IF(AB160="Censure haute",120,"")))</f>
        <v>120</v>
      </c>
    </row>
    <row r="161" spans="1:41" x14ac:dyDescent="0.3">
      <c r="A161" s="24" t="s">
        <v>232</v>
      </c>
      <c r="B161" s="24" t="s">
        <v>517</v>
      </c>
      <c r="C161" s="25"/>
      <c r="D161" s="26">
        <v>18.3</v>
      </c>
      <c r="E161" s="24" t="s">
        <v>521</v>
      </c>
      <c r="F161" s="27" t="s">
        <v>525</v>
      </c>
      <c r="G161" s="28">
        <v>44453</v>
      </c>
      <c r="H161" s="28">
        <v>44476</v>
      </c>
      <c r="I161" s="24">
        <v>12</v>
      </c>
      <c r="J161" s="24" t="s">
        <v>33</v>
      </c>
      <c r="K161" s="24" t="s">
        <v>526</v>
      </c>
      <c r="L161" s="24" t="str">
        <f t="shared" si="14"/>
        <v>Non testé</v>
      </c>
      <c r="M161" s="23" t="s">
        <v>44</v>
      </c>
      <c r="N161" s="23" t="str">
        <f t="shared" si="15"/>
        <v/>
      </c>
      <c r="O161" s="24" t="s">
        <v>502</v>
      </c>
      <c r="P161" s="23">
        <v>3.5</v>
      </c>
      <c r="Q161" s="29">
        <v>2.5301999999999998</v>
      </c>
      <c r="R161" s="29"/>
      <c r="S161" s="24" t="s">
        <v>527</v>
      </c>
      <c r="T161" s="24" t="str">
        <f t="shared" si="16"/>
        <v>Normal</v>
      </c>
      <c r="U161" s="24">
        <v>25.5944</v>
      </c>
      <c r="V161" s="24">
        <f t="shared" si="17"/>
        <v>25.5944</v>
      </c>
      <c r="W161" s="24" t="s">
        <v>527</v>
      </c>
      <c r="X161" s="23">
        <v>3.1850000000000001</v>
      </c>
      <c r="Y161" s="23">
        <v>0.85619999999999996</v>
      </c>
      <c r="Z161" s="23"/>
      <c r="AA161" s="24" t="s">
        <v>526</v>
      </c>
      <c r="AB161" s="24" t="str">
        <f t="shared" si="18"/>
        <v>Normal</v>
      </c>
      <c r="AC161" s="23">
        <v>188068</v>
      </c>
      <c r="AD161" s="23">
        <v>18.806799999999999</v>
      </c>
      <c r="AE161" s="23" t="str">
        <f t="shared" si="19"/>
        <v/>
      </c>
      <c r="AF161" s="23"/>
      <c r="AG161" s="23" t="str">
        <f t="shared" si="20"/>
        <v/>
      </c>
      <c r="AH161" s="24" t="s">
        <v>527</v>
      </c>
      <c r="AI161" s="23">
        <v>2.94</v>
      </c>
      <c r="AJ161" s="23">
        <v>0.41070000000000001</v>
      </c>
      <c r="AK161" s="23"/>
      <c r="AL161" s="24" t="s">
        <v>526</v>
      </c>
      <c r="AM161" s="24"/>
      <c r="AN161" s="24"/>
      <c r="AO161" s="24" t="str">
        <f>IF(ISBLANK(AM161),"",IF(AM161=92,IF(T161="Censure haute",120,""),IF(AB161="Censure haute",120,"")))</f>
        <v/>
      </c>
    </row>
    <row r="162" spans="1:41" x14ac:dyDescent="0.3">
      <c r="A162" s="24" t="s">
        <v>233</v>
      </c>
      <c r="B162" s="24" t="s">
        <v>516</v>
      </c>
      <c r="C162" s="25"/>
      <c r="D162" s="26">
        <v>33.5</v>
      </c>
      <c r="E162" s="24" t="s">
        <v>522</v>
      </c>
      <c r="F162" s="27" t="s">
        <v>525</v>
      </c>
      <c r="G162" s="28">
        <v>44460</v>
      </c>
      <c r="H162" s="28">
        <v>44481</v>
      </c>
      <c r="I162" s="24">
        <v>12</v>
      </c>
      <c r="J162" s="24" t="s">
        <v>33</v>
      </c>
      <c r="K162" s="24" t="s">
        <v>526</v>
      </c>
      <c r="L162" s="24" t="str">
        <f t="shared" si="14"/>
        <v>Non testé</v>
      </c>
      <c r="M162" s="23" t="s">
        <v>44</v>
      </c>
      <c r="N162" s="23" t="str">
        <f t="shared" si="15"/>
        <v/>
      </c>
      <c r="O162" s="24" t="s">
        <v>502</v>
      </c>
      <c r="P162" s="23">
        <v>3.5</v>
      </c>
      <c r="Q162" s="29">
        <v>9.01E-2</v>
      </c>
      <c r="R162" s="29"/>
      <c r="S162" s="24" t="s">
        <v>526</v>
      </c>
      <c r="T162" s="24" t="str">
        <f t="shared" si="16"/>
        <v>Censure haute</v>
      </c>
      <c r="U162" s="24" t="s">
        <v>35</v>
      </c>
      <c r="V162" s="24" t="str">
        <f t="shared" si="17"/>
        <v/>
      </c>
      <c r="W162" s="24" t="s">
        <v>527</v>
      </c>
      <c r="X162" s="23">
        <v>3.5</v>
      </c>
      <c r="Y162" s="23">
        <v>0.25829999999999997</v>
      </c>
      <c r="Z162" s="23"/>
      <c r="AA162" s="24" t="s">
        <v>526</v>
      </c>
      <c r="AB162" s="24" t="str">
        <f t="shared" si="18"/>
        <v>Censure haute</v>
      </c>
      <c r="AC162" s="23" t="s">
        <v>35</v>
      </c>
      <c r="AD162" s="23" t="s">
        <v>561</v>
      </c>
      <c r="AE162" s="23" t="str">
        <f t="shared" si="19"/>
        <v/>
      </c>
      <c r="AF162" s="23"/>
      <c r="AG162" s="23" t="str">
        <f t="shared" si="20"/>
        <v/>
      </c>
      <c r="AH162" s="24" t="s">
        <v>527</v>
      </c>
      <c r="AI162" s="23">
        <v>2.9430000000000001</v>
      </c>
      <c r="AJ162" s="23">
        <v>0.22539999999999999</v>
      </c>
      <c r="AK162" s="23"/>
      <c r="AL162" s="24" t="s">
        <v>526</v>
      </c>
      <c r="AM162" s="24">
        <v>210</v>
      </c>
      <c r="AN162" s="24">
        <v>0</v>
      </c>
      <c r="AO162" s="24">
        <f>IF(ISBLANK(AM162),"",IF(AM162=92,IF(T162="Censure haute",120,""),IF(AB162="Censure haute",120,"")))</f>
        <v>120</v>
      </c>
    </row>
    <row r="163" spans="1:41" x14ac:dyDescent="0.3">
      <c r="A163" s="24" t="s">
        <v>234</v>
      </c>
      <c r="B163" s="24" t="s">
        <v>516</v>
      </c>
      <c r="C163" s="25" t="s">
        <v>519</v>
      </c>
      <c r="D163" s="26">
        <v>16.600000000000001</v>
      </c>
      <c r="E163" s="24" t="s">
        <v>521</v>
      </c>
      <c r="F163" s="27" t="s">
        <v>525</v>
      </c>
      <c r="G163" s="28">
        <v>44453</v>
      </c>
      <c r="H163" s="28">
        <v>44477</v>
      </c>
      <c r="I163" s="24">
        <v>12</v>
      </c>
      <c r="J163" s="24" t="s">
        <v>33</v>
      </c>
      <c r="K163" s="24" t="s">
        <v>526</v>
      </c>
      <c r="L163" s="24" t="str">
        <f t="shared" si="14"/>
        <v>Non testé</v>
      </c>
      <c r="M163" s="23" t="s">
        <v>44</v>
      </c>
      <c r="N163" s="23" t="str">
        <f t="shared" si="15"/>
        <v/>
      </c>
      <c r="O163" s="24" t="s">
        <v>502</v>
      </c>
      <c r="P163" s="23">
        <v>3.5</v>
      </c>
      <c r="Q163" s="29">
        <v>2.0455999999999999</v>
      </c>
      <c r="R163" s="29"/>
      <c r="S163" s="24" t="s">
        <v>527</v>
      </c>
      <c r="T163" s="24" t="str">
        <f t="shared" si="16"/>
        <v>Echec technique</v>
      </c>
      <c r="U163" s="24" t="s">
        <v>44</v>
      </c>
      <c r="V163" s="24" t="str">
        <f t="shared" si="17"/>
        <v/>
      </c>
      <c r="W163" s="24" t="s">
        <v>502</v>
      </c>
      <c r="X163" s="23">
        <v>3.198</v>
      </c>
      <c r="Y163" s="23">
        <v>1.2759</v>
      </c>
      <c r="Z163" s="23"/>
      <c r="AA163" s="24" t="s">
        <v>527</v>
      </c>
      <c r="AB163" s="24" t="str">
        <f t="shared" si="18"/>
        <v>Censure haute</v>
      </c>
      <c r="AC163" s="23" t="s">
        <v>35</v>
      </c>
      <c r="AD163" s="23" t="s">
        <v>561</v>
      </c>
      <c r="AE163" s="23" t="str">
        <f t="shared" si="19"/>
        <v/>
      </c>
      <c r="AF163" s="23"/>
      <c r="AG163" s="23" t="str">
        <f t="shared" si="20"/>
        <v/>
      </c>
      <c r="AH163" s="24" t="s">
        <v>527</v>
      </c>
      <c r="AI163" s="23">
        <v>2.9550000000000001</v>
      </c>
      <c r="AJ163" s="23">
        <v>1.0785</v>
      </c>
      <c r="AK163" s="23">
        <v>1.0496000000000001</v>
      </c>
      <c r="AL163" s="24" t="s">
        <v>526</v>
      </c>
      <c r="AM163" s="24">
        <v>210</v>
      </c>
      <c r="AN163" s="24">
        <v>0</v>
      </c>
      <c r="AO163" s="24">
        <f>IF(ISBLANK(AM163),"",IF(AM163=92,IF(T163="Censure haute",120,""),IF(AB163="Censure haute",120,"")))</f>
        <v>120</v>
      </c>
    </row>
    <row r="164" spans="1:41" x14ac:dyDescent="0.3">
      <c r="A164" s="24" t="s">
        <v>236</v>
      </c>
      <c r="B164" s="24" t="s">
        <v>516</v>
      </c>
      <c r="C164" s="30" t="s">
        <v>518</v>
      </c>
      <c r="D164" s="26">
        <v>16.899999999999999</v>
      </c>
      <c r="E164" s="24" t="s">
        <v>521</v>
      </c>
      <c r="F164" s="27" t="s">
        <v>525</v>
      </c>
      <c r="G164" s="28">
        <v>44453</v>
      </c>
      <c r="H164" s="28">
        <v>44482</v>
      </c>
      <c r="I164" s="24">
        <v>15</v>
      </c>
      <c r="J164" s="24" t="s">
        <v>43</v>
      </c>
      <c r="K164" s="24" t="s">
        <v>526</v>
      </c>
      <c r="L164" s="24" t="str">
        <f t="shared" si="14"/>
        <v>Non testé</v>
      </c>
      <c r="M164" s="23" t="s">
        <v>44</v>
      </c>
      <c r="N164" s="23" t="str">
        <f t="shared" si="15"/>
        <v/>
      </c>
      <c r="O164" s="24" t="s">
        <v>502</v>
      </c>
      <c r="P164" s="23">
        <v>3.5</v>
      </c>
      <c r="Q164" s="29">
        <v>0.21759999999999999</v>
      </c>
      <c r="R164" s="29"/>
      <c r="S164" s="24" t="s">
        <v>526</v>
      </c>
      <c r="T164" s="24" t="str">
        <f t="shared" si="16"/>
        <v>Normal</v>
      </c>
      <c r="U164" s="24">
        <v>0.36170000000000002</v>
      </c>
      <c r="V164" s="24">
        <f t="shared" si="17"/>
        <v>0.36170000000000002</v>
      </c>
      <c r="W164" s="24" t="s">
        <v>526</v>
      </c>
      <c r="X164" s="23">
        <v>3.5</v>
      </c>
      <c r="Y164" s="23">
        <v>8.1699999999999995E-2</v>
      </c>
      <c r="Z164" s="23"/>
      <c r="AA164" s="24" t="s">
        <v>526</v>
      </c>
      <c r="AB164" s="24" t="str">
        <f t="shared" si="18"/>
        <v>Normal</v>
      </c>
      <c r="AC164" s="23">
        <v>0.16220000000000001</v>
      </c>
      <c r="AD164" s="23">
        <v>0.16220000000000001</v>
      </c>
      <c r="AE164" s="23" t="str">
        <f t="shared" si="19"/>
        <v/>
      </c>
      <c r="AF164" s="23"/>
      <c r="AG164" s="23" t="str">
        <f t="shared" si="20"/>
        <v/>
      </c>
      <c r="AH164" s="24" t="s">
        <v>526</v>
      </c>
      <c r="AI164" s="23">
        <v>2.9550000000000001</v>
      </c>
      <c r="AJ164" s="23">
        <v>7.5800000000000006E-2</v>
      </c>
      <c r="AK164" s="23"/>
      <c r="AL164" s="24" t="s">
        <v>526</v>
      </c>
      <c r="AM164" s="24"/>
      <c r="AN164" s="24"/>
      <c r="AO164" s="24" t="str">
        <f>IF(ISBLANK(AM164),"",IF(AM164=92,IF(T164="Censure haute",120,""),IF(AB164="Censure haute",120,"")))</f>
        <v/>
      </c>
    </row>
    <row r="165" spans="1:41" x14ac:dyDescent="0.3">
      <c r="A165" s="24" t="s">
        <v>237</v>
      </c>
      <c r="B165" s="24" t="s">
        <v>516</v>
      </c>
      <c r="C165" s="25" t="s">
        <v>518</v>
      </c>
      <c r="D165" s="26">
        <v>36.5</v>
      </c>
      <c r="E165" s="24" t="s">
        <v>522</v>
      </c>
      <c r="F165" s="27" t="s">
        <v>525</v>
      </c>
      <c r="G165" s="28">
        <v>44453</v>
      </c>
      <c r="H165" s="28">
        <v>44477</v>
      </c>
      <c r="I165" s="24">
        <v>15</v>
      </c>
      <c r="J165" s="24" t="s">
        <v>43</v>
      </c>
      <c r="K165" s="24" t="s">
        <v>526</v>
      </c>
      <c r="L165" s="24" t="str">
        <f t="shared" si="14"/>
        <v>Non testé</v>
      </c>
      <c r="M165" s="23" t="s">
        <v>44</v>
      </c>
      <c r="N165" s="23" t="str">
        <f t="shared" si="15"/>
        <v/>
      </c>
      <c r="O165" s="24" t="s">
        <v>502</v>
      </c>
      <c r="P165" s="23">
        <v>3.5</v>
      </c>
      <c r="Q165" s="29">
        <v>7.3800000000000004E-2</v>
      </c>
      <c r="R165" s="29"/>
      <c r="S165" s="24" t="s">
        <v>526</v>
      </c>
      <c r="T165" s="24" t="str">
        <f t="shared" si="16"/>
        <v>Normal</v>
      </c>
      <c r="U165" s="24">
        <v>22.245999999999999</v>
      </c>
      <c r="V165" s="24">
        <f t="shared" si="17"/>
        <v>22.245999999999999</v>
      </c>
      <c r="W165" s="24" t="s">
        <v>527</v>
      </c>
      <c r="X165" s="23">
        <v>3.262</v>
      </c>
      <c r="Y165" s="23">
        <v>2.8273999999999999</v>
      </c>
      <c r="Z165" s="23"/>
      <c r="AA165" s="24" t="s">
        <v>527</v>
      </c>
      <c r="AB165" s="24" t="str">
        <f t="shared" si="18"/>
        <v>Normal</v>
      </c>
      <c r="AC165" s="23">
        <v>82134</v>
      </c>
      <c r="AD165" s="23">
        <v>8.2134</v>
      </c>
      <c r="AE165" s="23" t="str">
        <f t="shared" si="19"/>
        <v/>
      </c>
      <c r="AF165" s="23"/>
      <c r="AG165" s="23" t="str">
        <f t="shared" si="20"/>
        <v/>
      </c>
      <c r="AH165" s="24" t="s">
        <v>503</v>
      </c>
      <c r="AI165" s="23">
        <v>2.964</v>
      </c>
      <c r="AJ165" s="23">
        <v>0.90610000000000002</v>
      </c>
      <c r="AK165" s="23"/>
      <c r="AL165" s="24" t="s">
        <v>526</v>
      </c>
      <c r="AM165" s="24"/>
      <c r="AN165" s="24"/>
      <c r="AO165" s="24" t="str">
        <f>IF(ISBLANK(AM165),"",IF(AM165=92,IF(T165="Censure haute",120,""),IF(AB165="Censure haute",120,"")))</f>
        <v/>
      </c>
    </row>
    <row r="166" spans="1:41" x14ac:dyDescent="0.3">
      <c r="A166" s="24" t="s">
        <v>238</v>
      </c>
      <c r="B166" s="24" t="s">
        <v>516</v>
      </c>
      <c r="C166" s="30" t="s">
        <v>518</v>
      </c>
      <c r="D166" s="26">
        <v>18.899999999999999</v>
      </c>
      <c r="E166" s="24" t="s">
        <v>521</v>
      </c>
      <c r="F166" s="27" t="s">
        <v>525</v>
      </c>
      <c r="G166" s="28">
        <v>44453</v>
      </c>
      <c r="H166" s="28">
        <v>44477</v>
      </c>
      <c r="I166" s="24">
        <v>12</v>
      </c>
      <c r="J166" s="24" t="s">
        <v>33</v>
      </c>
      <c r="K166" s="24" t="s">
        <v>526</v>
      </c>
      <c r="L166" s="24" t="str">
        <f t="shared" si="14"/>
        <v>Non testé</v>
      </c>
      <c r="M166" s="23" t="s">
        <v>44</v>
      </c>
      <c r="N166" s="23" t="str">
        <f t="shared" si="15"/>
        <v/>
      </c>
      <c r="O166" s="24" t="s">
        <v>502</v>
      </c>
      <c r="P166" s="23">
        <v>3.5</v>
      </c>
      <c r="Q166" s="29">
        <v>0.14169999999999999</v>
      </c>
      <c r="R166" s="29"/>
      <c r="S166" s="24" t="s">
        <v>526</v>
      </c>
      <c r="T166" s="24" t="str">
        <f t="shared" si="16"/>
        <v>Echec technique</v>
      </c>
      <c r="U166" s="24" t="s">
        <v>44</v>
      </c>
      <c r="V166" s="24" t="str">
        <f t="shared" si="17"/>
        <v/>
      </c>
      <c r="W166" s="24" t="s">
        <v>502</v>
      </c>
      <c r="X166" s="23">
        <v>3.468</v>
      </c>
      <c r="Y166" s="23">
        <v>3.6998000000000002</v>
      </c>
      <c r="Z166" s="23"/>
      <c r="AA166" s="24" t="s">
        <v>527</v>
      </c>
      <c r="AB166" s="24" t="str">
        <f t="shared" si="18"/>
        <v>Censure haute</v>
      </c>
      <c r="AC166" s="23" t="s">
        <v>35</v>
      </c>
      <c r="AD166" s="23" t="s">
        <v>561</v>
      </c>
      <c r="AE166" s="23" t="str">
        <f t="shared" si="19"/>
        <v/>
      </c>
      <c r="AF166" s="23"/>
      <c r="AG166" s="23" t="str">
        <f t="shared" si="20"/>
        <v/>
      </c>
      <c r="AH166" s="24" t="s">
        <v>527</v>
      </c>
      <c r="AI166" s="23">
        <v>2.9710000000000001</v>
      </c>
      <c r="AJ166" s="23">
        <v>1.7231000000000001</v>
      </c>
      <c r="AK166" s="23">
        <v>1.7934000000000001</v>
      </c>
      <c r="AL166" s="24" t="s">
        <v>527</v>
      </c>
      <c r="AM166" s="24">
        <v>210</v>
      </c>
      <c r="AN166" s="24">
        <v>0</v>
      </c>
      <c r="AO166" s="24">
        <f>IF(ISBLANK(AM166),"",IF(AM166=92,IF(T166="Censure haute",120,""),IF(AB166="Censure haute",120,"")))</f>
        <v>120</v>
      </c>
    </row>
    <row r="167" spans="1:41" x14ac:dyDescent="0.3">
      <c r="A167" s="24" t="s">
        <v>240</v>
      </c>
      <c r="B167" s="24" t="s">
        <v>516</v>
      </c>
      <c r="C167" s="30" t="s">
        <v>518</v>
      </c>
      <c r="D167" s="26">
        <v>17.899999999999999</v>
      </c>
      <c r="E167" s="24" t="s">
        <v>521</v>
      </c>
      <c r="F167" s="27" t="s">
        <v>525</v>
      </c>
      <c r="G167" s="28">
        <v>44453</v>
      </c>
      <c r="H167" s="28">
        <v>44482</v>
      </c>
      <c r="I167" s="24">
        <v>15</v>
      </c>
      <c r="J167" s="24" t="s">
        <v>43</v>
      </c>
      <c r="K167" s="24" t="s">
        <v>527</v>
      </c>
      <c r="L167" s="24" t="str">
        <f t="shared" si="14"/>
        <v>Non testé</v>
      </c>
      <c r="M167" s="23" t="s">
        <v>44</v>
      </c>
      <c r="N167" s="23" t="str">
        <f t="shared" si="15"/>
        <v/>
      </c>
      <c r="O167" s="24" t="s">
        <v>502</v>
      </c>
      <c r="P167" s="23">
        <v>3.5</v>
      </c>
      <c r="Q167" s="29">
        <v>7.0000000000000007E-2</v>
      </c>
      <c r="R167" s="29"/>
      <c r="S167" s="24" t="s">
        <v>526</v>
      </c>
      <c r="T167" s="24" t="str">
        <f t="shared" si="16"/>
        <v>Censure haute</v>
      </c>
      <c r="U167" s="24" t="s">
        <v>35</v>
      </c>
      <c r="V167" s="24" t="str">
        <f t="shared" si="17"/>
        <v/>
      </c>
      <c r="W167" s="24" t="s">
        <v>527</v>
      </c>
      <c r="X167" s="23">
        <v>3.1240000000000001</v>
      </c>
      <c r="Y167" s="23">
        <v>-0.1166</v>
      </c>
      <c r="Z167" s="23"/>
      <c r="AA167" s="24" t="s">
        <v>526</v>
      </c>
      <c r="AB167" s="24" t="str">
        <f t="shared" si="18"/>
        <v>Non testé</v>
      </c>
      <c r="AC167" s="23" t="s">
        <v>44</v>
      </c>
      <c r="AD167" s="23" t="s">
        <v>561</v>
      </c>
      <c r="AE167" s="23" t="str">
        <f t="shared" si="19"/>
        <v/>
      </c>
      <c r="AF167" s="23"/>
      <c r="AG167" s="23" t="str">
        <f t="shared" si="20"/>
        <v/>
      </c>
      <c r="AH167" s="24" t="s">
        <v>502</v>
      </c>
      <c r="AI167" s="23">
        <v>2.972</v>
      </c>
      <c r="AJ167" s="23">
        <v>2.8967000000000001</v>
      </c>
      <c r="AK167" s="23"/>
      <c r="AL167" s="24" t="s">
        <v>527</v>
      </c>
      <c r="AM167" s="24">
        <v>210</v>
      </c>
      <c r="AN167" s="24">
        <v>0</v>
      </c>
      <c r="AO167" s="24" t="str">
        <f>IF(ISBLANK(AM167),"",IF(AM167=92,IF(T167="Censure haute",120,""),IF(AB167="Censure haute",120,"")))</f>
        <v/>
      </c>
    </row>
    <row r="168" spans="1:41" x14ac:dyDescent="0.3">
      <c r="A168" s="24" t="s">
        <v>241</v>
      </c>
      <c r="B168" s="24" t="s">
        <v>516</v>
      </c>
      <c r="C168" s="25"/>
      <c r="D168" s="26">
        <v>16.3</v>
      </c>
      <c r="E168" s="24" t="s">
        <v>521</v>
      </c>
      <c r="F168" s="27" t="s">
        <v>525</v>
      </c>
      <c r="G168" s="28">
        <v>44454</v>
      </c>
      <c r="H168" s="28">
        <v>44477</v>
      </c>
      <c r="I168" s="24">
        <v>12</v>
      </c>
      <c r="J168" s="24" t="s">
        <v>33</v>
      </c>
      <c r="K168" s="24" t="s">
        <v>527</v>
      </c>
      <c r="L168" s="24" t="str">
        <f t="shared" si="14"/>
        <v>Non testé</v>
      </c>
      <c r="M168" s="23" t="s">
        <v>44</v>
      </c>
      <c r="N168" s="23" t="str">
        <f t="shared" si="15"/>
        <v/>
      </c>
      <c r="O168" s="24" t="s">
        <v>502</v>
      </c>
      <c r="P168" s="23">
        <v>3.5</v>
      </c>
      <c r="Q168" s="29">
        <v>1.5553999999999999</v>
      </c>
      <c r="R168" s="29"/>
      <c r="S168" s="24" t="s">
        <v>527</v>
      </c>
      <c r="T168" s="24" t="str">
        <f t="shared" si="16"/>
        <v>Censure haute</v>
      </c>
      <c r="U168" s="24" t="s">
        <v>35</v>
      </c>
      <c r="V168" s="24" t="str">
        <f t="shared" si="17"/>
        <v/>
      </c>
      <c r="W168" s="24" t="s">
        <v>527</v>
      </c>
      <c r="X168" s="23">
        <v>3.4929999999999999</v>
      </c>
      <c r="Y168" s="23">
        <v>6.0716999999999999</v>
      </c>
      <c r="Z168" s="23"/>
      <c r="AA168" s="24" t="s">
        <v>527</v>
      </c>
      <c r="AB168" s="24" t="str">
        <f t="shared" si="18"/>
        <v>Non testé</v>
      </c>
      <c r="AC168" s="23" t="s">
        <v>44</v>
      </c>
      <c r="AD168" s="23" t="s">
        <v>561</v>
      </c>
      <c r="AE168" s="23" t="str">
        <f t="shared" si="19"/>
        <v/>
      </c>
      <c r="AF168" s="23"/>
      <c r="AG168" s="23" t="str">
        <f t="shared" si="20"/>
        <v/>
      </c>
      <c r="AH168" s="24" t="s">
        <v>502</v>
      </c>
      <c r="AI168" s="23">
        <v>2.9780000000000002</v>
      </c>
      <c r="AJ168" s="23">
        <v>3.093</v>
      </c>
      <c r="AK168" s="23"/>
      <c r="AL168" s="24" t="s">
        <v>527</v>
      </c>
      <c r="AM168" s="24">
        <v>210</v>
      </c>
      <c r="AN168" s="24">
        <v>0</v>
      </c>
      <c r="AO168" s="24" t="str">
        <f>IF(ISBLANK(AM168),"",IF(AM168=92,IF(T168="Censure haute",120,""),IF(AB168="Censure haute",120,"")))</f>
        <v/>
      </c>
    </row>
    <row r="169" spans="1:41" x14ac:dyDescent="0.3">
      <c r="A169" s="24" t="s">
        <v>242</v>
      </c>
      <c r="B169" s="24" t="s">
        <v>516</v>
      </c>
      <c r="C169" s="25" t="s">
        <v>519</v>
      </c>
      <c r="D169" s="26">
        <v>18.5</v>
      </c>
      <c r="E169" s="24" t="s">
        <v>521</v>
      </c>
      <c r="F169" s="27" t="s">
        <v>525</v>
      </c>
      <c r="G169" s="28">
        <v>44453</v>
      </c>
      <c r="H169" s="28">
        <v>44480</v>
      </c>
      <c r="I169" s="24">
        <v>12</v>
      </c>
      <c r="J169" s="24" t="s">
        <v>33</v>
      </c>
      <c r="K169" s="24" t="s">
        <v>526</v>
      </c>
      <c r="L169" s="24" t="str">
        <f t="shared" si="14"/>
        <v>Non testé</v>
      </c>
      <c r="M169" s="23" t="s">
        <v>44</v>
      </c>
      <c r="N169" s="23" t="str">
        <f t="shared" si="15"/>
        <v/>
      </c>
      <c r="O169" s="24" t="s">
        <v>502</v>
      </c>
      <c r="P169" s="23">
        <v>3.5</v>
      </c>
      <c r="Q169" s="29">
        <v>0.99550000000000005</v>
      </c>
      <c r="R169" s="29"/>
      <c r="S169" s="24" t="s">
        <v>526</v>
      </c>
      <c r="T169" s="24" t="str">
        <f t="shared" si="16"/>
        <v>Censure haute</v>
      </c>
      <c r="U169" s="24" t="s">
        <v>35</v>
      </c>
      <c r="V169" s="24" t="str">
        <f t="shared" si="17"/>
        <v/>
      </c>
      <c r="W169" s="24" t="s">
        <v>527</v>
      </c>
      <c r="X169" s="23">
        <v>3.5</v>
      </c>
      <c r="Y169" s="23">
        <v>6.7610999999999999</v>
      </c>
      <c r="Z169" s="23"/>
      <c r="AA169" s="24" t="s">
        <v>527</v>
      </c>
      <c r="AB169" s="24" t="str">
        <f t="shared" si="18"/>
        <v>Censure haute</v>
      </c>
      <c r="AC169" s="23" t="s">
        <v>35</v>
      </c>
      <c r="AD169" s="23" t="s">
        <v>561</v>
      </c>
      <c r="AE169" s="23" t="str">
        <f t="shared" si="19"/>
        <v/>
      </c>
      <c r="AF169" s="23"/>
      <c r="AG169" s="23" t="str">
        <f t="shared" si="20"/>
        <v/>
      </c>
      <c r="AH169" s="24" t="s">
        <v>527</v>
      </c>
      <c r="AI169" s="23">
        <v>2.9820000000000002</v>
      </c>
      <c r="AJ169" s="23">
        <v>3.1183000000000001</v>
      </c>
      <c r="AK169" s="23"/>
      <c r="AL169" s="24" t="s">
        <v>527</v>
      </c>
      <c r="AM169" s="24">
        <v>210</v>
      </c>
      <c r="AN169" s="24">
        <v>0</v>
      </c>
      <c r="AO169" s="24">
        <f>IF(ISBLANK(AM169),"",IF(AM169=92,IF(T169="Censure haute",120,""),IF(AB169="Censure haute",120,"")))</f>
        <v>120</v>
      </c>
    </row>
    <row r="170" spans="1:41" x14ac:dyDescent="0.3">
      <c r="A170" s="24" t="s">
        <v>243</v>
      </c>
      <c r="B170" s="24" t="s">
        <v>517</v>
      </c>
      <c r="C170" s="25" t="s">
        <v>519</v>
      </c>
      <c r="D170" s="26">
        <v>15.7</v>
      </c>
      <c r="E170" s="24" t="s">
        <v>523</v>
      </c>
      <c r="F170" s="27" t="s">
        <v>525</v>
      </c>
      <c r="G170" s="28">
        <v>44454</v>
      </c>
      <c r="H170" s="28">
        <v>44476</v>
      </c>
      <c r="I170" s="24">
        <v>15</v>
      </c>
      <c r="J170" s="24" t="s">
        <v>43</v>
      </c>
      <c r="K170" s="24" t="s">
        <v>526</v>
      </c>
      <c r="L170" s="24" t="str">
        <f t="shared" si="14"/>
        <v>Non testé</v>
      </c>
      <c r="M170" s="23" t="s">
        <v>44</v>
      </c>
      <c r="N170" s="23" t="str">
        <f t="shared" si="15"/>
        <v/>
      </c>
      <c r="O170" s="24" t="s">
        <v>502</v>
      </c>
      <c r="P170" s="23">
        <v>3.5</v>
      </c>
      <c r="Q170" s="29">
        <v>5.9200000000000003E-2</v>
      </c>
      <c r="R170" s="29"/>
      <c r="S170" s="24" t="s">
        <v>526</v>
      </c>
      <c r="T170" s="24" t="str">
        <f t="shared" si="16"/>
        <v>Normal</v>
      </c>
      <c r="U170" s="24">
        <v>0.65569999999999995</v>
      </c>
      <c r="V170" s="24">
        <f t="shared" si="17"/>
        <v>0.65569999999999995</v>
      </c>
      <c r="W170" s="24" t="s">
        <v>526</v>
      </c>
      <c r="X170" s="23">
        <v>3.5</v>
      </c>
      <c r="Y170" s="23">
        <v>7.1400000000000005E-2</v>
      </c>
      <c r="Z170" s="23"/>
      <c r="AA170" s="24" t="s">
        <v>526</v>
      </c>
      <c r="AB170" s="24" t="str">
        <f t="shared" si="18"/>
        <v>Normal</v>
      </c>
      <c r="AC170" s="23">
        <v>12967</v>
      </c>
      <c r="AD170" s="23">
        <v>1.2967</v>
      </c>
      <c r="AE170" s="23" t="str">
        <f t="shared" si="19"/>
        <v/>
      </c>
      <c r="AF170" s="23"/>
      <c r="AG170" s="23" t="str">
        <f t="shared" si="20"/>
        <v/>
      </c>
      <c r="AH170" s="24" t="s">
        <v>526</v>
      </c>
      <c r="AI170" s="23">
        <v>2.984</v>
      </c>
      <c r="AJ170" s="23">
        <v>-5.1999999999999998E-3</v>
      </c>
      <c r="AK170" s="23"/>
      <c r="AL170" s="24" t="s">
        <v>526</v>
      </c>
      <c r="AM170" s="24"/>
      <c r="AN170" s="24"/>
      <c r="AO170" s="24" t="str">
        <f>IF(ISBLANK(AM170),"",IF(AM170=92,IF(T170="Censure haute",120,""),IF(AB170="Censure haute",120,"")))</f>
        <v/>
      </c>
    </row>
    <row r="171" spans="1:41" x14ac:dyDescent="0.3">
      <c r="A171" s="24" t="s">
        <v>244</v>
      </c>
      <c r="B171" s="24" t="s">
        <v>517</v>
      </c>
      <c r="C171" s="25"/>
      <c r="D171" s="26">
        <v>21.8</v>
      </c>
      <c r="E171" s="24" t="s">
        <v>520</v>
      </c>
      <c r="F171" s="27" t="s">
        <v>525</v>
      </c>
      <c r="G171" s="28">
        <v>44453</v>
      </c>
      <c r="H171" s="28">
        <v>44477</v>
      </c>
      <c r="I171" s="24">
        <v>12</v>
      </c>
      <c r="J171" s="24" t="s">
        <v>33</v>
      </c>
      <c r="K171" s="24" t="s">
        <v>526</v>
      </c>
      <c r="L171" s="24" t="str">
        <f t="shared" si="14"/>
        <v>Non testé</v>
      </c>
      <c r="M171" s="23" t="s">
        <v>44</v>
      </c>
      <c r="N171" s="23" t="str">
        <f t="shared" si="15"/>
        <v/>
      </c>
      <c r="O171" s="24" t="s">
        <v>502</v>
      </c>
      <c r="P171" s="23">
        <v>3.5</v>
      </c>
      <c r="Q171" s="29">
        <v>2.0872999999999999</v>
      </c>
      <c r="R171" s="29">
        <v>2.1987000000000001</v>
      </c>
      <c r="S171" s="24" t="s">
        <v>527</v>
      </c>
      <c r="T171" s="24" t="str">
        <f t="shared" si="16"/>
        <v>Echec technique</v>
      </c>
      <c r="U171" s="24" t="s">
        <v>44</v>
      </c>
      <c r="V171" s="24" t="str">
        <f t="shared" si="17"/>
        <v/>
      </c>
      <c r="W171" s="24" t="s">
        <v>502</v>
      </c>
      <c r="X171" s="23">
        <v>3.42</v>
      </c>
      <c r="Y171" s="23">
        <v>0.96860000000000002</v>
      </c>
      <c r="Z171" s="23"/>
      <c r="AA171" s="24" t="s">
        <v>526</v>
      </c>
      <c r="AB171" s="24" t="str">
        <f t="shared" si="18"/>
        <v>Censure haute</v>
      </c>
      <c r="AC171" s="23" t="s">
        <v>35</v>
      </c>
      <c r="AD171" s="23" t="s">
        <v>561</v>
      </c>
      <c r="AE171" s="23" t="str">
        <f t="shared" si="19"/>
        <v/>
      </c>
      <c r="AF171" s="23"/>
      <c r="AG171" s="23" t="str">
        <f t="shared" si="20"/>
        <v/>
      </c>
      <c r="AH171" s="24" t="s">
        <v>527</v>
      </c>
      <c r="AI171" s="23">
        <v>2.99</v>
      </c>
      <c r="AJ171" s="23">
        <v>6.952</v>
      </c>
      <c r="AK171" s="23">
        <v>6.7828999999999997</v>
      </c>
      <c r="AL171" s="24" t="s">
        <v>527</v>
      </c>
      <c r="AM171" s="24">
        <v>210</v>
      </c>
      <c r="AN171" s="24">
        <v>0</v>
      </c>
      <c r="AO171" s="24">
        <f>IF(ISBLANK(AM171),"",IF(AM171=92,IF(T171="Censure haute",120,""),IF(AB171="Censure haute",120,"")))</f>
        <v>120</v>
      </c>
    </row>
    <row r="172" spans="1:41" x14ac:dyDescent="0.3">
      <c r="A172" s="24" t="s">
        <v>247</v>
      </c>
      <c r="B172" s="24" t="s">
        <v>517</v>
      </c>
      <c r="C172" s="25"/>
      <c r="D172" s="26">
        <v>20.2</v>
      </c>
      <c r="E172" s="24" t="s">
        <v>521</v>
      </c>
      <c r="F172" s="27" t="s">
        <v>525</v>
      </c>
      <c r="G172" s="28">
        <v>44454</v>
      </c>
      <c r="H172" s="28">
        <v>44476</v>
      </c>
      <c r="I172" s="24">
        <v>15</v>
      </c>
      <c r="J172" s="24" t="s">
        <v>43</v>
      </c>
      <c r="K172" s="24" t="s">
        <v>526</v>
      </c>
      <c r="L172" s="24" t="str">
        <f t="shared" si="14"/>
        <v>Non testé</v>
      </c>
      <c r="M172" s="23" t="s">
        <v>44</v>
      </c>
      <c r="N172" s="23" t="str">
        <f t="shared" si="15"/>
        <v/>
      </c>
      <c r="O172" s="24" t="s">
        <v>502</v>
      </c>
      <c r="P172" s="23">
        <v>3.5</v>
      </c>
      <c r="Q172" s="29">
        <v>8.6699999999999999E-2</v>
      </c>
      <c r="R172" s="29"/>
      <c r="S172" s="24" t="s">
        <v>526</v>
      </c>
      <c r="T172" s="24" t="str">
        <f t="shared" si="16"/>
        <v>Censure haute</v>
      </c>
      <c r="U172" s="24" t="s">
        <v>35</v>
      </c>
      <c r="V172" s="24" t="str">
        <f t="shared" si="17"/>
        <v/>
      </c>
      <c r="W172" s="24" t="s">
        <v>527</v>
      </c>
      <c r="X172" s="23">
        <v>3.4529999999999998</v>
      </c>
      <c r="Y172" s="23">
        <v>5.3600000000000002E-2</v>
      </c>
      <c r="Z172" s="23"/>
      <c r="AA172" s="24" t="s">
        <v>526</v>
      </c>
      <c r="AB172" s="24" t="str">
        <f t="shared" si="18"/>
        <v>Non testé</v>
      </c>
      <c r="AC172" s="23" t="s">
        <v>44</v>
      </c>
      <c r="AD172" s="23" t="s">
        <v>561</v>
      </c>
      <c r="AE172" s="23" t="str">
        <f t="shared" si="19"/>
        <v/>
      </c>
      <c r="AF172" s="23"/>
      <c r="AG172" s="23" t="str">
        <f t="shared" si="20"/>
        <v/>
      </c>
      <c r="AH172" s="24" t="s">
        <v>502</v>
      </c>
      <c r="AI172" s="23">
        <v>2.9910000000000001</v>
      </c>
      <c r="AJ172" s="23">
        <v>2.419</v>
      </c>
      <c r="AK172" s="23"/>
      <c r="AL172" s="24" t="s">
        <v>527</v>
      </c>
      <c r="AM172" s="24">
        <v>210</v>
      </c>
      <c r="AN172" s="24">
        <v>0</v>
      </c>
      <c r="AO172" s="24" t="str">
        <f>IF(ISBLANK(AM172),"",IF(AM172=92,IF(T172="Censure haute",120,""),IF(AB172="Censure haute",120,"")))</f>
        <v/>
      </c>
    </row>
    <row r="173" spans="1:41" x14ac:dyDescent="0.3">
      <c r="A173" s="24" t="s">
        <v>248</v>
      </c>
      <c r="B173" s="24" t="s">
        <v>517</v>
      </c>
      <c r="C173" s="30"/>
      <c r="D173" s="26">
        <v>18</v>
      </c>
      <c r="E173" s="24" t="s">
        <v>521</v>
      </c>
      <c r="F173" s="27" t="s">
        <v>525</v>
      </c>
      <c r="G173" s="28">
        <v>44453</v>
      </c>
      <c r="H173" s="28">
        <v>44477</v>
      </c>
      <c r="I173" s="24">
        <v>12</v>
      </c>
      <c r="J173" s="24" t="s">
        <v>33</v>
      </c>
      <c r="K173" s="24" t="s">
        <v>526</v>
      </c>
      <c r="L173" s="24" t="str">
        <f t="shared" si="14"/>
        <v>Non testé</v>
      </c>
      <c r="M173" s="23" t="s">
        <v>44</v>
      </c>
      <c r="N173" s="23" t="str">
        <f t="shared" si="15"/>
        <v/>
      </c>
      <c r="O173" s="24" t="s">
        <v>502</v>
      </c>
      <c r="P173" s="23">
        <v>3.5</v>
      </c>
      <c r="Q173" s="29">
        <v>9.9299999999999999E-2</v>
      </c>
      <c r="R173" s="29"/>
      <c r="S173" s="24" t="s">
        <v>526</v>
      </c>
      <c r="T173" s="24" t="str">
        <f t="shared" si="16"/>
        <v>Echec technique</v>
      </c>
      <c r="U173" s="24" t="s">
        <v>44</v>
      </c>
      <c r="V173" s="24" t="str">
        <f t="shared" si="17"/>
        <v/>
      </c>
      <c r="W173" s="24" t="s">
        <v>502</v>
      </c>
      <c r="X173" s="23">
        <v>2.3149999999999999</v>
      </c>
      <c r="Y173" s="23">
        <v>0.5605</v>
      </c>
      <c r="Z173" s="23"/>
      <c r="AA173" s="24" t="s">
        <v>526</v>
      </c>
      <c r="AB173" s="24" t="str">
        <f t="shared" si="18"/>
        <v>Censure haute</v>
      </c>
      <c r="AC173" s="24" t="s">
        <v>35</v>
      </c>
      <c r="AD173" s="23" t="s">
        <v>561</v>
      </c>
      <c r="AE173" s="23" t="str">
        <f t="shared" si="19"/>
        <v/>
      </c>
      <c r="AF173" s="24"/>
      <c r="AG173" s="23" t="str">
        <f t="shared" si="20"/>
        <v/>
      </c>
      <c r="AH173" s="24" t="s">
        <v>527</v>
      </c>
      <c r="AI173" s="23">
        <v>2.9969999999999999</v>
      </c>
      <c r="AJ173" s="23">
        <v>1.2273000000000001</v>
      </c>
      <c r="AK173" s="23"/>
      <c r="AL173" s="24" t="s">
        <v>527</v>
      </c>
      <c r="AM173" s="24">
        <v>210</v>
      </c>
      <c r="AN173" s="24">
        <v>0</v>
      </c>
      <c r="AO173" s="24">
        <f>IF(ISBLANK(AM173),"",IF(AM173=92,IF(T173="Censure haute",120,""),IF(AB173="Censure haute",120,"")))</f>
        <v>120</v>
      </c>
    </row>
    <row r="174" spans="1:41" x14ac:dyDescent="0.3">
      <c r="A174" s="24" t="s">
        <v>249</v>
      </c>
      <c r="B174" s="24" t="s">
        <v>516</v>
      </c>
      <c r="C174" s="25" t="s">
        <v>519</v>
      </c>
      <c r="D174" s="26">
        <v>23.8</v>
      </c>
      <c r="E174" s="24" t="s">
        <v>520</v>
      </c>
      <c r="F174" s="27" t="s">
        <v>525</v>
      </c>
      <c r="G174" s="28">
        <v>44453</v>
      </c>
      <c r="H174" s="28">
        <v>44477</v>
      </c>
      <c r="I174" s="24">
        <v>12</v>
      </c>
      <c r="J174" s="24" t="s">
        <v>33</v>
      </c>
      <c r="K174" s="24" t="s">
        <v>527</v>
      </c>
      <c r="L174" s="24" t="str">
        <f t="shared" si="14"/>
        <v>Non testé</v>
      </c>
      <c r="M174" s="23" t="s">
        <v>44</v>
      </c>
      <c r="N174" s="23" t="str">
        <f t="shared" si="15"/>
        <v/>
      </c>
      <c r="O174" s="24" t="s">
        <v>502</v>
      </c>
      <c r="P174" s="23">
        <v>3.5</v>
      </c>
      <c r="Q174" s="23">
        <v>1.296</v>
      </c>
      <c r="R174" s="23"/>
      <c r="S174" s="23" t="s">
        <v>527</v>
      </c>
      <c r="T174" s="24" t="str">
        <f t="shared" si="16"/>
        <v>Censure haute</v>
      </c>
      <c r="U174" s="24" t="s">
        <v>35</v>
      </c>
      <c r="V174" s="24" t="str">
        <f t="shared" si="17"/>
        <v/>
      </c>
      <c r="W174" s="24" t="s">
        <v>527</v>
      </c>
      <c r="X174" s="23">
        <v>3.5</v>
      </c>
      <c r="Y174" s="23">
        <v>0.8</v>
      </c>
      <c r="Z174" s="23"/>
      <c r="AA174" s="24" t="s">
        <v>526</v>
      </c>
      <c r="AB174" s="24" t="str">
        <f t="shared" si="18"/>
        <v>Censure haute</v>
      </c>
      <c r="AC174" s="23" t="s">
        <v>35</v>
      </c>
      <c r="AD174" s="23" t="s">
        <v>561</v>
      </c>
      <c r="AE174" s="23" t="str">
        <f t="shared" si="19"/>
        <v/>
      </c>
      <c r="AF174" s="23"/>
      <c r="AG174" s="23" t="str">
        <f t="shared" si="20"/>
        <v/>
      </c>
      <c r="AH174" s="24" t="s">
        <v>527</v>
      </c>
      <c r="AI174" s="23">
        <v>3</v>
      </c>
      <c r="AJ174" s="23">
        <v>6.1169000000000002</v>
      </c>
      <c r="AK174" s="23"/>
      <c r="AL174" s="24" t="s">
        <v>527</v>
      </c>
      <c r="AM174" s="24">
        <v>210</v>
      </c>
      <c r="AN174" s="24">
        <v>0</v>
      </c>
      <c r="AO174" s="24">
        <f>IF(ISBLANK(AM174),"",IF(AM174=92,IF(T174="Censure haute",120,""),IF(AB174="Censure haute",120,"")))</f>
        <v>120</v>
      </c>
    </row>
    <row r="175" spans="1:41" x14ac:dyDescent="0.3">
      <c r="A175" s="24" t="s">
        <v>250</v>
      </c>
      <c r="B175" s="24" t="s">
        <v>516</v>
      </c>
      <c r="C175" s="30"/>
      <c r="D175" s="26">
        <v>16.8</v>
      </c>
      <c r="E175" s="24" t="s">
        <v>521</v>
      </c>
      <c r="F175" s="27" t="s">
        <v>525</v>
      </c>
      <c r="G175" s="28">
        <v>44453</v>
      </c>
      <c r="H175" s="28">
        <v>44477</v>
      </c>
      <c r="I175" s="24">
        <v>12</v>
      </c>
      <c r="J175" s="24" t="s">
        <v>33</v>
      </c>
      <c r="K175" s="24" t="s">
        <v>526</v>
      </c>
      <c r="L175" s="24" t="str">
        <f t="shared" si="14"/>
        <v>Non testé</v>
      </c>
      <c r="M175" s="23" t="s">
        <v>44</v>
      </c>
      <c r="N175" s="23" t="str">
        <f t="shared" si="15"/>
        <v/>
      </c>
      <c r="O175" s="24" t="s">
        <v>502</v>
      </c>
      <c r="P175" s="23">
        <v>3.5</v>
      </c>
      <c r="Q175" s="29">
        <v>0.48370000000000002</v>
      </c>
      <c r="R175" s="29"/>
      <c r="S175" s="24" t="s">
        <v>526</v>
      </c>
      <c r="T175" s="24" t="str">
        <f t="shared" si="16"/>
        <v>Censure haute</v>
      </c>
      <c r="U175" s="24" t="s">
        <v>35</v>
      </c>
      <c r="V175" s="24" t="str">
        <f t="shared" si="17"/>
        <v/>
      </c>
      <c r="W175" s="24" t="s">
        <v>527</v>
      </c>
      <c r="X175" s="23">
        <v>3.294</v>
      </c>
      <c r="Y175" s="23">
        <v>0.32290000000000002</v>
      </c>
      <c r="Z175" s="23"/>
      <c r="AA175" s="24" t="s">
        <v>526</v>
      </c>
      <c r="AB175" s="24" t="str">
        <f t="shared" si="18"/>
        <v>Normal</v>
      </c>
      <c r="AC175" s="24">
        <v>76.87</v>
      </c>
      <c r="AD175" s="23">
        <v>76.87</v>
      </c>
      <c r="AE175" s="23" t="str">
        <f t="shared" si="19"/>
        <v/>
      </c>
      <c r="AF175" s="24"/>
      <c r="AG175" s="23" t="str">
        <f t="shared" si="20"/>
        <v/>
      </c>
      <c r="AH175" s="24" t="s">
        <v>527</v>
      </c>
      <c r="AI175" s="23">
        <v>3.004</v>
      </c>
      <c r="AJ175" s="23">
        <v>0.15290000000000001</v>
      </c>
      <c r="AK175" s="23"/>
      <c r="AL175" s="24" t="s">
        <v>526</v>
      </c>
      <c r="AM175" s="24">
        <v>182</v>
      </c>
      <c r="AN175" s="24">
        <v>1</v>
      </c>
      <c r="AO175" s="24" t="str">
        <f>IF(ISBLANK(AM175),"",IF(AM175=92,IF(T175="Censure haute",120,""),IF(AB175="Censure haute",120,"")))</f>
        <v/>
      </c>
    </row>
    <row r="176" spans="1:41" x14ac:dyDescent="0.3">
      <c r="A176" s="24" t="s">
        <v>251</v>
      </c>
      <c r="B176" s="24" t="s">
        <v>516</v>
      </c>
      <c r="C176" s="30"/>
      <c r="D176" s="26">
        <v>18.7</v>
      </c>
      <c r="E176" s="24" t="s">
        <v>521</v>
      </c>
      <c r="F176" s="27" t="s">
        <v>525</v>
      </c>
      <c r="G176" s="28">
        <v>44453</v>
      </c>
      <c r="H176" s="28">
        <v>44482</v>
      </c>
      <c r="I176" s="24">
        <v>15</v>
      </c>
      <c r="J176" s="24" t="s">
        <v>43</v>
      </c>
      <c r="K176" s="24" t="s">
        <v>526</v>
      </c>
      <c r="L176" s="24" t="str">
        <f t="shared" si="14"/>
        <v>Non testé</v>
      </c>
      <c r="M176" s="23" t="s">
        <v>44</v>
      </c>
      <c r="N176" s="23" t="str">
        <f t="shared" si="15"/>
        <v/>
      </c>
      <c r="O176" s="24" t="s">
        <v>502</v>
      </c>
      <c r="P176" s="23">
        <v>3.5</v>
      </c>
      <c r="Q176" s="29">
        <v>7.9799999999999996E-2</v>
      </c>
      <c r="R176" s="29"/>
      <c r="S176" s="24" t="s">
        <v>526</v>
      </c>
      <c r="T176" s="24" t="str">
        <f t="shared" si="16"/>
        <v>Censure haute</v>
      </c>
      <c r="U176" s="24" t="s">
        <v>35</v>
      </c>
      <c r="V176" s="24" t="str">
        <f t="shared" si="17"/>
        <v/>
      </c>
      <c r="W176" s="24" t="s">
        <v>527</v>
      </c>
      <c r="X176" s="23">
        <v>3.464</v>
      </c>
      <c r="Y176" s="23">
        <v>0.11210000000000001</v>
      </c>
      <c r="Z176" s="23"/>
      <c r="AA176" s="24" t="s">
        <v>526</v>
      </c>
      <c r="AB176" s="24" t="str">
        <f t="shared" si="18"/>
        <v>Non testé</v>
      </c>
      <c r="AC176" s="23" t="s">
        <v>44</v>
      </c>
      <c r="AD176" s="23" t="s">
        <v>561</v>
      </c>
      <c r="AE176" s="23" t="str">
        <f t="shared" si="19"/>
        <v/>
      </c>
      <c r="AF176" s="23"/>
      <c r="AG176" s="23" t="str">
        <f t="shared" si="20"/>
        <v/>
      </c>
      <c r="AH176" s="24" t="s">
        <v>502</v>
      </c>
      <c r="AI176" s="23">
        <v>3.004</v>
      </c>
      <c r="AJ176" s="23">
        <v>2.5806</v>
      </c>
      <c r="AK176" s="23"/>
      <c r="AL176" s="24" t="s">
        <v>527</v>
      </c>
      <c r="AM176" s="24">
        <v>210</v>
      </c>
      <c r="AN176" s="24">
        <v>0</v>
      </c>
      <c r="AO176" s="24" t="str">
        <f>IF(ISBLANK(AM176),"",IF(AM176=92,IF(T176="Censure haute",120,""),IF(AB176="Censure haute",120,"")))</f>
        <v/>
      </c>
    </row>
    <row r="177" spans="1:41" x14ac:dyDescent="0.3">
      <c r="A177" s="24" t="s">
        <v>252</v>
      </c>
      <c r="B177" s="24" t="s">
        <v>516</v>
      </c>
      <c r="C177" s="25" t="s">
        <v>519</v>
      </c>
      <c r="D177" s="26">
        <v>19.8</v>
      </c>
      <c r="E177" s="24" t="s">
        <v>521</v>
      </c>
      <c r="F177" s="27" t="s">
        <v>525</v>
      </c>
      <c r="G177" s="28">
        <v>44453</v>
      </c>
      <c r="H177" s="28">
        <v>44477</v>
      </c>
      <c r="I177" s="24">
        <v>12</v>
      </c>
      <c r="J177" s="24" t="s">
        <v>33</v>
      </c>
      <c r="K177" s="24" t="s">
        <v>526</v>
      </c>
      <c r="L177" s="24" t="str">
        <f t="shared" si="14"/>
        <v>Non testé</v>
      </c>
      <c r="M177" s="23" t="s">
        <v>44</v>
      </c>
      <c r="N177" s="23" t="str">
        <f t="shared" si="15"/>
        <v/>
      </c>
      <c r="O177" s="24" t="s">
        <v>502</v>
      </c>
      <c r="P177" s="23">
        <v>3.5</v>
      </c>
      <c r="Q177" s="29">
        <v>0.90990000000000004</v>
      </c>
      <c r="R177" s="29"/>
      <c r="S177" s="24" t="s">
        <v>527</v>
      </c>
      <c r="T177" s="24" t="str">
        <f t="shared" si="16"/>
        <v>Censure haute</v>
      </c>
      <c r="U177" s="24" t="s">
        <v>35</v>
      </c>
      <c r="V177" s="24" t="str">
        <f t="shared" si="17"/>
        <v/>
      </c>
      <c r="W177" s="24" t="s">
        <v>527</v>
      </c>
      <c r="X177" s="23">
        <v>2.9359999999999999</v>
      </c>
      <c r="Y177" s="23">
        <v>0.59409999999999996</v>
      </c>
      <c r="Z177" s="23"/>
      <c r="AA177" s="24" t="s">
        <v>526</v>
      </c>
      <c r="AB177" s="24" t="str">
        <f t="shared" si="18"/>
        <v>Censure haute</v>
      </c>
      <c r="AC177" s="23" t="s">
        <v>35</v>
      </c>
      <c r="AD177" s="23" t="s">
        <v>561</v>
      </c>
      <c r="AE177" s="23" t="str">
        <f t="shared" si="19"/>
        <v/>
      </c>
      <c r="AF177" s="23"/>
      <c r="AG177" s="23" t="str">
        <f t="shared" si="20"/>
        <v/>
      </c>
      <c r="AH177" s="24" t="s">
        <v>527</v>
      </c>
      <c r="AI177" s="23">
        <v>3.0049999999999999</v>
      </c>
      <c r="AJ177" s="23">
        <v>4.0190000000000001</v>
      </c>
      <c r="AK177" s="23"/>
      <c r="AL177" s="24" t="s">
        <v>527</v>
      </c>
      <c r="AM177" s="24">
        <v>210</v>
      </c>
      <c r="AN177" s="24">
        <v>0</v>
      </c>
      <c r="AO177" s="24">
        <f>IF(ISBLANK(AM177),"",IF(AM177=92,IF(T177="Censure haute",120,""),IF(AB177="Censure haute",120,"")))</f>
        <v>120</v>
      </c>
    </row>
    <row r="178" spans="1:41" x14ac:dyDescent="0.3">
      <c r="A178" s="24" t="s">
        <v>253</v>
      </c>
      <c r="B178" s="24" t="s">
        <v>516</v>
      </c>
      <c r="C178" s="25"/>
      <c r="D178" s="26">
        <v>24.8</v>
      </c>
      <c r="E178" s="24" t="s">
        <v>520</v>
      </c>
      <c r="F178" s="27" t="s">
        <v>525</v>
      </c>
      <c r="G178" s="28">
        <v>44453</v>
      </c>
      <c r="H178" s="28">
        <v>44477</v>
      </c>
      <c r="I178" s="24">
        <v>12</v>
      </c>
      <c r="J178" s="24" t="s">
        <v>33</v>
      </c>
      <c r="K178" s="24" t="s">
        <v>526</v>
      </c>
      <c r="L178" s="24" t="str">
        <f t="shared" si="14"/>
        <v>Non testé</v>
      </c>
      <c r="M178" s="23" t="s">
        <v>44</v>
      </c>
      <c r="N178" s="23" t="str">
        <f t="shared" si="15"/>
        <v/>
      </c>
      <c r="O178" s="24" t="s">
        <v>502</v>
      </c>
      <c r="P178" s="23">
        <v>3.5</v>
      </c>
      <c r="Q178" s="29">
        <v>0.1096</v>
      </c>
      <c r="R178" s="29"/>
      <c r="S178" s="24" t="s">
        <v>526</v>
      </c>
      <c r="T178" s="24" t="str">
        <f t="shared" si="16"/>
        <v>Normal</v>
      </c>
      <c r="U178" s="24">
        <v>99.099100000000007</v>
      </c>
      <c r="V178" s="24">
        <f t="shared" si="17"/>
        <v>99.099100000000007</v>
      </c>
      <c r="W178" s="24" t="s">
        <v>527</v>
      </c>
      <c r="X178" s="23">
        <v>3.3530000000000002</v>
      </c>
      <c r="Y178" s="23">
        <v>0.1205</v>
      </c>
      <c r="Z178" s="23"/>
      <c r="AA178" s="24" t="s">
        <v>526</v>
      </c>
      <c r="AB178" s="24" t="str">
        <f t="shared" si="18"/>
        <v>Normal</v>
      </c>
      <c r="AC178" s="23">
        <v>497696</v>
      </c>
      <c r="AD178" s="23">
        <v>49.769599999999997</v>
      </c>
      <c r="AE178" s="23" t="str">
        <f t="shared" si="19"/>
        <v/>
      </c>
      <c r="AF178" s="23"/>
      <c r="AG178" s="23" t="str">
        <f t="shared" si="20"/>
        <v/>
      </c>
      <c r="AH178" s="24" t="s">
        <v>527</v>
      </c>
      <c r="AI178" s="23">
        <v>3.008</v>
      </c>
      <c r="AJ178" s="23">
        <v>0.1211</v>
      </c>
      <c r="AK178" s="23"/>
      <c r="AL178" s="24" t="s">
        <v>526</v>
      </c>
      <c r="AM178" s="24">
        <v>92</v>
      </c>
      <c r="AN178" s="24">
        <v>1</v>
      </c>
      <c r="AO178" s="24" t="str">
        <f>IF(ISBLANK(AM178),"",IF(AM178=92,IF(T178="Censure haute",120,""),IF(AB178="Censure haute",120,"")))</f>
        <v/>
      </c>
    </row>
    <row r="179" spans="1:41" x14ac:dyDescent="0.3">
      <c r="A179" s="24" t="s">
        <v>254</v>
      </c>
      <c r="B179" s="24" t="s">
        <v>516</v>
      </c>
      <c r="C179" s="25" t="s">
        <v>518</v>
      </c>
      <c r="D179" s="26">
        <v>29.2</v>
      </c>
      <c r="E179" s="24" t="s">
        <v>522</v>
      </c>
      <c r="F179" s="27" t="s">
        <v>525</v>
      </c>
      <c r="G179" s="28">
        <v>44453</v>
      </c>
      <c r="H179" s="28">
        <v>44477</v>
      </c>
      <c r="I179" s="24">
        <v>12</v>
      </c>
      <c r="J179" s="24" t="s">
        <v>33</v>
      </c>
      <c r="K179" s="24" t="s">
        <v>527</v>
      </c>
      <c r="L179" s="24" t="str">
        <f t="shared" si="14"/>
        <v>Non testé</v>
      </c>
      <c r="M179" s="23" t="s">
        <v>44</v>
      </c>
      <c r="N179" s="23" t="str">
        <f t="shared" si="15"/>
        <v/>
      </c>
      <c r="O179" s="24" t="s">
        <v>502</v>
      </c>
      <c r="P179" s="23">
        <v>3.5</v>
      </c>
      <c r="Q179" s="29">
        <v>1.1384000000000001</v>
      </c>
      <c r="R179" s="29"/>
      <c r="S179" s="24" t="s">
        <v>527</v>
      </c>
      <c r="T179" s="24" t="str">
        <f t="shared" si="16"/>
        <v>Censure haute</v>
      </c>
      <c r="U179" s="24" t="s">
        <v>35</v>
      </c>
      <c r="V179" s="24" t="str">
        <f t="shared" si="17"/>
        <v/>
      </c>
      <c r="W179" s="24" t="s">
        <v>527</v>
      </c>
      <c r="X179" s="23">
        <v>3.3420000000000001</v>
      </c>
      <c r="Y179" s="23">
        <v>0.81169999999999998</v>
      </c>
      <c r="Z179" s="23"/>
      <c r="AA179" s="24" t="s">
        <v>526</v>
      </c>
      <c r="AB179" s="24" t="str">
        <f t="shared" si="18"/>
        <v>Censure haute</v>
      </c>
      <c r="AC179" s="23" t="s">
        <v>35</v>
      </c>
      <c r="AD179" s="23" t="s">
        <v>561</v>
      </c>
      <c r="AE179" s="23" t="str">
        <f t="shared" si="19"/>
        <v/>
      </c>
      <c r="AF179" s="23"/>
      <c r="AG179" s="23" t="str">
        <f t="shared" si="20"/>
        <v/>
      </c>
      <c r="AH179" s="24" t="s">
        <v>527</v>
      </c>
      <c r="AI179" s="23">
        <v>3.0110000000000001</v>
      </c>
      <c r="AJ179" s="23">
        <v>0.39460000000000001</v>
      </c>
      <c r="AK179" s="23"/>
      <c r="AL179" s="24" t="s">
        <v>526</v>
      </c>
      <c r="AM179" s="24">
        <v>210</v>
      </c>
      <c r="AN179" s="24">
        <v>0</v>
      </c>
      <c r="AO179" s="24">
        <f>IF(ISBLANK(AM179),"",IF(AM179=92,IF(T179="Censure haute",120,""),IF(AB179="Censure haute",120,"")))</f>
        <v>120</v>
      </c>
    </row>
    <row r="180" spans="1:41" x14ac:dyDescent="0.3">
      <c r="A180" s="24" t="s">
        <v>255</v>
      </c>
      <c r="B180" s="24" t="s">
        <v>516</v>
      </c>
      <c r="C180" s="25"/>
      <c r="D180" s="26">
        <v>31.9</v>
      </c>
      <c r="E180" s="24" t="s">
        <v>522</v>
      </c>
      <c r="F180" s="27" t="s">
        <v>525</v>
      </c>
      <c r="G180" s="28">
        <v>44454</v>
      </c>
      <c r="H180" s="28">
        <v>44476</v>
      </c>
      <c r="I180" s="24">
        <v>15</v>
      </c>
      <c r="J180" s="24" t="s">
        <v>43</v>
      </c>
      <c r="K180" s="24" t="s">
        <v>527</v>
      </c>
      <c r="L180" s="24" t="str">
        <f t="shared" si="14"/>
        <v>Non testé</v>
      </c>
      <c r="M180" s="23" t="s">
        <v>44</v>
      </c>
      <c r="N180" s="23" t="str">
        <f t="shared" si="15"/>
        <v/>
      </c>
      <c r="O180" s="24" t="s">
        <v>502</v>
      </c>
      <c r="P180" s="23">
        <v>3.5</v>
      </c>
      <c r="Q180" s="29">
        <v>2.7622</v>
      </c>
      <c r="R180" s="29"/>
      <c r="S180" s="24" t="s">
        <v>527</v>
      </c>
      <c r="T180" s="24" t="str">
        <f t="shared" si="16"/>
        <v>Censure haute</v>
      </c>
      <c r="U180" s="24" t="s">
        <v>35</v>
      </c>
      <c r="V180" s="24" t="str">
        <f t="shared" si="17"/>
        <v/>
      </c>
      <c r="W180" s="24" t="s">
        <v>527</v>
      </c>
      <c r="X180" s="23">
        <v>3.1930000000000001</v>
      </c>
      <c r="Y180" s="23">
        <v>6.9573999999999998</v>
      </c>
      <c r="Z180" s="23"/>
      <c r="AA180" s="24" t="s">
        <v>527</v>
      </c>
      <c r="AB180" s="24" t="str">
        <f t="shared" si="18"/>
        <v>Censure haute</v>
      </c>
      <c r="AC180" s="23" t="s">
        <v>35</v>
      </c>
      <c r="AD180" s="23" t="s">
        <v>561</v>
      </c>
      <c r="AE180" s="23" t="str">
        <f t="shared" si="19"/>
        <v/>
      </c>
      <c r="AF180" s="23"/>
      <c r="AG180" s="23" t="str">
        <f t="shared" si="20"/>
        <v/>
      </c>
      <c r="AH180" s="24" t="s">
        <v>527</v>
      </c>
      <c r="AI180" s="23">
        <v>3.03</v>
      </c>
      <c r="AJ180" s="23">
        <v>4.2954999999999997</v>
      </c>
      <c r="AK180" s="23"/>
      <c r="AL180" s="24" t="s">
        <v>527</v>
      </c>
      <c r="AM180" s="24"/>
      <c r="AN180" s="24"/>
      <c r="AO180" s="24" t="str">
        <f>IF(ISBLANK(AM180),"",IF(AM180=92,IF(T180="Censure haute",120,""),IF(AB180="Censure haute",120,"")))</f>
        <v/>
      </c>
    </row>
    <row r="181" spans="1:41" x14ac:dyDescent="0.3">
      <c r="A181" s="24" t="s">
        <v>256</v>
      </c>
      <c r="B181" s="24" t="s">
        <v>517</v>
      </c>
      <c r="C181" s="30" t="s">
        <v>518</v>
      </c>
      <c r="D181" s="26">
        <v>27.5</v>
      </c>
      <c r="E181" s="24" t="s">
        <v>522</v>
      </c>
      <c r="F181" s="27" t="s">
        <v>525</v>
      </c>
      <c r="G181" s="28">
        <v>44453</v>
      </c>
      <c r="H181" s="28">
        <v>44476</v>
      </c>
      <c r="I181" s="24">
        <v>15</v>
      </c>
      <c r="J181" s="24" t="s">
        <v>43</v>
      </c>
      <c r="K181" s="24" t="s">
        <v>526</v>
      </c>
      <c r="L181" s="24" t="str">
        <f t="shared" si="14"/>
        <v>Non testé</v>
      </c>
      <c r="M181" s="23" t="s">
        <v>44</v>
      </c>
      <c r="N181" s="23" t="str">
        <f t="shared" si="15"/>
        <v/>
      </c>
      <c r="O181" s="24" t="s">
        <v>502</v>
      </c>
      <c r="P181" s="23">
        <v>3.5</v>
      </c>
      <c r="Q181" s="29">
        <v>0.79479999999999995</v>
      </c>
      <c r="R181" s="29"/>
      <c r="S181" s="24" t="s">
        <v>526</v>
      </c>
      <c r="T181" s="24" t="str">
        <f t="shared" si="16"/>
        <v>Censure haute</v>
      </c>
      <c r="U181" s="24" t="s">
        <v>35</v>
      </c>
      <c r="V181" s="24" t="str">
        <f t="shared" si="17"/>
        <v/>
      </c>
      <c r="W181" s="24" t="s">
        <v>527</v>
      </c>
      <c r="X181" s="23">
        <v>3.419</v>
      </c>
      <c r="Y181" s="23">
        <v>0.65249999999999997</v>
      </c>
      <c r="Z181" s="23"/>
      <c r="AA181" s="24" t="s">
        <v>526</v>
      </c>
      <c r="AB181" s="24" t="str">
        <f t="shared" si="18"/>
        <v>Censure haute</v>
      </c>
      <c r="AC181" s="23" t="s">
        <v>35</v>
      </c>
      <c r="AD181" s="23" t="s">
        <v>561</v>
      </c>
      <c r="AE181" s="23" t="str">
        <f t="shared" si="19"/>
        <v/>
      </c>
      <c r="AF181" s="23"/>
      <c r="AG181" s="23" t="str">
        <f t="shared" si="20"/>
        <v/>
      </c>
      <c r="AH181" s="24" t="s">
        <v>527</v>
      </c>
      <c r="AI181" s="23">
        <v>3.052</v>
      </c>
      <c r="AJ181" s="23">
        <v>2.1507999999999998</v>
      </c>
      <c r="AK181" s="23"/>
      <c r="AL181" s="24" t="s">
        <v>527</v>
      </c>
      <c r="AM181" s="24">
        <v>210</v>
      </c>
      <c r="AN181" s="24">
        <v>0</v>
      </c>
      <c r="AO181" s="24">
        <f>IF(ISBLANK(AM181),"",IF(AM181=92,IF(T181="Censure haute",120,""),IF(AB181="Censure haute",120,"")))</f>
        <v>120</v>
      </c>
    </row>
    <row r="182" spans="1:41" x14ac:dyDescent="0.3">
      <c r="A182" s="24" t="s">
        <v>257</v>
      </c>
      <c r="B182" s="24" t="s">
        <v>516</v>
      </c>
      <c r="C182" s="25"/>
      <c r="D182" s="26">
        <v>15.8</v>
      </c>
      <c r="E182" s="24" t="s">
        <v>523</v>
      </c>
      <c r="F182" s="27" t="s">
        <v>525</v>
      </c>
      <c r="G182" s="28">
        <v>44454</v>
      </c>
      <c r="H182" s="28">
        <v>44476</v>
      </c>
      <c r="I182" s="24">
        <v>15</v>
      </c>
      <c r="J182" s="24" t="s">
        <v>43</v>
      </c>
      <c r="K182" s="24" t="s">
        <v>527</v>
      </c>
      <c r="L182" s="24" t="str">
        <f t="shared" si="14"/>
        <v>Non testé</v>
      </c>
      <c r="M182" s="23" t="s">
        <v>44</v>
      </c>
      <c r="N182" s="23" t="str">
        <f t="shared" si="15"/>
        <v/>
      </c>
      <c r="O182" s="24" t="s">
        <v>502</v>
      </c>
      <c r="P182" s="23">
        <v>3.5</v>
      </c>
      <c r="Q182" s="29">
        <v>0.1633</v>
      </c>
      <c r="R182" s="29"/>
      <c r="S182" s="24" t="s">
        <v>526</v>
      </c>
      <c r="T182" s="24" t="str">
        <f t="shared" si="16"/>
        <v>Echec technique</v>
      </c>
      <c r="U182" s="24" t="s">
        <v>44</v>
      </c>
      <c r="V182" s="24" t="str">
        <f t="shared" si="17"/>
        <v/>
      </c>
      <c r="W182" s="24" t="s">
        <v>502</v>
      </c>
      <c r="X182" s="23">
        <v>3.5</v>
      </c>
      <c r="Y182" s="23">
        <v>1.9554</v>
      </c>
      <c r="Z182" s="23"/>
      <c r="AA182" s="24" t="s">
        <v>526</v>
      </c>
      <c r="AB182" s="24" t="str">
        <f t="shared" si="18"/>
        <v>Non testé</v>
      </c>
      <c r="AC182" s="23" t="s">
        <v>44</v>
      </c>
      <c r="AD182" s="23" t="s">
        <v>561</v>
      </c>
      <c r="AE182" s="23" t="str">
        <f t="shared" si="19"/>
        <v/>
      </c>
      <c r="AF182" s="23"/>
      <c r="AG182" s="23" t="str">
        <f t="shared" si="20"/>
        <v/>
      </c>
      <c r="AH182" s="24" t="s">
        <v>502</v>
      </c>
      <c r="AI182" s="23">
        <v>3.0539999999999998</v>
      </c>
      <c r="AJ182" s="23">
        <v>0.85170000000000001</v>
      </c>
      <c r="AK182" s="23"/>
      <c r="AL182" s="24" t="s">
        <v>526</v>
      </c>
      <c r="AM182" s="24">
        <v>210</v>
      </c>
      <c r="AN182" s="24">
        <v>0</v>
      </c>
      <c r="AO182" s="24" t="str">
        <f>IF(ISBLANK(AM182),"",IF(AM182=92,IF(T182="Censure haute",120,""),IF(AB182="Censure haute",120,"")))</f>
        <v/>
      </c>
    </row>
    <row r="183" spans="1:41" x14ac:dyDescent="0.3">
      <c r="A183" s="24" t="s">
        <v>258</v>
      </c>
      <c r="B183" s="24" t="s">
        <v>516</v>
      </c>
      <c r="C183" s="25" t="s">
        <v>518</v>
      </c>
      <c r="D183" s="26">
        <v>16.100000000000001</v>
      </c>
      <c r="E183" s="24" t="s">
        <v>521</v>
      </c>
      <c r="F183" s="27" t="s">
        <v>525</v>
      </c>
      <c r="G183" s="28">
        <v>44453</v>
      </c>
      <c r="H183" s="28">
        <v>44477</v>
      </c>
      <c r="I183" s="24">
        <v>12</v>
      </c>
      <c r="J183" s="24" t="s">
        <v>33</v>
      </c>
      <c r="K183" s="24" t="s">
        <v>526</v>
      </c>
      <c r="L183" s="24" t="str">
        <f t="shared" si="14"/>
        <v>Non testé</v>
      </c>
      <c r="M183" s="23" t="s">
        <v>44</v>
      </c>
      <c r="N183" s="23" t="str">
        <f t="shared" si="15"/>
        <v/>
      </c>
      <c r="O183" s="24" t="s">
        <v>502</v>
      </c>
      <c r="P183" s="23">
        <v>3.5</v>
      </c>
      <c r="Q183" s="29">
        <v>2.222</v>
      </c>
      <c r="R183" s="29"/>
      <c r="S183" s="24" t="s">
        <v>527</v>
      </c>
      <c r="T183" s="24" t="str">
        <f t="shared" si="16"/>
        <v>Echec technique</v>
      </c>
      <c r="U183" s="24" t="s">
        <v>44</v>
      </c>
      <c r="V183" s="24" t="str">
        <f t="shared" si="17"/>
        <v/>
      </c>
      <c r="W183" s="24" t="s">
        <v>502</v>
      </c>
      <c r="X183" s="23">
        <v>3.105</v>
      </c>
      <c r="Y183" s="23">
        <v>1.4614</v>
      </c>
      <c r="Z183" s="23"/>
      <c r="AA183" s="24" t="s">
        <v>527</v>
      </c>
      <c r="AB183" s="24" t="str">
        <f t="shared" si="18"/>
        <v>Censure haute</v>
      </c>
      <c r="AC183" s="23" t="s">
        <v>35</v>
      </c>
      <c r="AD183" s="23" t="s">
        <v>561</v>
      </c>
      <c r="AE183" s="23" t="str">
        <f t="shared" si="19"/>
        <v/>
      </c>
      <c r="AF183" s="23"/>
      <c r="AG183" s="23" t="str">
        <f t="shared" si="20"/>
        <v/>
      </c>
      <c r="AH183" s="24" t="s">
        <v>527</v>
      </c>
      <c r="AI183" s="23">
        <v>3.0569999999999999</v>
      </c>
      <c r="AJ183" s="23">
        <v>0.94059999999999999</v>
      </c>
      <c r="AK183" s="23"/>
      <c r="AL183" s="24" t="s">
        <v>526</v>
      </c>
      <c r="AM183" s="24">
        <v>210</v>
      </c>
      <c r="AN183" s="24">
        <v>0</v>
      </c>
      <c r="AO183" s="24">
        <f>IF(ISBLANK(AM183),"",IF(AM183=92,IF(T183="Censure haute",120,""),IF(AB183="Censure haute",120,"")))</f>
        <v>120</v>
      </c>
    </row>
    <row r="184" spans="1:41" x14ac:dyDescent="0.3">
      <c r="A184" s="24" t="s">
        <v>259</v>
      </c>
      <c r="B184" s="24" t="s">
        <v>516</v>
      </c>
      <c r="C184" s="25"/>
      <c r="D184" s="26">
        <v>17.8</v>
      </c>
      <c r="E184" s="24" t="s">
        <v>521</v>
      </c>
      <c r="F184" s="27" t="s">
        <v>525</v>
      </c>
      <c r="G184" s="28">
        <v>44454</v>
      </c>
      <c r="H184" s="28">
        <v>44476</v>
      </c>
      <c r="I184" s="24">
        <v>15</v>
      </c>
      <c r="J184" s="24" t="s">
        <v>43</v>
      </c>
      <c r="K184" s="24" t="s">
        <v>526</v>
      </c>
      <c r="L184" s="24" t="str">
        <f t="shared" si="14"/>
        <v>Non testé</v>
      </c>
      <c r="M184" s="23" t="s">
        <v>44</v>
      </c>
      <c r="N184" s="23" t="str">
        <f t="shared" si="15"/>
        <v/>
      </c>
      <c r="O184" s="24" t="s">
        <v>502</v>
      </c>
      <c r="P184" s="23">
        <v>3.5</v>
      </c>
      <c r="Q184" s="29">
        <v>0.45639999999999997</v>
      </c>
      <c r="R184" s="29"/>
      <c r="S184" s="24" t="s">
        <v>526</v>
      </c>
      <c r="T184" s="24" t="str">
        <f t="shared" si="16"/>
        <v>Censure haute</v>
      </c>
      <c r="U184" s="24" t="s">
        <v>35</v>
      </c>
      <c r="V184" s="24" t="str">
        <f t="shared" si="17"/>
        <v/>
      </c>
      <c r="W184" s="24" t="s">
        <v>527</v>
      </c>
      <c r="X184" s="23">
        <v>3.5</v>
      </c>
      <c r="Y184" s="23">
        <v>6.0067000000000004</v>
      </c>
      <c r="Z184" s="23"/>
      <c r="AA184" s="24" t="s">
        <v>527</v>
      </c>
      <c r="AB184" s="24" t="str">
        <f t="shared" si="18"/>
        <v>Censure haute</v>
      </c>
      <c r="AC184" s="23" t="s">
        <v>35</v>
      </c>
      <c r="AD184" s="23" t="s">
        <v>561</v>
      </c>
      <c r="AE184" s="23" t="str">
        <f t="shared" si="19"/>
        <v/>
      </c>
      <c r="AF184" s="23"/>
      <c r="AG184" s="23" t="str">
        <f t="shared" si="20"/>
        <v/>
      </c>
      <c r="AH184" s="24" t="s">
        <v>527</v>
      </c>
      <c r="AI184" s="23">
        <v>3.0630000000000002</v>
      </c>
      <c r="AJ184" s="23">
        <v>1.9759</v>
      </c>
      <c r="AK184" s="23"/>
      <c r="AL184" s="24" t="s">
        <v>527</v>
      </c>
      <c r="AM184" s="24">
        <v>210</v>
      </c>
      <c r="AN184" s="24">
        <v>0</v>
      </c>
      <c r="AO184" s="24">
        <f>IF(ISBLANK(AM184),"",IF(AM184=92,IF(T184="Censure haute",120,""),IF(AB184="Censure haute",120,"")))</f>
        <v>120</v>
      </c>
    </row>
    <row r="185" spans="1:41" x14ac:dyDescent="0.3">
      <c r="A185" s="24" t="s">
        <v>260</v>
      </c>
      <c r="B185" s="24" t="s">
        <v>517</v>
      </c>
      <c r="C185" s="25" t="s">
        <v>518</v>
      </c>
      <c r="D185" s="26">
        <v>19.2</v>
      </c>
      <c r="E185" s="24" t="s">
        <v>521</v>
      </c>
      <c r="F185" s="27" t="s">
        <v>525</v>
      </c>
      <c r="G185" s="28">
        <v>44453</v>
      </c>
      <c r="H185" s="28">
        <v>44477</v>
      </c>
      <c r="I185" s="24">
        <v>11</v>
      </c>
      <c r="J185" s="24" t="s">
        <v>33</v>
      </c>
      <c r="K185" s="24" t="s">
        <v>526</v>
      </c>
      <c r="L185" s="24" t="str">
        <f t="shared" si="14"/>
        <v>Non testé</v>
      </c>
      <c r="M185" s="23" t="s">
        <v>44</v>
      </c>
      <c r="N185" s="23" t="str">
        <f t="shared" si="15"/>
        <v/>
      </c>
      <c r="O185" s="24" t="s">
        <v>502</v>
      </c>
      <c r="P185" s="23">
        <v>3.5</v>
      </c>
      <c r="Q185" s="29">
        <v>2.1173000000000002</v>
      </c>
      <c r="R185" s="29"/>
      <c r="S185" s="24" t="s">
        <v>527</v>
      </c>
      <c r="T185" s="24" t="str">
        <f t="shared" si="16"/>
        <v>Echec technique</v>
      </c>
      <c r="U185" s="24" t="s">
        <v>44</v>
      </c>
      <c r="V185" s="24" t="str">
        <f t="shared" si="17"/>
        <v/>
      </c>
      <c r="W185" s="24" t="s">
        <v>502</v>
      </c>
      <c r="X185" s="23">
        <v>3.5</v>
      </c>
      <c r="Y185" s="23">
        <v>1.9095</v>
      </c>
      <c r="Z185" s="23"/>
      <c r="AA185" s="24" t="s">
        <v>527</v>
      </c>
      <c r="AB185" s="24" t="str">
        <f t="shared" si="18"/>
        <v>Non testé</v>
      </c>
      <c r="AC185" s="23" t="s">
        <v>44</v>
      </c>
      <c r="AD185" s="23" t="s">
        <v>561</v>
      </c>
      <c r="AE185" s="23" t="str">
        <f t="shared" si="19"/>
        <v/>
      </c>
      <c r="AF185" s="23"/>
      <c r="AG185" s="23" t="str">
        <f t="shared" si="20"/>
        <v/>
      </c>
      <c r="AH185" s="24" t="s">
        <v>502</v>
      </c>
      <c r="AI185" s="23">
        <v>3.089</v>
      </c>
      <c r="AJ185" s="23">
        <v>7.0434000000000001</v>
      </c>
      <c r="AK185" s="23">
        <v>7.1736000000000004</v>
      </c>
      <c r="AL185" s="24" t="s">
        <v>527</v>
      </c>
      <c r="AM185" s="24">
        <v>210</v>
      </c>
      <c r="AN185" s="24">
        <v>0</v>
      </c>
      <c r="AO185" s="24" t="str">
        <f>IF(ISBLANK(AM185),"",IF(AM185=92,IF(T185="Censure haute",120,""),IF(AB185="Censure haute",120,"")))</f>
        <v/>
      </c>
    </row>
    <row r="186" spans="1:41" x14ac:dyDescent="0.3">
      <c r="A186" s="24" t="s">
        <v>262</v>
      </c>
      <c r="B186" s="24" t="s">
        <v>516</v>
      </c>
      <c r="C186" s="30" t="s">
        <v>518</v>
      </c>
      <c r="D186" s="26">
        <v>25.9</v>
      </c>
      <c r="E186" s="24" t="s">
        <v>522</v>
      </c>
      <c r="F186" s="27" t="s">
        <v>525</v>
      </c>
      <c r="G186" s="28">
        <v>44453</v>
      </c>
      <c r="H186" s="28">
        <v>44504</v>
      </c>
      <c r="I186" s="24">
        <v>12</v>
      </c>
      <c r="J186" s="24" t="s">
        <v>33</v>
      </c>
      <c r="K186" s="24" t="s">
        <v>526</v>
      </c>
      <c r="L186" s="24" t="str">
        <f t="shared" si="14"/>
        <v>Non testé</v>
      </c>
      <c r="M186" s="23" t="s">
        <v>44</v>
      </c>
      <c r="N186" s="23" t="str">
        <f t="shared" si="15"/>
        <v/>
      </c>
      <c r="O186" s="24" t="s">
        <v>502</v>
      </c>
      <c r="P186" s="23">
        <v>3.5</v>
      </c>
      <c r="Q186" s="29">
        <v>9.1200000000000003E-2</v>
      </c>
      <c r="R186" s="29"/>
      <c r="S186" s="24" t="s">
        <v>526</v>
      </c>
      <c r="T186" s="24" t="str">
        <f t="shared" si="16"/>
        <v>Echec technique</v>
      </c>
      <c r="U186" s="24" t="s">
        <v>44</v>
      </c>
      <c r="V186" s="24" t="str">
        <f t="shared" si="17"/>
        <v/>
      </c>
      <c r="W186" s="24" t="s">
        <v>502</v>
      </c>
      <c r="X186" s="23">
        <v>3.5</v>
      </c>
      <c r="Y186" s="23">
        <v>2.3094000000000001</v>
      </c>
      <c r="Z186" s="23"/>
      <c r="AA186" s="24" t="s">
        <v>527</v>
      </c>
      <c r="AB186" s="24" t="str">
        <f t="shared" si="18"/>
        <v>Censure haute</v>
      </c>
      <c r="AC186" s="23" t="s">
        <v>35</v>
      </c>
      <c r="AD186" s="23" t="s">
        <v>561</v>
      </c>
      <c r="AE186" s="23" t="str">
        <f t="shared" si="19"/>
        <v/>
      </c>
      <c r="AF186" s="23"/>
      <c r="AG186" s="23" t="str">
        <f t="shared" si="20"/>
        <v/>
      </c>
      <c r="AH186" s="24" t="s">
        <v>527</v>
      </c>
      <c r="AI186" s="23">
        <v>3.0910000000000002</v>
      </c>
      <c r="AJ186" s="23">
        <v>0.70040000000000002</v>
      </c>
      <c r="AK186" s="23"/>
      <c r="AL186" s="24" t="s">
        <v>526</v>
      </c>
      <c r="AM186" s="24">
        <v>210</v>
      </c>
      <c r="AN186" s="24">
        <v>0</v>
      </c>
      <c r="AO186" s="24">
        <f>IF(ISBLANK(AM186),"",IF(AM186=92,IF(T186="Censure haute",120,""),IF(AB186="Censure haute",120,"")))</f>
        <v>120</v>
      </c>
    </row>
    <row r="187" spans="1:41" x14ac:dyDescent="0.3">
      <c r="A187" s="24" t="s">
        <v>263</v>
      </c>
      <c r="B187" s="24" t="s">
        <v>517</v>
      </c>
      <c r="C187" s="25"/>
      <c r="D187" s="26">
        <v>15.5</v>
      </c>
      <c r="E187" s="24" t="s">
        <v>523</v>
      </c>
      <c r="F187" s="27" t="s">
        <v>525</v>
      </c>
      <c r="G187" s="28">
        <v>44453</v>
      </c>
      <c r="H187" s="28">
        <v>44477</v>
      </c>
      <c r="I187" s="24">
        <v>14</v>
      </c>
      <c r="J187" s="24" t="s">
        <v>43</v>
      </c>
      <c r="K187" s="24" t="s">
        <v>526</v>
      </c>
      <c r="L187" s="24" t="str">
        <f t="shared" si="14"/>
        <v>Non testé</v>
      </c>
      <c r="M187" s="23" t="s">
        <v>44</v>
      </c>
      <c r="N187" s="23" t="str">
        <f t="shared" si="15"/>
        <v/>
      </c>
      <c r="O187" s="24" t="s">
        <v>502</v>
      </c>
      <c r="P187" s="23">
        <v>3.5</v>
      </c>
      <c r="Q187" s="29">
        <v>0.54949999999999999</v>
      </c>
      <c r="R187" s="29"/>
      <c r="S187" s="24" t="s">
        <v>526</v>
      </c>
      <c r="T187" s="24" t="str">
        <f t="shared" si="16"/>
        <v>Censure haute</v>
      </c>
      <c r="U187" s="24" t="s">
        <v>35</v>
      </c>
      <c r="V187" s="24" t="str">
        <f t="shared" si="17"/>
        <v/>
      </c>
      <c r="W187" s="24" t="s">
        <v>527</v>
      </c>
      <c r="X187" s="23">
        <v>3.3879999999999999</v>
      </c>
      <c r="Y187" s="23">
        <v>5.2141000000000002</v>
      </c>
      <c r="Z187" s="23"/>
      <c r="AA187" s="24" t="s">
        <v>527</v>
      </c>
      <c r="AB187" s="24" t="str">
        <f t="shared" si="18"/>
        <v>Censure haute</v>
      </c>
      <c r="AC187" s="23" t="s">
        <v>35</v>
      </c>
      <c r="AD187" s="23" t="s">
        <v>561</v>
      </c>
      <c r="AE187" s="23" t="str">
        <f t="shared" si="19"/>
        <v/>
      </c>
      <c r="AF187" s="23"/>
      <c r="AG187" s="23" t="str">
        <f t="shared" si="20"/>
        <v/>
      </c>
      <c r="AH187" s="24" t="s">
        <v>527</v>
      </c>
      <c r="AI187" s="23">
        <v>3.1030000000000002</v>
      </c>
      <c r="AJ187" s="23">
        <v>2.4384999999999999</v>
      </c>
      <c r="AK187" s="23"/>
      <c r="AL187" s="24" t="s">
        <v>527</v>
      </c>
      <c r="AM187" s="24"/>
      <c r="AN187" s="24"/>
      <c r="AO187" s="24" t="str">
        <f>IF(ISBLANK(AM187),"",IF(AM187=92,IF(T187="Censure haute",120,""),IF(AB187="Censure haute",120,"")))</f>
        <v/>
      </c>
    </row>
    <row r="188" spans="1:41" x14ac:dyDescent="0.3">
      <c r="A188" s="24" t="s">
        <v>264</v>
      </c>
      <c r="B188" s="24" t="s">
        <v>516</v>
      </c>
      <c r="C188" s="25" t="s">
        <v>518</v>
      </c>
      <c r="D188" s="26">
        <v>23.1</v>
      </c>
      <c r="E188" s="24" t="s">
        <v>520</v>
      </c>
      <c r="F188" s="27" t="s">
        <v>525</v>
      </c>
      <c r="G188" s="28">
        <v>44453</v>
      </c>
      <c r="H188" s="28">
        <v>44477</v>
      </c>
      <c r="I188" s="24">
        <v>12</v>
      </c>
      <c r="J188" s="24" t="s">
        <v>33</v>
      </c>
      <c r="K188" s="24" t="s">
        <v>527</v>
      </c>
      <c r="L188" s="24" t="str">
        <f t="shared" si="14"/>
        <v>Non testé</v>
      </c>
      <c r="M188" s="23" t="s">
        <v>44</v>
      </c>
      <c r="N188" s="23" t="str">
        <f t="shared" si="15"/>
        <v/>
      </c>
      <c r="O188" s="24" t="s">
        <v>502</v>
      </c>
      <c r="P188" s="23">
        <v>3.5</v>
      </c>
      <c r="Q188" s="29">
        <v>1.0403</v>
      </c>
      <c r="R188" s="29"/>
      <c r="S188" s="24" t="s">
        <v>526</v>
      </c>
      <c r="T188" s="24" t="str">
        <f t="shared" si="16"/>
        <v>Normal</v>
      </c>
      <c r="U188" s="24">
        <v>5.2971000000000004</v>
      </c>
      <c r="V188" s="24">
        <f t="shared" si="17"/>
        <v>5.2971000000000004</v>
      </c>
      <c r="W188" s="24" t="s">
        <v>526</v>
      </c>
      <c r="X188" s="23">
        <v>3.4660000000000002</v>
      </c>
      <c r="Y188" s="23">
        <v>0.40210000000000001</v>
      </c>
      <c r="Z188" s="23"/>
      <c r="AA188" s="24" t="s">
        <v>526</v>
      </c>
      <c r="AB188" s="24" t="str">
        <f t="shared" si="18"/>
        <v>Normal</v>
      </c>
      <c r="AC188" s="23">
        <v>579263</v>
      </c>
      <c r="AD188" s="23">
        <v>57.926299999999998</v>
      </c>
      <c r="AE188" s="23" t="str">
        <f t="shared" si="19"/>
        <v/>
      </c>
      <c r="AF188" s="23"/>
      <c r="AG188" s="23" t="str">
        <f t="shared" si="20"/>
        <v/>
      </c>
      <c r="AH188" s="24" t="s">
        <v>527</v>
      </c>
      <c r="AI188" s="23">
        <v>3.109</v>
      </c>
      <c r="AJ188" s="23">
        <v>2.8809999999999998</v>
      </c>
      <c r="AK188" s="23"/>
      <c r="AL188" s="24" t="s">
        <v>527</v>
      </c>
      <c r="AM188" s="24"/>
      <c r="AN188" s="24"/>
      <c r="AO188" s="24" t="str">
        <f>IF(ISBLANK(AM188),"",IF(AM188=92,IF(T188="Censure haute",120,""),IF(AB188="Censure haute",120,"")))</f>
        <v/>
      </c>
    </row>
    <row r="189" spans="1:41" x14ac:dyDescent="0.3">
      <c r="A189" s="24" t="s">
        <v>265</v>
      </c>
      <c r="B189" s="24" t="s">
        <v>517</v>
      </c>
      <c r="C189" s="30"/>
      <c r="D189" s="26">
        <v>16.7</v>
      </c>
      <c r="E189" s="24" t="s">
        <v>521</v>
      </c>
      <c r="F189" s="27" t="s">
        <v>525</v>
      </c>
      <c r="G189" s="28">
        <v>44453</v>
      </c>
      <c r="H189" s="28">
        <v>44477</v>
      </c>
      <c r="I189" s="24">
        <v>12</v>
      </c>
      <c r="J189" s="24" t="s">
        <v>33</v>
      </c>
      <c r="K189" s="24" t="s">
        <v>526</v>
      </c>
      <c r="L189" s="24" t="str">
        <f t="shared" si="14"/>
        <v>Non testé</v>
      </c>
      <c r="M189" s="23" t="s">
        <v>44</v>
      </c>
      <c r="N189" s="23" t="str">
        <f t="shared" si="15"/>
        <v/>
      </c>
      <c r="O189" s="24" t="s">
        <v>502</v>
      </c>
      <c r="P189" s="23">
        <v>3.5</v>
      </c>
      <c r="Q189" s="29">
        <v>0.38900000000000001</v>
      </c>
      <c r="R189" s="29"/>
      <c r="S189" s="24" t="s">
        <v>526</v>
      </c>
      <c r="T189" s="24" t="str">
        <f t="shared" si="16"/>
        <v>Censure haute</v>
      </c>
      <c r="U189" s="24" t="s">
        <v>35</v>
      </c>
      <c r="V189" s="24" t="str">
        <f t="shared" si="17"/>
        <v/>
      </c>
      <c r="W189" s="24" t="s">
        <v>527</v>
      </c>
      <c r="X189" s="23">
        <v>3.1560000000000001</v>
      </c>
      <c r="Y189" s="23">
        <v>2.9668999999999999</v>
      </c>
      <c r="Z189" s="23"/>
      <c r="AA189" s="24" t="s">
        <v>527</v>
      </c>
      <c r="AB189" s="24" t="str">
        <f t="shared" si="18"/>
        <v>Censure haute</v>
      </c>
      <c r="AC189" s="23" t="s">
        <v>35</v>
      </c>
      <c r="AD189" s="23" t="s">
        <v>561</v>
      </c>
      <c r="AE189" s="23" t="str">
        <f t="shared" si="19"/>
        <v/>
      </c>
      <c r="AF189" s="23"/>
      <c r="AG189" s="23" t="str">
        <f t="shared" si="20"/>
        <v/>
      </c>
      <c r="AH189" s="24" t="s">
        <v>527</v>
      </c>
      <c r="AI189" s="23">
        <v>3.1190000000000002</v>
      </c>
      <c r="AJ189" s="23">
        <v>1.0102</v>
      </c>
      <c r="AK189" s="23"/>
      <c r="AL189" s="24" t="s">
        <v>526</v>
      </c>
      <c r="AM189" s="24">
        <v>210</v>
      </c>
      <c r="AN189" s="24">
        <v>0</v>
      </c>
      <c r="AO189" s="24">
        <f>IF(ISBLANK(AM189),"",IF(AM189=92,IF(T189="Censure haute",120,""),IF(AB189="Censure haute",120,"")))</f>
        <v>120</v>
      </c>
    </row>
    <row r="190" spans="1:41" x14ac:dyDescent="0.3">
      <c r="A190" s="24" t="s">
        <v>266</v>
      </c>
      <c r="B190" s="24" t="s">
        <v>517</v>
      </c>
      <c r="C190" s="25" t="s">
        <v>518</v>
      </c>
      <c r="D190" s="26">
        <v>20.9</v>
      </c>
      <c r="E190" s="24" t="s">
        <v>521</v>
      </c>
      <c r="F190" s="27" t="s">
        <v>525</v>
      </c>
      <c r="G190" s="28">
        <v>44453</v>
      </c>
      <c r="H190" s="28">
        <v>44476</v>
      </c>
      <c r="I190" s="24">
        <v>12</v>
      </c>
      <c r="J190" s="24" t="s">
        <v>33</v>
      </c>
      <c r="K190" s="24" t="s">
        <v>526</v>
      </c>
      <c r="L190" s="24" t="str">
        <f t="shared" si="14"/>
        <v>Non testé</v>
      </c>
      <c r="M190" s="23" t="s">
        <v>44</v>
      </c>
      <c r="N190" s="23" t="str">
        <f t="shared" si="15"/>
        <v/>
      </c>
      <c r="O190" s="24" t="s">
        <v>502</v>
      </c>
      <c r="P190" s="23">
        <v>3.5</v>
      </c>
      <c r="Q190" s="29">
        <v>2.6465000000000001</v>
      </c>
      <c r="R190" s="29"/>
      <c r="S190" s="24" t="s">
        <v>527</v>
      </c>
      <c r="T190" s="24" t="str">
        <f t="shared" si="16"/>
        <v>Censure haute</v>
      </c>
      <c r="U190" s="24" t="s">
        <v>35</v>
      </c>
      <c r="V190" s="24" t="str">
        <f t="shared" si="17"/>
        <v/>
      </c>
      <c r="W190" s="24" t="s">
        <v>527</v>
      </c>
      <c r="X190" s="23">
        <v>3.5</v>
      </c>
      <c r="Y190" s="23">
        <v>5.1473000000000004</v>
      </c>
      <c r="Z190" s="23"/>
      <c r="AA190" s="24" t="s">
        <v>526</v>
      </c>
      <c r="AB190" s="24" t="str">
        <f t="shared" si="18"/>
        <v>Normal</v>
      </c>
      <c r="AC190" s="23">
        <v>99095</v>
      </c>
      <c r="AD190" s="23">
        <v>9.9094999999999995</v>
      </c>
      <c r="AE190" s="23" t="str">
        <f t="shared" si="19"/>
        <v/>
      </c>
      <c r="AF190" s="23"/>
      <c r="AG190" s="23" t="str">
        <f t="shared" si="20"/>
        <v/>
      </c>
      <c r="AH190" s="24" t="s">
        <v>527</v>
      </c>
      <c r="AI190" s="23">
        <v>3.133</v>
      </c>
      <c r="AJ190" s="23">
        <v>1.8448</v>
      </c>
      <c r="AK190" s="23"/>
      <c r="AL190" s="24" t="s">
        <v>527</v>
      </c>
      <c r="AM190" s="24"/>
      <c r="AN190" s="24"/>
      <c r="AO190" s="24" t="str">
        <f>IF(ISBLANK(AM190),"",IF(AM190=92,IF(T190="Censure haute",120,""),IF(AB190="Censure haute",120,"")))</f>
        <v/>
      </c>
    </row>
    <row r="191" spans="1:41" x14ac:dyDescent="0.3">
      <c r="A191" s="24" t="s">
        <v>267</v>
      </c>
      <c r="B191" s="24" t="s">
        <v>517</v>
      </c>
      <c r="C191" s="25"/>
      <c r="D191" s="26">
        <v>27.2</v>
      </c>
      <c r="E191" s="24" t="s">
        <v>522</v>
      </c>
      <c r="F191" s="27" t="s">
        <v>525</v>
      </c>
      <c r="G191" s="28">
        <v>44453</v>
      </c>
      <c r="H191" s="28">
        <v>44476</v>
      </c>
      <c r="I191" s="24">
        <v>11</v>
      </c>
      <c r="J191" s="24" t="s">
        <v>33</v>
      </c>
      <c r="K191" s="24" t="s">
        <v>527</v>
      </c>
      <c r="L191" s="24" t="str">
        <f t="shared" si="14"/>
        <v>Non testé</v>
      </c>
      <c r="M191" s="23" t="s">
        <v>44</v>
      </c>
      <c r="N191" s="23" t="str">
        <f t="shared" si="15"/>
        <v/>
      </c>
      <c r="O191" s="24" t="s">
        <v>502</v>
      </c>
      <c r="P191" s="23">
        <v>3.5</v>
      </c>
      <c r="Q191" s="29">
        <v>1.5189999999999999</v>
      </c>
      <c r="R191" s="29"/>
      <c r="S191" s="24" t="s">
        <v>527</v>
      </c>
      <c r="T191" s="24" t="str">
        <f t="shared" si="16"/>
        <v>Censure haute</v>
      </c>
      <c r="U191" s="24" t="s">
        <v>35</v>
      </c>
      <c r="V191" s="24" t="str">
        <f t="shared" si="17"/>
        <v/>
      </c>
      <c r="W191" s="24" t="s">
        <v>527</v>
      </c>
      <c r="X191" s="23">
        <v>2.9689999999999999</v>
      </c>
      <c r="Y191" s="23">
        <v>0.73880000000000001</v>
      </c>
      <c r="Z191" s="23"/>
      <c r="AA191" s="24" t="s">
        <v>526</v>
      </c>
      <c r="AB191" s="24" t="str">
        <f t="shared" si="18"/>
        <v>Censure haute</v>
      </c>
      <c r="AC191" s="23" t="s">
        <v>35</v>
      </c>
      <c r="AD191" s="23" t="s">
        <v>561</v>
      </c>
      <c r="AE191" s="23" t="str">
        <f t="shared" si="19"/>
        <v>Censure haute</v>
      </c>
      <c r="AF191" s="23" t="s">
        <v>35</v>
      </c>
      <c r="AG191" s="23" t="str">
        <f t="shared" si="20"/>
        <v/>
      </c>
      <c r="AH191" s="24" t="s">
        <v>527</v>
      </c>
      <c r="AI191" s="23">
        <v>3.1339999999999999</v>
      </c>
      <c r="AJ191" s="23">
        <v>0.4259</v>
      </c>
      <c r="AK191" s="23"/>
      <c r="AL191" s="24" t="s">
        <v>526</v>
      </c>
      <c r="AM191" s="24">
        <v>210</v>
      </c>
      <c r="AN191" s="24">
        <v>0</v>
      </c>
      <c r="AO191" s="24">
        <f>IF(ISBLANK(AM191),"",IF(AM191=92,IF(T191="Censure haute",120,""),IF(AB191="Censure haute",120,"")))</f>
        <v>120</v>
      </c>
    </row>
    <row r="192" spans="1:41" x14ac:dyDescent="0.3">
      <c r="A192" s="24" t="s">
        <v>268</v>
      </c>
      <c r="B192" s="24" t="s">
        <v>516</v>
      </c>
      <c r="C192" s="30" t="s">
        <v>518</v>
      </c>
      <c r="D192" s="26">
        <v>22.2</v>
      </c>
      <c r="E192" s="24" t="s">
        <v>520</v>
      </c>
      <c r="F192" s="27" t="s">
        <v>525</v>
      </c>
      <c r="G192" s="28">
        <v>44453</v>
      </c>
      <c r="H192" s="28">
        <v>44477</v>
      </c>
      <c r="I192" s="24">
        <v>12</v>
      </c>
      <c r="J192" s="24" t="s">
        <v>33</v>
      </c>
      <c r="K192" s="24" t="s">
        <v>527</v>
      </c>
      <c r="L192" s="24" t="str">
        <f t="shared" si="14"/>
        <v>Non testé</v>
      </c>
      <c r="M192" s="23" t="s">
        <v>44</v>
      </c>
      <c r="N192" s="23" t="str">
        <f t="shared" si="15"/>
        <v/>
      </c>
      <c r="O192" s="24" t="s">
        <v>502</v>
      </c>
      <c r="P192" s="23">
        <v>3.5</v>
      </c>
      <c r="Q192" s="29">
        <v>0.1384</v>
      </c>
      <c r="R192" s="29"/>
      <c r="S192" s="24" t="s">
        <v>526</v>
      </c>
      <c r="T192" s="24" t="str">
        <f t="shared" si="16"/>
        <v>Normal</v>
      </c>
      <c r="U192" s="24">
        <v>23.499099999999999</v>
      </c>
      <c r="V192" s="24">
        <f t="shared" si="17"/>
        <v>23.499099999999999</v>
      </c>
      <c r="W192" s="24" t="s">
        <v>527</v>
      </c>
      <c r="X192" s="23">
        <v>2.9359999999999999</v>
      </c>
      <c r="Y192" s="23">
        <v>1.3273999999999999</v>
      </c>
      <c r="Z192" s="23"/>
      <c r="AA192" s="24" t="s">
        <v>527</v>
      </c>
      <c r="AB192" s="24" t="str">
        <f t="shared" si="18"/>
        <v>Non testé</v>
      </c>
      <c r="AC192" s="24" t="s">
        <v>44</v>
      </c>
      <c r="AD192" s="23" t="s">
        <v>561</v>
      </c>
      <c r="AE192" s="23" t="str">
        <f t="shared" si="19"/>
        <v/>
      </c>
      <c r="AF192" s="24"/>
      <c r="AG192" s="23" t="str">
        <f t="shared" si="20"/>
        <v/>
      </c>
      <c r="AH192" s="24" t="s">
        <v>502</v>
      </c>
      <c r="AI192" s="23">
        <v>3.145</v>
      </c>
      <c r="AJ192" s="23">
        <v>0.74380000000000002</v>
      </c>
      <c r="AK192" s="23"/>
      <c r="AL192" s="24" t="s">
        <v>526</v>
      </c>
      <c r="AM192" s="24"/>
      <c r="AN192" s="24"/>
      <c r="AO192" s="24" t="str">
        <f>IF(ISBLANK(AM192),"",IF(AM192=92,IF(T192="Censure haute",120,""),IF(AB192="Censure haute",120,"")))</f>
        <v/>
      </c>
    </row>
    <row r="193" spans="1:41" x14ac:dyDescent="0.3">
      <c r="A193" s="24" t="s">
        <v>269</v>
      </c>
      <c r="B193" s="24" t="s">
        <v>516</v>
      </c>
      <c r="C193" s="25"/>
      <c r="D193" s="26">
        <v>26.5</v>
      </c>
      <c r="E193" s="24" t="s">
        <v>522</v>
      </c>
      <c r="F193" s="27" t="s">
        <v>525</v>
      </c>
      <c r="G193" s="28">
        <v>44453</v>
      </c>
      <c r="H193" s="28">
        <v>44477</v>
      </c>
      <c r="I193" s="24">
        <v>12</v>
      </c>
      <c r="J193" s="24" t="s">
        <v>33</v>
      </c>
      <c r="K193" s="24" t="s">
        <v>527</v>
      </c>
      <c r="L193" s="24" t="str">
        <f t="shared" si="14"/>
        <v>Non testé</v>
      </c>
      <c r="M193" s="23" t="s">
        <v>44</v>
      </c>
      <c r="N193" s="23" t="str">
        <f t="shared" si="15"/>
        <v/>
      </c>
      <c r="O193" s="24" t="s">
        <v>502</v>
      </c>
      <c r="P193" s="23">
        <v>3.5</v>
      </c>
      <c r="Q193" s="29">
        <v>1.3404</v>
      </c>
      <c r="R193" s="29"/>
      <c r="S193" s="24" t="s">
        <v>527</v>
      </c>
      <c r="T193" s="24" t="str">
        <f t="shared" si="16"/>
        <v>Censure haute</v>
      </c>
      <c r="U193" s="24" t="s">
        <v>35</v>
      </c>
      <c r="V193" s="24" t="str">
        <f t="shared" si="17"/>
        <v/>
      </c>
      <c r="W193" s="24" t="s">
        <v>527</v>
      </c>
      <c r="X193" s="23">
        <v>3.3410000000000002</v>
      </c>
      <c r="Y193" s="23">
        <v>5.8722000000000003</v>
      </c>
      <c r="Z193" s="23"/>
      <c r="AA193" s="24" t="s">
        <v>527</v>
      </c>
      <c r="AB193" s="24" t="str">
        <f t="shared" si="18"/>
        <v>Censure haute</v>
      </c>
      <c r="AC193" s="24" t="s">
        <v>35</v>
      </c>
      <c r="AD193" s="23" t="s">
        <v>561</v>
      </c>
      <c r="AE193" s="23" t="str">
        <f t="shared" si="19"/>
        <v/>
      </c>
      <c r="AF193" s="24"/>
      <c r="AG193" s="23" t="str">
        <f t="shared" si="20"/>
        <v/>
      </c>
      <c r="AH193" s="24" t="s">
        <v>527</v>
      </c>
      <c r="AI193" s="23">
        <v>3.1459999999999999</v>
      </c>
      <c r="AJ193" s="23">
        <v>2.5868000000000002</v>
      </c>
      <c r="AK193" s="23"/>
      <c r="AL193" s="24" t="s">
        <v>527</v>
      </c>
      <c r="AM193" s="24"/>
      <c r="AN193" s="24"/>
      <c r="AO193" s="24" t="str">
        <f>IF(ISBLANK(AM193),"",IF(AM193=92,IF(T193="Censure haute",120,""),IF(AB193="Censure haute",120,"")))</f>
        <v/>
      </c>
    </row>
    <row r="194" spans="1:41" x14ac:dyDescent="0.3">
      <c r="A194" s="24" t="s">
        <v>270</v>
      </c>
      <c r="B194" s="24" t="s">
        <v>516</v>
      </c>
      <c r="C194" s="25" t="s">
        <v>518</v>
      </c>
      <c r="D194" s="26">
        <v>30</v>
      </c>
      <c r="E194" s="24" t="s">
        <v>522</v>
      </c>
      <c r="F194" s="27" t="s">
        <v>525</v>
      </c>
      <c r="G194" s="28">
        <v>44458</v>
      </c>
      <c r="H194" s="28">
        <v>44477</v>
      </c>
      <c r="I194" s="24">
        <v>16</v>
      </c>
      <c r="J194" s="24" t="s">
        <v>43</v>
      </c>
      <c r="K194" s="24" t="s">
        <v>527</v>
      </c>
      <c r="L194" s="24" t="str">
        <f t="shared" si="14"/>
        <v>Non testé</v>
      </c>
      <c r="M194" s="23" t="s">
        <v>44</v>
      </c>
      <c r="N194" s="23" t="str">
        <f t="shared" si="15"/>
        <v/>
      </c>
      <c r="O194" s="24" t="s">
        <v>502</v>
      </c>
      <c r="P194" s="23">
        <v>3.5</v>
      </c>
      <c r="Q194" s="29">
        <v>9.01E-2</v>
      </c>
      <c r="R194" s="29"/>
      <c r="S194" s="24" t="s">
        <v>526</v>
      </c>
      <c r="T194" s="24" t="str">
        <f t="shared" si="16"/>
        <v>Censure haute</v>
      </c>
      <c r="U194" s="24" t="s">
        <v>35</v>
      </c>
      <c r="V194" s="24" t="str">
        <f t="shared" si="17"/>
        <v/>
      </c>
      <c r="W194" s="24" t="s">
        <v>527</v>
      </c>
      <c r="X194" s="23">
        <v>3.3889999999999998</v>
      </c>
      <c r="Y194" s="23">
        <v>9.9299999999999999E-2</v>
      </c>
      <c r="Z194" s="23"/>
      <c r="AA194" s="24" t="s">
        <v>526</v>
      </c>
      <c r="AB194" s="24" t="str">
        <f t="shared" si="18"/>
        <v>Censure haute</v>
      </c>
      <c r="AC194" s="23" t="s">
        <v>35</v>
      </c>
      <c r="AD194" s="23" t="s">
        <v>561</v>
      </c>
      <c r="AE194" s="23" t="str">
        <f t="shared" si="19"/>
        <v/>
      </c>
      <c r="AF194" s="23"/>
      <c r="AG194" s="23" t="str">
        <f t="shared" si="20"/>
        <v/>
      </c>
      <c r="AH194" s="24" t="s">
        <v>527</v>
      </c>
      <c r="AI194" s="23">
        <v>3.1840000000000002</v>
      </c>
      <c r="AJ194" s="23">
        <v>0.1004</v>
      </c>
      <c r="AK194" s="23">
        <v>0.1086</v>
      </c>
      <c r="AL194" s="24" t="s">
        <v>526</v>
      </c>
      <c r="AM194" s="24">
        <v>210</v>
      </c>
      <c r="AN194" s="24">
        <v>0</v>
      </c>
      <c r="AO194" s="24">
        <f>IF(ISBLANK(AM194),"",IF(AM194=92,IF(T194="Censure haute",120,""),IF(AB194="Censure haute",120,"")))</f>
        <v>120</v>
      </c>
    </row>
    <row r="195" spans="1:41" x14ac:dyDescent="0.3">
      <c r="A195" s="24" t="s">
        <v>272</v>
      </c>
      <c r="B195" s="24" t="s">
        <v>516</v>
      </c>
      <c r="C195" s="25" t="s">
        <v>519</v>
      </c>
      <c r="D195" s="26">
        <v>21.7</v>
      </c>
      <c r="E195" s="24" t="s">
        <v>521</v>
      </c>
      <c r="F195" s="27" t="s">
        <v>525</v>
      </c>
      <c r="G195" s="28">
        <v>44453</v>
      </c>
      <c r="H195" s="28">
        <v>44477</v>
      </c>
      <c r="I195" s="24">
        <v>12</v>
      </c>
      <c r="J195" s="24" t="s">
        <v>33</v>
      </c>
      <c r="K195" s="24" t="s">
        <v>526</v>
      </c>
      <c r="L195" s="24" t="str">
        <f t="shared" ref="L195:L258" si="21">IF(LEFT(M195,1)="&gt;","Censure haute",IF(M195="*****","Non testé","Normal"))</f>
        <v>Censure haute</v>
      </c>
      <c r="M195" s="23" t="s">
        <v>35</v>
      </c>
      <c r="N195" s="23" t="str">
        <f t="shared" ref="N195:N258" si="22">IFERROR(VALUE(M195),"")</f>
        <v/>
      </c>
      <c r="O195" s="24" t="s">
        <v>527</v>
      </c>
      <c r="P195" s="23">
        <v>3.5</v>
      </c>
      <c r="Q195" s="29">
        <v>0.79779999999999995</v>
      </c>
      <c r="R195" s="29"/>
      <c r="S195" s="24" t="s">
        <v>526</v>
      </c>
      <c r="T195" s="24" t="str">
        <f t="shared" ref="T195:T258" si="23">IF(LEFT(U195,1)="&gt;","Censure haute",IF(U195="*****","Echec technique","Normal"))</f>
        <v>Normal</v>
      </c>
      <c r="U195" s="24">
        <v>95.549300000000002</v>
      </c>
      <c r="V195" s="24">
        <f t="shared" ref="V195:V258" si="24">IFERROR(VALUE(U195),"")</f>
        <v>95.549300000000002</v>
      </c>
      <c r="W195" s="24" t="s">
        <v>527</v>
      </c>
      <c r="X195" s="23">
        <v>3.5</v>
      </c>
      <c r="Y195" s="23">
        <v>5.4569999999999999</v>
      </c>
      <c r="Z195" s="23"/>
      <c r="AA195" s="24" t="s">
        <v>527</v>
      </c>
      <c r="AB195" s="24" t="str">
        <f t="shared" ref="AB195:AB258" si="25">IF(LEFT(AC195,1)="&gt;","Censure haute",IF(AC195="*****","Non testé","Normal"))</f>
        <v>Normal</v>
      </c>
      <c r="AC195" s="23">
        <v>365217</v>
      </c>
      <c r="AD195" s="23">
        <v>36.521700000000003</v>
      </c>
      <c r="AE195" s="23" t="str">
        <f t="shared" ref="AE195:AE258" si="26">IF(ISBLANK(AF195),"",IF(LEFT(AF195,1)="&gt;","Censure haute",IF(AF195="*****","Non testé","Normal")))</f>
        <v/>
      </c>
      <c r="AF195" s="23"/>
      <c r="AG195" s="23" t="str">
        <f t="shared" ref="AG195:AG258" si="27">IF(ISBLANK(AF195),"",IFERROR(VALUE(AF195),""))</f>
        <v/>
      </c>
      <c r="AH195" s="24" t="s">
        <v>527</v>
      </c>
      <c r="AI195" s="23">
        <v>3.1850000000000001</v>
      </c>
      <c r="AJ195" s="23">
        <v>2.2684000000000002</v>
      </c>
      <c r="AK195" s="23"/>
      <c r="AL195" s="24" t="s">
        <v>527</v>
      </c>
      <c r="AM195" s="24"/>
      <c r="AN195" s="24"/>
      <c r="AO195" s="24" t="str">
        <f>IF(ISBLANK(AM195),"",IF(AM195=92,IF(T195="Censure haute",120,""),IF(AB195="Censure haute",120,"")))</f>
        <v/>
      </c>
    </row>
    <row r="196" spans="1:41" x14ac:dyDescent="0.3">
      <c r="A196" s="24" t="s">
        <v>273</v>
      </c>
      <c r="B196" s="24" t="s">
        <v>516</v>
      </c>
      <c r="C196" s="30" t="s">
        <v>518</v>
      </c>
      <c r="D196" s="26">
        <v>15.5</v>
      </c>
      <c r="E196" s="24" t="s">
        <v>521</v>
      </c>
      <c r="F196" s="27" t="s">
        <v>525</v>
      </c>
      <c r="G196" s="28">
        <v>44453</v>
      </c>
      <c r="H196" s="28">
        <v>44477</v>
      </c>
      <c r="I196" s="24">
        <v>12</v>
      </c>
      <c r="J196" s="24" t="s">
        <v>33</v>
      </c>
      <c r="K196" s="24" t="s">
        <v>526</v>
      </c>
      <c r="L196" s="24" t="str">
        <f t="shared" si="21"/>
        <v>Non testé</v>
      </c>
      <c r="M196" s="23" t="s">
        <v>44</v>
      </c>
      <c r="N196" s="23" t="str">
        <f t="shared" si="22"/>
        <v/>
      </c>
      <c r="O196" s="24" t="s">
        <v>502</v>
      </c>
      <c r="P196" s="23">
        <v>3.5</v>
      </c>
      <c r="Q196" s="29">
        <v>9.1200000000000003E-2</v>
      </c>
      <c r="R196" s="29"/>
      <c r="S196" s="24" t="s">
        <v>526</v>
      </c>
      <c r="T196" s="24" t="str">
        <f t="shared" si="23"/>
        <v>Echec technique</v>
      </c>
      <c r="U196" s="24" t="s">
        <v>44</v>
      </c>
      <c r="V196" s="24" t="str">
        <f t="shared" si="24"/>
        <v/>
      </c>
      <c r="W196" s="24" t="s">
        <v>502</v>
      </c>
      <c r="X196" s="23">
        <v>3.3490000000000002</v>
      </c>
      <c r="Y196" s="23">
        <v>1.7108000000000001</v>
      </c>
      <c r="Z196" s="23"/>
      <c r="AA196" s="24" t="s">
        <v>527</v>
      </c>
      <c r="AB196" s="24" t="str">
        <f t="shared" si="25"/>
        <v>Censure haute</v>
      </c>
      <c r="AC196" s="23" t="s">
        <v>35</v>
      </c>
      <c r="AD196" s="23" t="s">
        <v>561</v>
      </c>
      <c r="AE196" s="23" t="str">
        <f t="shared" si="26"/>
        <v/>
      </c>
      <c r="AF196" s="23"/>
      <c r="AG196" s="23" t="str">
        <f t="shared" si="27"/>
        <v/>
      </c>
      <c r="AH196" s="24" t="s">
        <v>527</v>
      </c>
      <c r="AI196" s="23">
        <v>3.194</v>
      </c>
      <c r="AJ196" s="23">
        <v>0.89049999999999996</v>
      </c>
      <c r="AK196" s="23"/>
      <c r="AL196" s="24" t="s">
        <v>526</v>
      </c>
      <c r="AM196" s="24">
        <v>210</v>
      </c>
      <c r="AN196" s="24">
        <v>0</v>
      </c>
      <c r="AO196" s="24">
        <f>IF(ISBLANK(AM196),"",IF(AM196=92,IF(T196="Censure haute",120,""),IF(AB196="Censure haute",120,"")))</f>
        <v>120</v>
      </c>
    </row>
    <row r="197" spans="1:41" x14ac:dyDescent="0.3">
      <c r="A197" s="24" t="s">
        <v>274</v>
      </c>
      <c r="B197" s="24" t="s">
        <v>516</v>
      </c>
      <c r="C197" s="25"/>
      <c r="D197" s="26">
        <v>32.799999999999997</v>
      </c>
      <c r="E197" s="24" t="s">
        <v>522</v>
      </c>
      <c r="F197" s="27" t="s">
        <v>525</v>
      </c>
      <c r="G197" s="28">
        <v>44453</v>
      </c>
      <c r="H197" s="28">
        <v>44477</v>
      </c>
      <c r="I197" s="24">
        <v>15</v>
      </c>
      <c r="J197" s="24" t="s">
        <v>43</v>
      </c>
      <c r="K197" s="24" t="s">
        <v>527</v>
      </c>
      <c r="L197" s="24" t="str">
        <f t="shared" si="21"/>
        <v>Non testé</v>
      </c>
      <c r="M197" s="23" t="s">
        <v>44</v>
      </c>
      <c r="N197" s="23" t="str">
        <f t="shared" si="22"/>
        <v/>
      </c>
      <c r="O197" s="24" t="s">
        <v>502</v>
      </c>
      <c r="P197" s="23">
        <v>3.5</v>
      </c>
      <c r="Q197" s="29">
        <v>0.23269999999999999</v>
      </c>
      <c r="R197" s="29"/>
      <c r="S197" s="24" t="s">
        <v>526</v>
      </c>
      <c r="T197" s="24" t="str">
        <f t="shared" si="23"/>
        <v>Censure haute</v>
      </c>
      <c r="U197" s="24" t="s">
        <v>35</v>
      </c>
      <c r="V197" s="24" t="str">
        <f t="shared" si="24"/>
        <v/>
      </c>
      <c r="W197" s="24" t="s">
        <v>527</v>
      </c>
      <c r="X197" s="23">
        <v>3.2989999999999999</v>
      </c>
      <c r="Y197" s="24">
        <v>0.30580000000000002</v>
      </c>
      <c r="Z197" s="24">
        <v>0.2656</v>
      </c>
      <c r="AA197" s="24" t="s">
        <v>526</v>
      </c>
      <c r="AB197" s="24" t="str">
        <f t="shared" si="25"/>
        <v>Non testé</v>
      </c>
      <c r="AC197" s="23" t="s">
        <v>44</v>
      </c>
      <c r="AD197" s="23" t="s">
        <v>561</v>
      </c>
      <c r="AE197" s="23" t="str">
        <f t="shared" si="26"/>
        <v/>
      </c>
      <c r="AF197" s="23"/>
      <c r="AG197" s="23" t="str">
        <f t="shared" si="27"/>
        <v/>
      </c>
      <c r="AH197" s="24" t="s">
        <v>502</v>
      </c>
      <c r="AI197" s="23">
        <v>3.2010000000000001</v>
      </c>
      <c r="AJ197" s="23">
        <v>4.1920999999999999</v>
      </c>
      <c r="AK197" s="23"/>
      <c r="AL197" s="24" t="s">
        <v>527</v>
      </c>
      <c r="AM197" s="24">
        <v>210</v>
      </c>
      <c r="AN197" s="24">
        <v>0</v>
      </c>
      <c r="AO197" s="24" t="str">
        <f>IF(ISBLANK(AM197),"",IF(AM197=92,IF(T197="Censure haute",120,""),IF(AB197="Censure haute",120,"")))</f>
        <v/>
      </c>
    </row>
    <row r="198" spans="1:41" x14ac:dyDescent="0.3">
      <c r="A198" s="24" t="s">
        <v>276</v>
      </c>
      <c r="B198" s="24" t="s">
        <v>516</v>
      </c>
      <c r="C198" s="25"/>
      <c r="D198" s="26">
        <v>21.5</v>
      </c>
      <c r="E198" s="24" t="s">
        <v>521</v>
      </c>
      <c r="F198" s="27" t="s">
        <v>525</v>
      </c>
      <c r="G198" s="28">
        <v>44458</v>
      </c>
      <c r="H198" s="28">
        <v>44477</v>
      </c>
      <c r="I198" s="24">
        <v>15</v>
      </c>
      <c r="J198" s="24" t="s">
        <v>43</v>
      </c>
      <c r="K198" s="24" t="s">
        <v>527</v>
      </c>
      <c r="L198" s="24" t="str">
        <f t="shared" si="21"/>
        <v>Non testé</v>
      </c>
      <c r="M198" s="23" t="s">
        <v>44</v>
      </c>
      <c r="N198" s="23" t="str">
        <f t="shared" si="22"/>
        <v/>
      </c>
      <c r="O198" s="24" t="s">
        <v>502</v>
      </c>
      <c r="P198" s="23">
        <v>3.5</v>
      </c>
      <c r="Q198" s="29">
        <v>0.32440000000000002</v>
      </c>
      <c r="R198" s="29"/>
      <c r="S198" s="24" t="s">
        <v>526</v>
      </c>
      <c r="T198" s="24" t="str">
        <f t="shared" si="23"/>
        <v>Normal</v>
      </c>
      <c r="U198" s="24">
        <v>0.79490000000000005</v>
      </c>
      <c r="V198" s="24">
        <f t="shared" si="24"/>
        <v>0.79490000000000005</v>
      </c>
      <c r="W198" s="24" t="s">
        <v>526</v>
      </c>
      <c r="X198" s="23">
        <v>3.1150000000000002</v>
      </c>
      <c r="Y198" s="23">
        <v>0.2389</v>
      </c>
      <c r="Z198" s="23"/>
      <c r="AA198" s="24" t="s">
        <v>526</v>
      </c>
      <c r="AB198" s="24" t="str">
        <f t="shared" si="25"/>
        <v>Normal</v>
      </c>
      <c r="AC198" s="23">
        <v>10492</v>
      </c>
      <c r="AD198" s="23">
        <v>1.0491999999999999</v>
      </c>
      <c r="AE198" s="23" t="str">
        <f t="shared" si="26"/>
        <v/>
      </c>
      <c r="AF198" s="23"/>
      <c r="AG198" s="23" t="str">
        <f t="shared" si="27"/>
        <v/>
      </c>
      <c r="AH198" s="24" t="s">
        <v>526</v>
      </c>
      <c r="AI198" s="23">
        <v>3.2160000000000002</v>
      </c>
      <c r="AJ198" s="23">
        <v>0.26790000000000003</v>
      </c>
      <c r="AK198" s="23"/>
      <c r="AL198" s="24" t="s">
        <v>526</v>
      </c>
      <c r="AM198" s="24"/>
      <c r="AN198" s="24"/>
      <c r="AO198" s="24" t="str">
        <f>IF(ISBLANK(AM198),"",IF(AM198=92,IF(T198="Censure haute",120,""),IF(AB198="Censure haute",120,"")))</f>
        <v/>
      </c>
    </row>
    <row r="199" spans="1:41" x14ac:dyDescent="0.3">
      <c r="A199" s="24" t="s">
        <v>277</v>
      </c>
      <c r="B199" s="24" t="s">
        <v>516</v>
      </c>
      <c r="C199" s="25" t="s">
        <v>518</v>
      </c>
      <c r="D199" s="26">
        <v>20.399999999999999</v>
      </c>
      <c r="E199" s="24" t="s">
        <v>521</v>
      </c>
      <c r="F199" s="27" t="s">
        <v>525</v>
      </c>
      <c r="G199" s="28">
        <v>44453</v>
      </c>
      <c r="H199" s="28">
        <v>44476</v>
      </c>
      <c r="I199" s="24">
        <v>12</v>
      </c>
      <c r="J199" s="24" t="s">
        <v>33</v>
      </c>
      <c r="K199" s="24" t="s">
        <v>527</v>
      </c>
      <c r="L199" s="24" t="str">
        <f t="shared" si="21"/>
        <v>Non testé</v>
      </c>
      <c r="M199" s="23" t="s">
        <v>44</v>
      </c>
      <c r="N199" s="23" t="str">
        <f t="shared" si="22"/>
        <v/>
      </c>
      <c r="O199" s="24" t="s">
        <v>502</v>
      </c>
      <c r="P199" s="23">
        <v>3.5</v>
      </c>
      <c r="Q199" s="29">
        <v>3.4116</v>
      </c>
      <c r="R199" s="29"/>
      <c r="S199" s="24" t="s">
        <v>527</v>
      </c>
      <c r="T199" s="24" t="str">
        <f t="shared" si="23"/>
        <v>Censure haute</v>
      </c>
      <c r="U199" s="24" t="s">
        <v>35</v>
      </c>
      <c r="V199" s="24" t="str">
        <f t="shared" si="24"/>
        <v/>
      </c>
      <c r="W199" s="24" t="s">
        <v>527</v>
      </c>
      <c r="X199" s="23">
        <v>3.3610000000000002</v>
      </c>
      <c r="Y199" s="23">
        <v>5.7590000000000003</v>
      </c>
      <c r="Z199" s="23"/>
      <c r="AA199" s="24" t="s">
        <v>527</v>
      </c>
      <c r="AB199" s="24" t="str">
        <f t="shared" si="25"/>
        <v>Censure haute</v>
      </c>
      <c r="AC199" s="23" t="s">
        <v>35</v>
      </c>
      <c r="AD199" s="23" t="s">
        <v>561</v>
      </c>
      <c r="AE199" s="23" t="str">
        <f t="shared" si="26"/>
        <v/>
      </c>
      <c r="AF199" s="23"/>
      <c r="AG199" s="23" t="str">
        <f t="shared" si="27"/>
        <v/>
      </c>
      <c r="AH199" s="24" t="s">
        <v>527</v>
      </c>
      <c r="AI199" s="23">
        <v>3.222</v>
      </c>
      <c r="AJ199" s="23">
        <v>4.7253999999999996</v>
      </c>
      <c r="AK199" s="23"/>
      <c r="AL199" s="24" t="s">
        <v>527</v>
      </c>
      <c r="AM199" s="24">
        <v>210</v>
      </c>
      <c r="AN199" s="24">
        <v>0</v>
      </c>
      <c r="AO199" s="24">
        <f>IF(ISBLANK(AM199),"",IF(AM199=92,IF(T199="Censure haute",120,""),IF(AB199="Censure haute",120,"")))</f>
        <v>120</v>
      </c>
    </row>
    <row r="200" spans="1:41" x14ac:dyDescent="0.3">
      <c r="A200" s="24" t="s">
        <v>278</v>
      </c>
      <c r="B200" s="24" t="s">
        <v>517</v>
      </c>
      <c r="C200" s="25" t="s">
        <v>518</v>
      </c>
      <c r="D200" s="26">
        <v>20.8</v>
      </c>
      <c r="E200" s="24" t="s">
        <v>521</v>
      </c>
      <c r="F200" s="27" t="s">
        <v>525</v>
      </c>
      <c r="G200" s="28">
        <v>44453</v>
      </c>
      <c r="H200" s="28">
        <v>44477</v>
      </c>
      <c r="I200" s="24">
        <v>12</v>
      </c>
      <c r="J200" s="24" t="s">
        <v>33</v>
      </c>
      <c r="K200" s="24" t="s">
        <v>527</v>
      </c>
      <c r="L200" s="24" t="str">
        <f t="shared" si="21"/>
        <v>Non testé</v>
      </c>
      <c r="M200" s="23" t="s">
        <v>44</v>
      </c>
      <c r="N200" s="23" t="str">
        <f t="shared" si="22"/>
        <v/>
      </c>
      <c r="O200" s="23" t="s">
        <v>502</v>
      </c>
      <c r="P200" s="23">
        <v>3.5</v>
      </c>
      <c r="Q200" s="29">
        <v>0.25330000000000003</v>
      </c>
      <c r="R200" s="29"/>
      <c r="S200" s="24" t="s">
        <v>526</v>
      </c>
      <c r="T200" s="24" t="str">
        <f t="shared" si="23"/>
        <v>Echec technique</v>
      </c>
      <c r="U200" s="24" t="s">
        <v>44</v>
      </c>
      <c r="V200" s="24" t="str">
        <f t="shared" si="24"/>
        <v/>
      </c>
      <c r="W200" s="24" t="s">
        <v>502</v>
      </c>
      <c r="X200" s="23">
        <v>3.4780000000000002</v>
      </c>
      <c r="Y200" s="23">
        <v>1.4632000000000001</v>
      </c>
      <c r="Z200" s="23"/>
      <c r="AA200" s="24" t="s">
        <v>527</v>
      </c>
      <c r="AB200" s="24" t="str">
        <f t="shared" si="25"/>
        <v>Censure haute</v>
      </c>
      <c r="AC200" s="23" t="s">
        <v>35</v>
      </c>
      <c r="AD200" s="23" t="s">
        <v>561</v>
      </c>
      <c r="AE200" s="23" t="str">
        <f t="shared" si="26"/>
        <v/>
      </c>
      <c r="AF200" s="23"/>
      <c r="AG200" s="23" t="str">
        <f t="shared" si="27"/>
        <v/>
      </c>
      <c r="AH200" s="24" t="s">
        <v>527</v>
      </c>
      <c r="AI200" s="23">
        <v>3.222</v>
      </c>
      <c r="AJ200" s="23">
        <v>0.4551</v>
      </c>
      <c r="AK200" s="23"/>
      <c r="AL200" s="24" t="s">
        <v>526</v>
      </c>
      <c r="AM200" s="24">
        <v>210</v>
      </c>
      <c r="AN200" s="24">
        <v>0</v>
      </c>
      <c r="AO200" s="24">
        <f>IF(ISBLANK(AM200),"",IF(AM200=92,IF(T200="Censure haute",120,""),IF(AB200="Censure haute",120,"")))</f>
        <v>120</v>
      </c>
    </row>
    <row r="201" spans="1:41" x14ac:dyDescent="0.3">
      <c r="A201" s="24" t="s">
        <v>279</v>
      </c>
      <c r="B201" s="24" t="s">
        <v>517</v>
      </c>
      <c r="C201" s="25" t="s">
        <v>518</v>
      </c>
      <c r="D201" s="26">
        <v>16.399999999999999</v>
      </c>
      <c r="E201" s="24" t="s">
        <v>521</v>
      </c>
      <c r="F201" s="27" t="s">
        <v>525</v>
      </c>
      <c r="G201" s="28">
        <v>44453</v>
      </c>
      <c r="H201" s="28">
        <v>44477</v>
      </c>
      <c r="I201" s="24">
        <v>12</v>
      </c>
      <c r="J201" s="24" t="s">
        <v>33</v>
      </c>
      <c r="K201" s="24" t="s">
        <v>526</v>
      </c>
      <c r="L201" s="24" t="str">
        <f t="shared" si="21"/>
        <v>Non testé</v>
      </c>
      <c r="M201" s="23" t="s">
        <v>44</v>
      </c>
      <c r="N201" s="23" t="str">
        <f t="shared" si="22"/>
        <v/>
      </c>
      <c r="O201" s="24" t="s">
        <v>502</v>
      </c>
      <c r="P201" s="23">
        <v>3.5</v>
      </c>
      <c r="Q201" s="29">
        <v>0.1288</v>
      </c>
      <c r="R201" s="29"/>
      <c r="S201" s="24" t="s">
        <v>526</v>
      </c>
      <c r="T201" s="24" t="str">
        <f t="shared" si="23"/>
        <v>Echec technique</v>
      </c>
      <c r="U201" s="24" t="s">
        <v>44</v>
      </c>
      <c r="V201" s="24" t="str">
        <f t="shared" si="24"/>
        <v/>
      </c>
      <c r="W201" s="24" t="s">
        <v>502</v>
      </c>
      <c r="X201" s="23">
        <v>3.5</v>
      </c>
      <c r="Y201" s="23">
        <v>1.3158000000000001</v>
      </c>
      <c r="Z201" s="23"/>
      <c r="AA201" s="24" t="s">
        <v>527</v>
      </c>
      <c r="AB201" s="24" t="str">
        <f t="shared" si="25"/>
        <v>Censure haute</v>
      </c>
      <c r="AC201" s="23" t="s">
        <v>35</v>
      </c>
      <c r="AD201" s="23" t="s">
        <v>561</v>
      </c>
      <c r="AE201" s="23" t="str">
        <f t="shared" si="26"/>
        <v/>
      </c>
      <c r="AF201" s="23"/>
      <c r="AG201" s="23" t="str">
        <f t="shared" si="27"/>
        <v/>
      </c>
      <c r="AH201" s="24" t="s">
        <v>527</v>
      </c>
      <c r="AI201" s="23">
        <v>3.2240000000000002</v>
      </c>
      <c r="AJ201" s="23">
        <v>0.12939999999999999</v>
      </c>
      <c r="AK201" s="23"/>
      <c r="AL201" s="24" t="s">
        <v>526</v>
      </c>
      <c r="AM201" s="24">
        <v>210</v>
      </c>
      <c r="AN201" s="24">
        <v>0</v>
      </c>
      <c r="AO201" s="24">
        <f>IF(ISBLANK(AM201),"",IF(AM201=92,IF(T201="Censure haute",120,""),IF(AB201="Censure haute",120,"")))</f>
        <v>120</v>
      </c>
    </row>
    <row r="202" spans="1:41" x14ac:dyDescent="0.3">
      <c r="A202" s="24" t="s">
        <v>280</v>
      </c>
      <c r="B202" s="24" t="s">
        <v>516</v>
      </c>
      <c r="C202" s="25" t="s">
        <v>518</v>
      </c>
      <c r="D202" s="26">
        <v>29.5</v>
      </c>
      <c r="E202" s="24" t="s">
        <v>522</v>
      </c>
      <c r="F202" s="27" t="s">
        <v>525</v>
      </c>
      <c r="G202" s="28">
        <v>44453</v>
      </c>
      <c r="H202" s="28">
        <v>44477</v>
      </c>
      <c r="I202" s="24">
        <v>12</v>
      </c>
      <c r="J202" s="24" t="s">
        <v>33</v>
      </c>
      <c r="K202" s="24" t="s">
        <v>527</v>
      </c>
      <c r="L202" s="24" t="str">
        <f t="shared" si="21"/>
        <v>Non testé</v>
      </c>
      <c r="M202" s="23" t="s">
        <v>44</v>
      </c>
      <c r="N202" s="23" t="str">
        <f t="shared" si="22"/>
        <v/>
      </c>
      <c r="O202" s="24" t="s">
        <v>502</v>
      </c>
      <c r="P202" s="23">
        <v>3.5</v>
      </c>
      <c r="Q202" s="29">
        <v>0.57579999999999998</v>
      </c>
      <c r="R202" s="29">
        <v>0.622</v>
      </c>
      <c r="S202" s="24" t="s">
        <v>526</v>
      </c>
      <c r="T202" s="24" t="str">
        <f t="shared" si="23"/>
        <v>Normal</v>
      </c>
      <c r="U202" s="24">
        <v>1.9149</v>
      </c>
      <c r="V202" s="24">
        <f t="shared" si="24"/>
        <v>1.9149</v>
      </c>
      <c r="W202" s="24" t="s">
        <v>526</v>
      </c>
      <c r="X202" s="23">
        <v>3.5</v>
      </c>
      <c r="Y202" s="23">
        <v>0.3841</v>
      </c>
      <c r="Z202" s="23"/>
      <c r="AA202" s="24" t="s">
        <v>526</v>
      </c>
      <c r="AB202" s="24" t="str">
        <f t="shared" si="25"/>
        <v>Normal</v>
      </c>
      <c r="AC202" s="23">
        <v>26995</v>
      </c>
      <c r="AD202" s="23">
        <v>2.6995</v>
      </c>
      <c r="AE202" s="23" t="str">
        <f t="shared" si="26"/>
        <v/>
      </c>
      <c r="AF202" s="23"/>
      <c r="AG202" s="23" t="str">
        <f t="shared" si="27"/>
        <v/>
      </c>
      <c r="AH202" s="24" t="s">
        <v>526</v>
      </c>
      <c r="AI202" s="23">
        <v>3.2250000000000001</v>
      </c>
      <c r="AJ202" s="23">
        <v>0.57169999999999999</v>
      </c>
      <c r="AK202" s="23"/>
      <c r="AL202" s="24" t="s">
        <v>526</v>
      </c>
      <c r="AM202" s="24"/>
      <c r="AN202" s="24"/>
      <c r="AO202" s="24" t="str">
        <f>IF(ISBLANK(AM202),"",IF(AM202=92,IF(T202="Censure haute",120,""),IF(AB202="Censure haute",120,"")))</f>
        <v/>
      </c>
    </row>
    <row r="203" spans="1:41" x14ac:dyDescent="0.3">
      <c r="A203" s="24" t="s">
        <v>282</v>
      </c>
      <c r="B203" s="24" t="s">
        <v>516</v>
      </c>
      <c r="C203" s="25"/>
      <c r="D203" s="26">
        <v>19.100000000000001</v>
      </c>
      <c r="E203" s="24" t="s">
        <v>521</v>
      </c>
      <c r="F203" s="27" t="s">
        <v>525</v>
      </c>
      <c r="G203" s="28">
        <v>44454</v>
      </c>
      <c r="H203" s="28">
        <v>44476</v>
      </c>
      <c r="I203" s="24">
        <v>15</v>
      </c>
      <c r="J203" s="24" t="s">
        <v>43</v>
      </c>
      <c r="K203" s="24" t="s">
        <v>526</v>
      </c>
      <c r="L203" s="24" t="str">
        <f t="shared" si="21"/>
        <v>Non testé</v>
      </c>
      <c r="M203" s="23" t="s">
        <v>44</v>
      </c>
      <c r="N203" s="23" t="str">
        <f t="shared" si="22"/>
        <v/>
      </c>
      <c r="O203" s="24" t="s">
        <v>502</v>
      </c>
      <c r="P203" s="23">
        <v>3.5</v>
      </c>
      <c r="Q203" s="29">
        <v>0.1966</v>
      </c>
      <c r="R203" s="29"/>
      <c r="S203" s="24" t="s">
        <v>526</v>
      </c>
      <c r="T203" s="24" t="str">
        <f t="shared" si="23"/>
        <v>Echec technique</v>
      </c>
      <c r="U203" s="24" t="s">
        <v>44</v>
      </c>
      <c r="V203" s="24" t="str">
        <f t="shared" si="24"/>
        <v/>
      </c>
      <c r="W203" s="24" t="s">
        <v>502</v>
      </c>
      <c r="X203" s="23">
        <v>3.5</v>
      </c>
      <c r="Y203" s="23">
        <v>3.2522000000000002</v>
      </c>
      <c r="Z203" s="23"/>
      <c r="AA203" s="24" t="s">
        <v>527</v>
      </c>
      <c r="AB203" s="24" t="str">
        <f t="shared" si="25"/>
        <v>Censure haute</v>
      </c>
      <c r="AC203" s="23" t="s">
        <v>35</v>
      </c>
      <c r="AD203" s="23" t="s">
        <v>561</v>
      </c>
      <c r="AE203" s="23" t="str">
        <f t="shared" si="26"/>
        <v/>
      </c>
      <c r="AF203" s="23"/>
      <c r="AG203" s="23" t="str">
        <f t="shared" si="27"/>
        <v/>
      </c>
      <c r="AH203" s="24" t="s">
        <v>527</v>
      </c>
      <c r="AI203" s="23">
        <v>3.2250000000000001</v>
      </c>
      <c r="AJ203" s="23">
        <v>0.57410000000000005</v>
      </c>
      <c r="AK203" s="23"/>
      <c r="AL203" s="24" t="s">
        <v>526</v>
      </c>
      <c r="AM203" s="24">
        <v>210</v>
      </c>
      <c r="AN203" s="24">
        <v>0</v>
      </c>
      <c r="AO203" s="24">
        <f>IF(ISBLANK(AM203),"",IF(AM203=92,IF(T203="Censure haute",120,""),IF(AB203="Censure haute",120,"")))</f>
        <v>120</v>
      </c>
    </row>
    <row r="204" spans="1:41" x14ac:dyDescent="0.3">
      <c r="A204" s="24" t="s">
        <v>283</v>
      </c>
      <c r="B204" s="24" t="s">
        <v>517</v>
      </c>
      <c r="C204" s="25"/>
      <c r="D204" s="26">
        <v>21.6</v>
      </c>
      <c r="E204" s="24" t="s">
        <v>521</v>
      </c>
      <c r="F204" s="27" t="s">
        <v>525</v>
      </c>
      <c r="G204" s="28">
        <v>44453</v>
      </c>
      <c r="H204" s="28">
        <v>44476</v>
      </c>
      <c r="I204" s="24">
        <v>15</v>
      </c>
      <c r="J204" s="24" t="s">
        <v>43</v>
      </c>
      <c r="K204" s="24" t="s">
        <v>526</v>
      </c>
      <c r="L204" s="24" t="str">
        <f t="shared" si="21"/>
        <v>Non testé</v>
      </c>
      <c r="M204" s="23" t="s">
        <v>44</v>
      </c>
      <c r="N204" s="23" t="str">
        <f t="shared" si="22"/>
        <v/>
      </c>
      <c r="O204" s="24" t="s">
        <v>502</v>
      </c>
      <c r="P204" s="23">
        <v>3.5</v>
      </c>
      <c r="Q204" s="29">
        <v>0.23960000000000001</v>
      </c>
      <c r="R204" s="29"/>
      <c r="S204" s="24" t="s">
        <v>526</v>
      </c>
      <c r="T204" s="24" t="str">
        <f t="shared" si="23"/>
        <v>Censure haute</v>
      </c>
      <c r="U204" s="24" t="s">
        <v>35</v>
      </c>
      <c r="V204" s="24" t="str">
        <f t="shared" si="24"/>
        <v/>
      </c>
      <c r="W204" s="24" t="s">
        <v>527</v>
      </c>
      <c r="X204" s="23">
        <v>3.2109999999999999</v>
      </c>
      <c r="Y204" s="23">
        <v>0.10150000000000001</v>
      </c>
      <c r="Z204" s="23"/>
      <c r="AA204" s="24" t="s">
        <v>526</v>
      </c>
      <c r="AB204" s="24" t="str">
        <f t="shared" si="25"/>
        <v>Normal</v>
      </c>
      <c r="AC204" s="23">
        <v>959596</v>
      </c>
      <c r="AD204" s="23">
        <v>95.959599999999995</v>
      </c>
      <c r="AE204" s="23" t="str">
        <f t="shared" si="26"/>
        <v/>
      </c>
      <c r="AF204" s="23"/>
      <c r="AG204" s="23" t="str">
        <f t="shared" si="27"/>
        <v/>
      </c>
      <c r="AH204" s="24" t="s">
        <v>527</v>
      </c>
      <c r="AI204" s="23">
        <v>3.226</v>
      </c>
      <c r="AJ204" s="23">
        <v>9.0200000000000002E-2</v>
      </c>
      <c r="AK204" s="23"/>
      <c r="AL204" s="24" t="s">
        <v>526</v>
      </c>
      <c r="AM204" s="24">
        <v>182</v>
      </c>
      <c r="AN204" s="24">
        <v>1</v>
      </c>
      <c r="AO204" s="24" t="str">
        <f>IF(ISBLANK(AM204),"",IF(AM204=92,IF(T204="Censure haute",120,""),IF(AB204="Censure haute",120,"")))</f>
        <v/>
      </c>
    </row>
    <row r="205" spans="1:41" x14ac:dyDescent="0.3">
      <c r="A205" s="24" t="s">
        <v>284</v>
      </c>
      <c r="B205" s="24" t="s">
        <v>516</v>
      </c>
      <c r="C205" s="30" t="s">
        <v>518</v>
      </c>
      <c r="D205" s="26">
        <v>16.8</v>
      </c>
      <c r="E205" s="24" t="s">
        <v>521</v>
      </c>
      <c r="F205" s="27" t="s">
        <v>525</v>
      </c>
      <c r="G205" s="28">
        <v>44453</v>
      </c>
      <c r="H205" s="28">
        <v>44477</v>
      </c>
      <c r="I205" s="24">
        <v>12</v>
      </c>
      <c r="J205" s="24" t="s">
        <v>33</v>
      </c>
      <c r="K205" s="24" t="s">
        <v>526</v>
      </c>
      <c r="L205" s="24" t="str">
        <f t="shared" si="21"/>
        <v>Non testé</v>
      </c>
      <c r="M205" s="23" t="s">
        <v>44</v>
      </c>
      <c r="N205" s="23" t="str">
        <f t="shared" si="22"/>
        <v/>
      </c>
      <c r="O205" s="24" t="s">
        <v>502</v>
      </c>
      <c r="P205" s="23">
        <v>3.5</v>
      </c>
      <c r="Q205" s="29">
        <v>0.1091</v>
      </c>
      <c r="R205" s="29"/>
      <c r="S205" s="24" t="s">
        <v>526</v>
      </c>
      <c r="T205" s="24" t="str">
        <f t="shared" si="23"/>
        <v>Echec technique</v>
      </c>
      <c r="U205" s="24" t="s">
        <v>44</v>
      </c>
      <c r="V205" s="24" t="str">
        <f t="shared" si="24"/>
        <v/>
      </c>
      <c r="W205" s="24" t="s">
        <v>502</v>
      </c>
      <c r="X205" s="23">
        <v>3.5</v>
      </c>
      <c r="Y205" s="23">
        <v>1.4641</v>
      </c>
      <c r="Z205" s="23">
        <v>1.4057999999999999</v>
      </c>
      <c r="AA205" s="24" t="s">
        <v>527</v>
      </c>
      <c r="AB205" s="24" t="str">
        <f t="shared" si="25"/>
        <v>Censure haute</v>
      </c>
      <c r="AC205" s="23" t="s">
        <v>35</v>
      </c>
      <c r="AD205" s="23" t="s">
        <v>561</v>
      </c>
      <c r="AE205" s="23" t="str">
        <f t="shared" si="26"/>
        <v/>
      </c>
      <c r="AF205" s="23"/>
      <c r="AG205" s="23" t="str">
        <f t="shared" si="27"/>
        <v/>
      </c>
      <c r="AH205" s="24" t="s">
        <v>527</v>
      </c>
      <c r="AI205" s="23">
        <v>3.234</v>
      </c>
      <c r="AJ205" s="23">
        <v>0.42359999999999998</v>
      </c>
      <c r="AK205" s="23"/>
      <c r="AL205" s="24" t="s">
        <v>526</v>
      </c>
      <c r="AM205" s="24">
        <v>210</v>
      </c>
      <c r="AN205" s="24">
        <v>0</v>
      </c>
      <c r="AO205" s="24">
        <f>IF(ISBLANK(AM205),"",IF(AM205=92,IF(T205="Censure haute",120,""),IF(AB205="Censure haute",120,"")))</f>
        <v>120</v>
      </c>
    </row>
    <row r="206" spans="1:41" x14ac:dyDescent="0.3">
      <c r="A206" s="24" t="s">
        <v>286</v>
      </c>
      <c r="B206" s="24" t="s">
        <v>516</v>
      </c>
      <c r="C206" s="30" t="s">
        <v>518</v>
      </c>
      <c r="D206" s="26">
        <v>20.5</v>
      </c>
      <c r="E206" s="24" t="s">
        <v>521</v>
      </c>
      <c r="F206" s="27" t="s">
        <v>525</v>
      </c>
      <c r="G206" s="28">
        <v>44453</v>
      </c>
      <c r="H206" s="28">
        <v>44477</v>
      </c>
      <c r="I206" s="24">
        <v>12</v>
      </c>
      <c r="J206" s="24" t="s">
        <v>33</v>
      </c>
      <c r="K206" s="24" t="s">
        <v>526</v>
      </c>
      <c r="L206" s="24" t="str">
        <f t="shared" si="21"/>
        <v>Non testé</v>
      </c>
      <c r="M206" s="23" t="s">
        <v>44</v>
      </c>
      <c r="N206" s="23" t="str">
        <f t="shared" si="22"/>
        <v/>
      </c>
      <c r="O206" s="24" t="s">
        <v>502</v>
      </c>
      <c r="P206" s="23">
        <v>3.5</v>
      </c>
      <c r="Q206" s="29">
        <v>0.3795</v>
      </c>
      <c r="R206" s="29"/>
      <c r="S206" s="24" t="s">
        <v>526</v>
      </c>
      <c r="T206" s="24" t="str">
        <f t="shared" si="23"/>
        <v>Echec technique</v>
      </c>
      <c r="U206" s="24" t="s">
        <v>44</v>
      </c>
      <c r="V206" s="24" t="str">
        <f t="shared" si="24"/>
        <v/>
      </c>
      <c r="W206" s="24" t="s">
        <v>502</v>
      </c>
      <c r="X206" s="23">
        <v>3.3719999999999999</v>
      </c>
      <c r="Y206" s="23">
        <v>6.532</v>
      </c>
      <c r="Z206" s="23"/>
      <c r="AA206" s="24" t="s">
        <v>527</v>
      </c>
      <c r="AB206" s="24" t="str">
        <f t="shared" si="25"/>
        <v>Normal</v>
      </c>
      <c r="AC206" s="23">
        <v>806794</v>
      </c>
      <c r="AD206" s="23">
        <v>80.679400000000001</v>
      </c>
      <c r="AE206" s="23" t="str">
        <f t="shared" si="26"/>
        <v/>
      </c>
      <c r="AF206" s="23"/>
      <c r="AG206" s="23" t="str">
        <f t="shared" si="27"/>
        <v/>
      </c>
      <c r="AH206" s="24" t="s">
        <v>527</v>
      </c>
      <c r="AI206" s="23">
        <v>3.2549999999999999</v>
      </c>
      <c r="AJ206" s="23">
        <v>2.8780999999999999</v>
      </c>
      <c r="AK206" s="23"/>
      <c r="AL206" s="24" t="s">
        <v>527</v>
      </c>
      <c r="AM206" s="24"/>
      <c r="AN206" s="24"/>
      <c r="AO206" s="24" t="str">
        <f>IF(ISBLANK(AM206),"",IF(AM206=92,IF(T206="Censure haute",120,""),IF(AB206="Censure haute",120,"")))</f>
        <v/>
      </c>
    </row>
    <row r="207" spans="1:41" x14ac:dyDescent="0.3">
      <c r="A207" s="24" t="s">
        <v>287</v>
      </c>
      <c r="B207" s="24" t="s">
        <v>516</v>
      </c>
      <c r="C207" s="25" t="s">
        <v>519</v>
      </c>
      <c r="D207" s="26">
        <v>16.5</v>
      </c>
      <c r="E207" s="24" t="s">
        <v>521</v>
      </c>
      <c r="F207" s="27" t="s">
        <v>525</v>
      </c>
      <c r="G207" s="28">
        <v>44453</v>
      </c>
      <c r="H207" s="28">
        <v>44477</v>
      </c>
      <c r="I207" s="24">
        <v>12</v>
      </c>
      <c r="J207" s="24" t="s">
        <v>33</v>
      </c>
      <c r="K207" s="24" t="s">
        <v>526</v>
      </c>
      <c r="L207" s="24" t="str">
        <f t="shared" si="21"/>
        <v>Non testé</v>
      </c>
      <c r="M207" s="23" t="s">
        <v>44</v>
      </c>
      <c r="N207" s="23" t="str">
        <f t="shared" si="22"/>
        <v/>
      </c>
      <c r="O207" s="24" t="s">
        <v>502</v>
      </c>
      <c r="P207" s="23">
        <v>3.5</v>
      </c>
      <c r="Q207" s="29">
        <v>1.7476</v>
      </c>
      <c r="R207" s="29"/>
      <c r="S207" s="24" t="s">
        <v>527</v>
      </c>
      <c r="T207" s="24" t="str">
        <f t="shared" si="23"/>
        <v>Echec technique</v>
      </c>
      <c r="U207" s="24" t="s">
        <v>44</v>
      </c>
      <c r="V207" s="24" t="str">
        <f t="shared" si="24"/>
        <v/>
      </c>
      <c r="W207" s="24" t="s">
        <v>502</v>
      </c>
      <c r="X207" s="23">
        <v>2.81</v>
      </c>
      <c r="Y207" s="23">
        <v>1.0873999999999999</v>
      </c>
      <c r="Z207" s="23"/>
      <c r="AA207" s="24" t="s">
        <v>526</v>
      </c>
      <c r="AB207" s="24" t="str">
        <f t="shared" si="25"/>
        <v>Non testé</v>
      </c>
      <c r="AC207" s="23" t="s">
        <v>44</v>
      </c>
      <c r="AD207" s="23" t="s">
        <v>561</v>
      </c>
      <c r="AE207" s="23" t="str">
        <f t="shared" si="26"/>
        <v/>
      </c>
      <c r="AF207" s="23"/>
      <c r="AG207" s="23" t="str">
        <f t="shared" si="27"/>
        <v/>
      </c>
      <c r="AH207" s="24" t="s">
        <v>502</v>
      </c>
      <c r="AI207" s="23">
        <v>3.2570000000000001</v>
      </c>
      <c r="AJ207" s="23">
        <v>6.0620000000000003</v>
      </c>
      <c r="AK207" s="23"/>
      <c r="AL207" s="24" t="s">
        <v>527</v>
      </c>
      <c r="AM207" s="24">
        <v>210</v>
      </c>
      <c r="AN207" s="24">
        <v>0</v>
      </c>
      <c r="AO207" s="24" t="str">
        <f>IF(ISBLANK(AM207),"",IF(AM207=92,IF(T207="Censure haute",120,""),IF(AB207="Censure haute",120,"")))</f>
        <v/>
      </c>
    </row>
    <row r="208" spans="1:41" x14ac:dyDescent="0.3">
      <c r="A208" s="24" t="s">
        <v>288</v>
      </c>
      <c r="B208" s="24" t="s">
        <v>516</v>
      </c>
      <c r="C208" s="25" t="s">
        <v>519</v>
      </c>
      <c r="D208" s="26">
        <v>15.4</v>
      </c>
      <c r="E208" s="24" t="s">
        <v>521</v>
      </c>
      <c r="F208" s="27" t="s">
        <v>525</v>
      </c>
      <c r="G208" s="28">
        <v>44453</v>
      </c>
      <c r="H208" s="28">
        <v>44476</v>
      </c>
      <c r="I208" s="24">
        <v>12</v>
      </c>
      <c r="J208" s="24" t="s">
        <v>33</v>
      </c>
      <c r="K208" s="24" t="s">
        <v>526</v>
      </c>
      <c r="L208" s="24" t="str">
        <f t="shared" si="21"/>
        <v>Non testé</v>
      </c>
      <c r="M208" s="23" t="s">
        <v>44</v>
      </c>
      <c r="N208" s="23" t="str">
        <f t="shared" si="22"/>
        <v/>
      </c>
      <c r="O208" s="24" t="s">
        <v>502</v>
      </c>
      <c r="P208" s="23">
        <v>3.5</v>
      </c>
      <c r="Q208" s="29">
        <v>1.5682</v>
      </c>
      <c r="R208" s="29"/>
      <c r="S208" s="24" t="s">
        <v>527</v>
      </c>
      <c r="T208" s="24" t="str">
        <f t="shared" si="23"/>
        <v>Censure haute</v>
      </c>
      <c r="U208" s="24" t="s">
        <v>35</v>
      </c>
      <c r="V208" s="24" t="str">
        <f t="shared" si="24"/>
        <v/>
      </c>
      <c r="W208" s="24" t="s">
        <v>527</v>
      </c>
      <c r="X208" s="23">
        <v>3.5</v>
      </c>
      <c r="Y208" s="23">
        <v>4.3192000000000004</v>
      </c>
      <c r="Z208" s="23"/>
      <c r="AA208" s="24" t="s">
        <v>526</v>
      </c>
      <c r="AB208" s="24" t="str">
        <f t="shared" si="25"/>
        <v>Normal</v>
      </c>
      <c r="AC208" s="23">
        <v>382809</v>
      </c>
      <c r="AD208" s="23">
        <v>38.280900000000003</v>
      </c>
      <c r="AE208" s="23" t="str">
        <f t="shared" si="26"/>
        <v/>
      </c>
      <c r="AF208" s="23"/>
      <c r="AG208" s="23" t="str">
        <f t="shared" si="27"/>
        <v/>
      </c>
      <c r="AH208" s="24" t="s">
        <v>527</v>
      </c>
      <c r="AI208" s="23">
        <v>3.2629999999999999</v>
      </c>
      <c r="AJ208" s="23">
        <v>1.5741000000000001</v>
      </c>
      <c r="AK208" s="23"/>
      <c r="AL208" s="24" t="s">
        <v>527</v>
      </c>
      <c r="AM208" s="24"/>
      <c r="AN208" s="24"/>
      <c r="AO208" s="24" t="str">
        <f>IF(ISBLANK(AM208),"",IF(AM208=92,IF(T208="Censure haute",120,""),IF(AB208="Censure haute",120,"")))</f>
        <v/>
      </c>
    </row>
    <row r="209" spans="1:41" x14ac:dyDescent="0.3">
      <c r="A209" s="24" t="s">
        <v>289</v>
      </c>
      <c r="B209" s="24" t="s">
        <v>517</v>
      </c>
      <c r="C209" s="30"/>
      <c r="D209" s="26">
        <v>31.8</v>
      </c>
      <c r="E209" s="24" t="s">
        <v>522</v>
      </c>
      <c r="F209" s="27" t="s">
        <v>525</v>
      </c>
      <c r="G209" s="28">
        <v>44453</v>
      </c>
      <c r="H209" s="28">
        <v>44477</v>
      </c>
      <c r="I209" s="24">
        <v>12</v>
      </c>
      <c r="J209" s="24" t="s">
        <v>33</v>
      </c>
      <c r="K209" s="24" t="s">
        <v>527</v>
      </c>
      <c r="L209" s="24" t="str">
        <f t="shared" si="21"/>
        <v>Non testé</v>
      </c>
      <c r="M209" s="23" t="s">
        <v>44</v>
      </c>
      <c r="N209" s="23" t="str">
        <f t="shared" si="22"/>
        <v/>
      </c>
      <c r="O209" s="24" t="s">
        <v>502</v>
      </c>
      <c r="P209" s="23">
        <v>3.5</v>
      </c>
      <c r="Q209" s="29">
        <v>0.30549999999999999</v>
      </c>
      <c r="R209" s="29"/>
      <c r="S209" s="24" t="s">
        <v>526</v>
      </c>
      <c r="T209" s="24" t="str">
        <f t="shared" si="23"/>
        <v>Normal</v>
      </c>
      <c r="U209" s="24">
        <v>2.2128000000000001</v>
      </c>
      <c r="V209" s="24">
        <f t="shared" si="24"/>
        <v>2.2128000000000001</v>
      </c>
      <c r="W209" s="24" t="s">
        <v>526</v>
      </c>
      <c r="X209" s="23">
        <v>3.4590000000000001</v>
      </c>
      <c r="Y209" s="23">
        <v>0.54300000000000004</v>
      </c>
      <c r="Z209" s="23"/>
      <c r="AA209" s="24" t="s">
        <v>526</v>
      </c>
      <c r="AB209" s="24" t="str">
        <f t="shared" si="25"/>
        <v>Normal</v>
      </c>
      <c r="AC209" s="23">
        <v>27952</v>
      </c>
      <c r="AD209" s="23">
        <v>2.7951999999999999</v>
      </c>
      <c r="AE209" s="23" t="str">
        <f t="shared" si="26"/>
        <v/>
      </c>
      <c r="AF209" s="23"/>
      <c r="AG209" s="23" t="str">
        <f t="shared" si="27"/>
        <v/>
      </c>
      <c r="AH209" s="24" t="s">
        <v>526</v>
      </c>
      <c r="AI209" s="23">
        <v>3.266</v>
      </c>
      <c r="AJ209" s="23">
        <v>0.30120000000000002</v>
      </c>
      <c r="AK209" s="23"/>
      <c r="AL209" s="24" t="s">
        <v>526</v>
      </c>
      <c r="AM209" s="24"/>
      <c r="AN209" s="24"/>
      <c r="AO209" s="24" t="str">
        <f>IF(ISBLANK(AM209),"",IF(AM209=92,IF(T209="Censure haute",120,""),IF(AB209="Censure haute",120,"")))</f>
        <v/>
      </c>
    </row>
    <row r="210" spans="1:41" x14ac:dyDescent="0.3">
      <c r="A210" s="24" t="s">
        <v>290</v>
      </c>
      <c r="B210" s="24" t="s">
        <v>516</v>
      </c>
      <c r="C210" s="25"/>
      <c r="D210" s="26">
        <v>32.5</v>
      </c>
      <c r="E210" s="24" t="s">
        <v>522</v>
      </c>
      <c r="F210" s="27" t="s">
        <v>525</v>
      </c>
      <c r="G210" s="28">
        <v>44453</v>
      </c>
      <c r="H210" s="28">
        <v>44477</v>
      </c>
      <c r="I210" s="24">
        <v>11</v>
      </c>
      <c r="J210" s="24" t="s">
        <v>33</v>
      </c>
      <c r="K210" s="24" t="s">
        <v>526</v>
      </c>
      <c r="L210" s="24" t="str">
        <f t="shared" si="21"/>
        <v>Non testé</v>
      </c>
      <c r="M210" s="23" t="s">
        <v>44</v>
      </c>
      <c r="N210" s="23" t="str">
        <f t="shared" si="22"/>
        <v/>
      </c>
      <c r="O210" s="24" t="s">
        <v>502</v>
      </c>
      <c r="P210" s="23">
        <v>3.5</v>
      </c>
      <c r="Q210" s="29">
        <v>0.81399999999999995</v>
      </c>
      <c r="R210" s="29"/>
      <c r="S210" s="24" t="s">
        <v>526</v>
      </c>
      <c r="T210" s="24" t="str">
        <f t="shared" si="23"/>
        <v>Censure haute</v>
      </c>
      <c r="U210" s="24" t="s">
        <v>35</v>
      </c>
      <c r="V210" s="24" t="str">
        <f t="shared" si="24"/>
        <v/>
      </c>
      <c r="W210" s="24" t="s">
        <v>527</v>
      </c>
      <c r="X210" s="23">
        <v>3.5</v>
      </c>
      <c r="Y210" s="23">
        <v>0.375</v>
      </c>
      <c r="Z210" s="23"/>
      <c r="AA210" s="24" t="s">
        <v>526</v>
      </c>
      <c r="AB210" s="24" t="str">
        <f t="shared" si="25"/>
        <v>Censure haute</v>
      </c>
      <c r="AC210" s="23" t="s">
        <v>35</v>
      </c>
      <c r="AD210" s="23" t="s">
        <v>561</v>
      </c>
      <c r="AE210" s="23" t="str">
        <f t="shared" si="26"/>
        <v/>
      </c>
      <c r="AF210" s="23"/>
      <c r="AG210" s="23" t="str">
        <f t="shared" si="27"/>
        <v/>
      </c>
      <c r="AH210" s="24" t="s">
        <v>527</v>
      </c>
      <c r="AI210" s="23">
        <v>3.27</v>
      </c>
      <c r="AJ210" s="23">
        <v>0.1638</v>
      </c>
      <c r="AK210" s="23"/>
      <c r="AL210" s="24" t="s">
        <v>526</v>
      </c>
      <c r="AM210" s="24">
        <v>210</v>
      </c>
      <c r="AN210" s="24">
        <v>0</v>
      </c>
      <c r="AO210" s="24">
        <f>IF(ISBLANK(AM210),"",IF(AM210=92,IF(T210="Censure haute",120,""),IF(AB210="Censure haute",120,"")))</f>
        <v>120</v>
      </c>
    </row>
    <row r="211" spans="1:41" x14ac:dyDescent="0.3">
      <c r="A211" s="24" t="s">
        <v>291</v>
      </c>
      <c r="B211" s="24" t="s">
        <v>516</v>
      </c>
      <c r="C211" s="25" t="s">
        <v>518</v>
      </c>
      <c r="D211" s="26">
        <v>17.3</v>
      </c>
      <c r="E211" s="24" t="s">
        <v>521</v>
      </c>
      <c r="F211" s="27" t="s">
        <v>525</v>
      </c>
      <c r="G211" s="28">
        <v>44452</v>
      </c>
      <c r="H211" s="28">
        <v>44476</v>
      </c>
      <c r="I211" s="24">
        <v>15</v>
      </c>
      <c r="J211" s="24" t="s">
        <v>43</v>
      </c>
      <c r="K211" s="24" t="s">
        <v>526</v>
      </c>
      <c r="L211" s="24" t="str">
        <f t="shared" si="21"/>
        <v>Non testé</v>
      </c>
      <c r="M211" s="23" t="s">
        <v>44</v>
      </c>
      <c r="N211" s="23" t="str">
        <f t="shared" si="22"/>
        <v/>
      </c>
      <c r="O211" s="24" t="s">
        <v>502</v>
      </c>
      <c r="P211" s="23">
        <v>3.5</v>
      </c>
      <c r="Q211" s="29">
        <v>6.4899999999999999E-2</v>
      </c>
      <c r="R211" s="29"/>
      <c r="S211" s="24" t="s">
        <v>526</v>
      </c>
      <c r="T211" s="24" t="str">
        <f t="shared" si="23"/>
        <v>Censure haute</v>
      </c>
      <c r="U211" s="24" t="s">
        <v>35</v>
      </c>
      <c r="V211" s="24" t="str">
        <f t="shared" si="24"/>
        <v/>
      </c>
      <c r="W211" s="24" t="s">
        <v>527</v>
      </c>
      <c r="X211" s="23">
        <v>3.5</v>
      </c>
      <c r="Y211" s="23">
        <v>1.2365999999999999</v>
      </c>
      <c r="Z211" s="23"/>
      <c r="AA211" s="24" t="s">
        <v>527</v>
      </c>
      <c r="AB211" s="24" t="str">
        <f t="shared" si="25"/>
        <v>Censure haute</v>
      </c>
      <c r="AC211" s="23" t="s">
        <v>35</v>
      </c>
      <c r="AD211" s="23" t="s">
        <v>561</v>
      </c>
      <c r="AE211" s="23" t="str">
        <f t="shared" si="26"/>
        <v>Non testé</v>
      </c>
      <c r="AF211" s="23" t="s">
        <v>44</v>
      </c>
      <c r="AG211" s="23" t="str">
        <f t="shared" si="27"/>
        <v/>
      </c>
      <c r="AH211" s="24" t="s">
        <v>527</v>
      </c>
      <c r="AI211" s="23">
        <v>3.2709999999999999</v>
      </c>
      <c r="AJ211" s="23">
        <v>4.5845000000000002</v>
      </c>
      <c r="AK211" s="23"/>
      <c r="AL211" s="24" t="s">
        <v>527</v>
      </c>
      <c r="AM211" s="24">
        <v>210</v>
      </c>
      <c r="AN211" s="24">
        <v>0</v>
      </c>
      <c r="AO211" s="24">
        <f>IF(ISBLANK(AM211),"",IF(AM211=92,IF(T211="Censure haute",120,""),IF(AB211="Censure haute",120,"")))</f>
        <v>120</v>
      </c>
    </row>
    <row r="212" spans="1:41" x14ac:dyDescent="0.3">
      <c r="A212" s="24" t="s">
        <v>293</v>
      </c>
      <c r="B212" s="24" t="s">
        <v>516</v>
      </c>
      <c r="C212" s="30" t="s">
        <v>518</v>
      </c>
      <c r="D212" s="26">
        <v>15.6</v>
      </c>
      <c r="E212" s="24" t="s">
        <v>521</v>
      </c>
      <c r="F212" s="27" t="s">
        <v>525</v>
      </c>
      <c r="G212" s="28">
        <v>44453</v>
      </c>
      <c r="H212" s="28">
        <v>44477</v>
      </c>
      <c r="I212" s="24">
        <v>12</v>
      </c>
      <c r="J212" s="24" t="s">
        <v>33</v>
      </c>
      <c r="K212" s="24" t="s">
        <v>527</v>
      </c>
      <c r="L212" s="24" t="str">
        <f t="shared" si="21"/>
        <v>Non testé</v>
      </c>
      <c r="M212" s="23" t="s">
        <v>44</v>
      </c>
      <c r="N212" s="23" t="str">
        <f t="shared" si="22"/>
        <v/>
      </c>
      <c r="O212" s="24" t="s">
        <v>502</v>
      </c>
      <c r="P212" s="23">
        <v>3.5</v>
      </c>
      <c r="Q212" s="29">
        <v>0.14319999999999999</v>
      </c>
      <c r="R212" s="29"/>
      <c r="S212" s="24" t="s">
        <v>526</v>
      </c>
      <c r="T212" s="24" t="str">
        <f t="shared" si="23"/>
        <v>Censure haute</v>
      </c>
      <c r="U212" s="24" t="s">
        <v>35</v>
      </c>
      <c r="V212" s="24" t="str">
        <f t="shared" si="24"/>
        <v/>
      </c>
      <c r="W212" s="24" t="s">
        <v>527</v>
      </c>
      <c r="X212" s="23">
        <v>3.5</v>
      </c>
      <c r="Y212" s="23">
        <v>9.2999999999999999E-2</v>
      </c>
      <c r="Z212" s="23"/>
      <c r="AA212" s="24" t="s">
        <v>526</v>
      </c>
      <c r="AB212" s="24" t="str">
        <f t="shared" si="25"/>
        <v>Censure haute</v>
      </c>
      <c r="AC212" s="23" t="s">
        <v>35</v>
      </c>
      <c r="AD212" s="23" t="s">
        <v>561</v>
      </c>
      <c r="AE212" s="23" t="str">
        <f t="shared" si="26"/>
        <v/>
      </c>
      <c r="AF212" s="23"/>
      <c r="AG212" s="23" t="str">
        <f t="shared" si="27"/>
        <v/>
      </c>
      <c r="AH212" s="24" t="s">
        <v>527</v>
      </c>
      <c r="AI212" s="23">
        <v>3.2749999999999999</v>
      </c>
      <c r="AJ212" s="23">
        <v>8.2600000000000007E-2</v>
      </c>
      <c r="AK212" s="23"/>
      <c r="AL212" s="24" t="s">
        <v>526</v>
      </c>
      <c r="AM212" s="24">
        <v>210</v>
      </c>
      <c r="AN212" s="24">
        <v>0</v>
      </c>
      <c r="AO212" s="24">
        <f>IF(ISBLANK(AM212),"",IF(AM212=92,IF(T212="Censure haute",120,""),IF(AB212="Censure haute",120,"")))</f>
        <v>120</v>
      </c>
    </row>
    <row r="213" spans="1:41" x14ac:dyDescent="0.3">
      <c r="A213" s="24" t="s">
        <v>294</v>
      </c>
      <c r="B213" s="24" t="s">
        <v>516</v>
      </c>
      <c r="C213" s="25" t="s">
        <v>518</v>
      </c>
      <c r="D213" s="26">
        <v>21.2</v>
      </c>
      <c r="E213" s="24" t="s">
        <v>521</v>
      </c>
      <c r="F213" s="27" t="s">
        <v>525</v>
      </c>
      <c r="G213" s="28">
        <v>44453</v>
      </c>
      <c r="H213" s="28">
        <v>44477</v>
      </c>
      <c r="I213" s="24">
        <v>12</v>
      </c>
      <c r="J213" s="24" t="s">
        <v>33</v>
      </c>
      <c r="K213" s="24" t="s">
        <v>526</v>
      </c>
      <c r="L213" s="24" t="str">
        <f t="shared" si="21"/>
        <v>Non testé</v>
      </c>
      <c r="M213" s="23" t="s">
        <v>44</v>
      </c>
      <c r="N213" s="23" t="str">
        <f t="shared" si="22"/>
        <v/>
      </c>
      <c r="O213" s="24" t="s">
        <v>502</v>
      </c>
      <c r="P213" s="23">
        <v>3.5</v>
      </c>
      <c r="Q213" s="29">
        <v>1.0033000000000001</v>
      </c>
      <c r="R213" s="29"/>
      <c r="S213" s="24" t="s">
        <v>526</v>
      </c>
      <c r="T213" s="24" t="str">
        <f t="shared" si="23"/>
        <v>Normal</v>
      </c>
      <c r="U213" s="24">
        <v>104.1315</v>
      </c>
      <c r="V213" s="24">
        <f t="shared" si="24"/>
        <v>104.1315</v>
      </c>
      <c r="W213" s="24" t="s">
        <v>527</v>
      </c>
      <c r="X213" s="23">
        <v>3.5</v>
      </c>
      <c r="Y213" s="23">
        <v>0.99550000000000005</v>
      </c>
      <c r="Z213" s="23"/>
      <c r="AA213" s="24" t="s">
        <v>526</v>
      </c>
      <c r="AB213" s="24" t="str">
        <f t="shared" si="25"/>
        <v>Censure haute</v>
      </c>
      <c r="AC213" s="23" t="s">
        <v>35</v>
      </c>
      <c r="AD213" s="23" t="s">
        <v>561</v>
      </c>
      <c r="AE213" s="23" t="str">
        <f t="shared" si="26"/>
        <v/>
      </c>
      <c r="AF213" s="23"/>
      <c r="AG213" s="23" t="str">
        <f t="shared" si="27"/>
        <v/>
      </c>
      <c r="AH213" s="24" t="s">
        <v>527</v>
      </c>
      <c r="AI213" s="23">
        <v>3.2789999999999999</v>
      </c>
      <c r="AJ213" s="23">
        <v>0.72929999999999995</v>
      </c>
      <c r="AK213" s="23"/>
      <c r="AL213" s="24" t="s">
        <v>526</v>
      </c>
      <c r="AM213" s="24">
        <v>92</v>
      </c>
      <c r="AN213" s="24">
        <v>1</v>
      </c>
      <c r="AO213" s="24" t="str">
        <f>IF(ISBLANK(AM213),"",IF(AM213=92,IF(T213="Censure haute",120,""),IF(AB213="Censure haute",120,"")))</f>
        <v/>
      </c>
    </row>
    <row r="214" spans="1:41" x14ac:dyDescent="0.3">
      <c r="A214" s="24" t="s">
        <v>295</v>
      </c>
      <c r="B214" s="24" t="s">
        <v>516</v>
      </c>
      <c r="C214" s="30"/>
      <c r="D214" s="26">
        <v>22.5</v>
      </c>
      <c r="E214" s="24" t="s">
        <v>520</v>
      </c>
      <c r="F214" s="27" t="s">
        <v>525</v>
      </c>
      <c r="G214" s="28">
        <v>44453</v>
      </c>
      <c r="H214" s="28">
        <v>44477</v>
      </c>
      <c r="I214" s="24">
        <v>11</v>
      </c>
      <c r="J214" s="24" t="s">
        <v>33</v>
      </c>
      <c r="K214" s="24" t="s">
        <v>527</v>
      </c>
      <c r="L214" s="24" t="str">
        <f t="shared" si="21"/>
        <v>Non testé</v>
      </c>
      <c r="M214" s="23" t="s">
        <v>44</v>
      </c>
      <c r="N214" s="23" t="str">
        <f t="shared" si="22"/>
        <v/>
      </c>
      <c r="O214" s="24" t="s">
        <v>502</v>
      </c>
      <c r="P214" s="23">
        <v>3.5</v>
      </c>
      <c r="Q214" s="29">
        <v>0.61760000000000004</v>
      </c>
      <c r="R214" s="29"/>
      <c r="S214" s="24" t="s">
        <v>526</v>
      </c>
      <c r="T214" s="24" t="str">
        <f t="shared" si="23"/>
        <v>Censure haute</v>
      </c>
      <c r="U214" s="24" t="s">
        <v>35</v>
      </c>
      <c r="V214" s="24" t="str">
        <f t="shared" si="24"/>
        <v/>
      </c>
      <c r="W214" s="24" t="s">
        <v>527</v>
      </c>
      <c r="X214" s="23">
        <v>3.5</v>
      </c>
      <c r="Y214" s="23">
        <v>2.6821000000000002</v>
      </c>
      <c r="Z214" s="23"/>
      <c r="AA214" s="24" t="s">
        <v>527</v>
      </c>
      <c r="AB214" s="24" t="str">
        <f t="shared" si="25"/>
        <v>Censure haute</v>
      </c>
      <c r="AC214" s="23" t="s">
        <v>35</v>
      </c>
      <c r="AD214" s="23" t="s">
        <v>561</v>
      </c>
      <c r="AE214" s="23" t="str">
        <f t="shared" si="26"/>
        <v/>
      </c>
      <c r="AF214" s="23"/>
      <c r="AG214" s="23" t="str">
        <f t="shared" si="27"/>
        <v/>
      </c>
      <c r="AH214" s="24" t="s">
        <v>527</v>
      </c>
      <c r="AI214" s="23">
        <v>3.2919999999999998</v>
      </c>
      <c r="AJ214" s="23">
        <v>1.4734</v>
      </c>
      <c r="AK214" s="23"/>
      <c r="AL214" s="24" t="s">
        <v>527</v>
      </c>
      <c r="AM214" s="24">
        <v>210</v>
      </c>
      <c r="AN214" s="24">
        <v>0</v>
      </c>
      <c r="AO214" s="24">
        <f>IF(ISBLANK(AM214),"",IF(AM214=92,IF(T214="Censure haute",120,""),IF(AB214="Censure haute",120,"")))</f>
        <v>120</v>
      </c>
    </row>
    <row r="215" spans="1:41" x14ac:dyDescent="0.3">
      <c r="A215" s="24" t="s">
        <v>296</v>
      </c>
      <c r="B215" s="24" t="s">
        <v>516</v>
      </c>
      <c r="C215" s="25" t="s">
        <v>518</v>
      </c>
      <c r="D215" s="26">
        <v>20.100000000000001</v>
      </c>
      <c r="E215" s="24" t="s">
        <v>521</v>
      </c>
      <c r="F215" s="27" t="s">
        <v>525</v>
      </c>
      <c r="G215" s="28">
        <v>44453</v>
      </c>
      <c r="H215" s="28">
        <v>44477</v>
      </c>
      <c r="I215" s="24">
        <v>15</v>
      </c>
      <c r="J215" s="24" t="s">
        <v>43</v>
      </c>
      <c r="K215" s="24" t="s">
        <v>526</v>
      </c>
      <c r="L215" s="24" t="str">
        <f t="shared" si="21"/>
        <v>Non testé</v>
      </c>
      <c r="M215" s="23" t="s">
        <v>44</v>
      </c>
      <c r="N215" s="23" t="str">
        <f t="shared" si="22"/>
        <v/>
      </c>
      <c r="O215" s="24" t="s">
        <v>502</v>
      </c>
      <c r="P215" s="23">
        <v>3.5</v>
      </c>
      <c r="Q215" s="29">
        <v>8.2799999999999999E-2</v>
      </c>
      <c r="R215" s="29"/>
      <c r="S215" s="24" t="s">
        <v>526</v>
      </c>
      <c r="T215" s="24" t="str">
        <f t="shared" si="23"/>
        <v>Normal</v>
      </c>
      <c r="U215" s="24">
        <v>114.3424</v>
      </c>
      <c r="V215" s="24">
        <f t="shared" si="24"/>
        <v>114.3424</v>
      </c>
      <c r="W215" s="24" t="s">
        <v>527</v>
      </c>
      <c r="X215" s="23">
        <v>3.5</v>
      </c>
      <c r="Y215" s="23">
        <v>0.1585</v>
      </c>
      <c r="Z215" s="23">
        <v>8.48E-2</v>
      </c>
      <c r="AA215" s="24" t="s">
        <v>526</v>
      </c>
      <c r="AB215" s="24" t="str">
        <f t="shared" si="25"/>
        <v>Normal</v>
      </c>
      <c r="AC215" s="23">
        <v>528065</v>
      </c>
      <c r="AD215" s="23">
        <v>52.8065</v>
      </c>
      <c r="AE215" s="23" t="str">
        <f t="shared" si="26"/>
        <v/>
      </c>
      <c r="AF215" s="23"/>
      <c r="AG215" s="23" t="str">
        <f t="shared" si="27"/>
        <v/>
      </c>
      <c r="AH215" s="24" t="s">
        <v>527</v>
      </c>
      <c r="AI215" s="23">
        <v>3.2930000000000001</v>
      </c>
      <c r="AJ215" s="23">
        <v>9.6000000000000002E-2</v>
      </c>
      <c r="AK215" s="23"/>
      <c r="AL215" s="24" t="s">
        <v>526</v>
      </c>
      <c r="AM215" s="24">
        <v>92</v>
      </c>
      <c r="AN215" s="24">
        <v>1</v>
      </c>
      <c r="AO215" s="24" t="str">
        <f>IF(ISBLANK(AM215),"",IF(AM215=92,IF(T215="Censure haute",120,""),IF(AB215="Censure haute",120,"")))</f>
        <v/>
      </c>
    </row>
    <row r="216" spans="1:41" x14ac:dyDescent="0.3">
      <c r="A216" s="24" t="s">
        <v>298</v>
      </c>
      <c r="B216" s="24" t="s">
        <v>516</v>
      </c>
      <c r="C216" s="30" t="s">
        <v>518</v>
      </c>
      <c r="D216" s="26">
        <v>19.3</v>
      </c>
      <c r="E216" s="24" t="s">
        <v>521</v>
      </c>
      <c r="F216" s="27" t="s">
        <v>525</v>
      </c>
      <c r="G216" s="28">
        <v>44453</v>
      </c>
      <c r="H216" s="28">
        <v>44477</v>
      </c>
      <c r="I216" s="24">
        <v>12</v>
      </c>
      <c r="J216" s="24" t="s">
        <v>33</v>
      </c>
      <c r="K216" s="24" t="s">
        <v>526</v>
      </c>
      <c r="L216" s="24" t="str">
        <f t="shared" si="21"/>
        <v>Non testé</v>
      </c>
      <c r="M216" s="23" t="s">
        <v>44</v>
      </c>
      <c r="N216" s="23" t="str">
        <f t="shared" si="22"/>
        <v/>
      </c>
      <c r="O216" s="24" t="s">
        <v>502</v>
      </c>
      <c r="P216" s="23">
        <v>3.5</v>
      </c>
      <c r="Q216" s="23">
        <v>8.0299999999999996E-2</v>
      </c>
      <c r="R216" s="23"/>
      <c r="S216" s="23" t="s">
        <v>526</v>
      </c>
      <c r="T216" s="24" t="str">
        <f t="shared" si="23"/>
        <v>Echec technique</v>
      </c>
      <c r="U216" s="24" t="s">
        <v>44</v>
      </c>
      <c r="V216" s="24" t="str">
        <f t="shared" si="24"/>
        <v/>
      </c>
      <c r="W216" s="24" t="s">
        <v>502</v>
      </c>
      <c r="X216" s="23">
        <v>3.5</v>
      </c>
      <c r="Y216" s="23">
        <v>1.7645999999999999</v>
      </c>
      <c r="Z216" s="23"/>
      <c r="AA216" s="24" t="s">
        <v>527</v>
      </c>
      <c r="AB216" s="24" t="str">
        <f t="shared" si="25"/>
        <v>Non testé</v>
      </c>
      <c r="AC216" s="23" t="s">
        <v>44</v>
      </c>
      <c r="AD216" s="23" t="s">
        <v>561</v>
      </c>
      <c r="AE216" s="23" t="str">
        <f t="shared" si="26"/>
        <v/>
      </c>
      <c r="AF216" s="23"/>
      <c r="AG216" s="23" t="str">
        <f t="shared" si="27"/>
        <v/>
      </c>
      <c r="AH216" s="24" t="s">
        <v>502</v>
      </c>
      <c r="AI216" s="23">
        <v>3.294</v>
      </c>
      <c r="AJ216" s="23">
        <v>1.8873</v>
      </c>
      <c r="AK216" s="23">
        <v>1.8496999999999999</v>
      </c>
      <c r="AL216" s="24" t="s">
        <v>527</v>
      </c>
      <c r="AM216" s="24">
        <v>210</v>
      </c>
      <c r="AN216" s="24">
        <v>0</v>
      </c>
      <c r="AO216" s="24" t="str">
        <f>IF(ISBLANK(AM216),"",IF(AM216=92,IF(T216="Censure haute",120,""),IF(AB216="Censure haute",120,"")))</f>
        <v/>
      </c>
    </row>
    <row r="217" spans="1:41" x14ac:dyDescent="0.3">
      <c r="A217" s="24" t="s">
        <v>300</v>
      </c>
      <c r="B217" s="24" t="s">
        <v>516</v>
      </c>
      <c r="C217" s="25" t="s">
        <v>518</v>
      </c>
      <c r="D217" s="26">
        <v>21.2</v>
      </c>
      <c r="E217" s="24" t="s">
        <v>521</v>
      </c>
      <c r="F217" s="27" t="s">
        <v>525</v>
      </c>
      <c r="G217" s="28">
        <v>44454</v>
      </c>
      <c r="H217" s="28">
        <v>44476</v>
      </c>
      <c r="I217" s="24">
        <v>15</v>
      </c>
      <c r="J217" s="24" t="s">
        <v>43</v>
      </c>
      <c r="K217" s="24" t="s">
        <v>527</v>
      </c>
      <c r="L217" s="24" t="str">
        <f t="shared" si="21"/>
        <v>Non testé</v>
      </c>
      <c r="M217" s="23" t="s">
        <v>44</v>
      </c>
      <c r="N217" s="23" t="str">
        <f t="shared" si="22"/>
        <v/>
      </c>
      <c r="O217" s="24" t="s">
        <v>502</v>
      </c>
      <c r="P217" s="23">
        <v>3.5</v>
      </c>
      <c r="Q217" s="29">
        <v>2.9098999999999999</v>
      </c>
      <c r="R217" s="29"/>
      <c r="S217" s="24" t="s">
        <v>527</v>
      </c>
      <c r="T217" s="24" t="str">
        <f t="shared" si="23"/>
        <v>Censure haute</v>
      </c>
      <c r="U217" s="24" t="s">
        <v>35</v>
      </c>
      <c r="V217" s="24" t="str">
        <f t="shared" si="24"/>
        <v/>
      </c>
      <c r="W217" s="24" t="s">
        <v>527</v>
      </c>
      <c r="X217" s="23">
        <v>3.206</v>
      </c>
      <c r="Y217" s="23">
        <v>1.1325000000000001</v>
      </c>
      <c r="Z217" s="23"/>
      <c r="AA217" s="24" t="s">
        <v>527</v>
      </c>
      <c r="AB217" s="24" t="str">
        <f t="shared" si="25"/>
        <v>Censure haute</v>
      </c>
      <c r="AC217" s="23" t="s">
        <v>35</v>
      </c>
      <c r="AD217" s="23" t="s">
        <v>561</v>
      </c>
      <c r="AE217" s="23" t="str">
        <f t="shared" si="26"/>
        <v/>
      </c>
      <c r="AF217" s="23"/>
      <c r="AG217" s="23" t="str">
        <f t="shared" si="27"/>
        <v/>
      </c>
      <c r="AH217" s="24" t="s">
        <v>527</v>
      </c>
      <c r="AI217" s="23">
        <v>3.2989999999999999</v>
      </c>
      <c r="AJ217" s="23">
        <v>0.65159999999999996</v>
      </c>
      <c r="AK217" s="23"/>
      <c r="AL217" s="24" t="s">
        <v>526</v>
      </c>
      <c r="AM217" s="24">
        <v>210</v>
      </c>
      <c r="AN217" s="24">
        <v>0</v>
      </c>
      <c r="AO217" s="24">
        <f>IF(ISBLANK(AM217),"",IF(AM217=92,IF(T217="Censure haute",120,""),IF(AB217="Censure haute",120,"")))</f>
        <v>120</v>
      </c>
    </row>
    <row r="218" spans="1:41" x14ac:dyDescent="0.3">
      <c r="A218" s="24" t="s">
        <v>301</v>
      </c>
      <c r="B218" s="24" t="s">
        <v>517</v>
      </c>
      <c r="C218" s="25" t="s">
        <v>519</v>
      </c>
      <c r="D218" s="26">
        <v>35.1</v>
      </c>
      <c r="E218" s="24" t="s">
        <v>522</v>
      </c>
      <c r="F218" s="27" t="s">
        <v>525</v>
      </c>
      <c r="G218" s="28">
        <v>44453</v>
      </c>
      <c r="H218" s="28">
        <v>44477</v>
      </c>
      <c r="I218" s="24">
        <v>12</v>
      </c>
      <c r="J218" s="24" t="s">
        <v>33</v>
      </c>
      <c r="K218" s="24" t="s">
        <v>526</v>
      </c>
      <c r="L218" s="24" t="str">
        <f t="shared" si="21"/>
        <v>Non testé</v>
      </c>
      <c r="M218" s="23" t="s">
        <v>44</v>
      </c>
      <c r="N218" s="23" t="str">
        <f t="shared" si="22"/>
        <v/>
      </c>
      <c r="O218" s="24" t="s">
        <v>502</v>
      </c>
      <c r="P218" s="23">
        <v>3.5</v>
      </c>
      <c r="Q218" s="29">
        <v>3.1450999999999998</v>
      </c>
      <c r="R218" s="29"/>
      <c r="S218" s="24" t="s">
        <v>527</v>
      </c>
      <c r="T218" s="24" t="str">
        <f t="shared" si="23"/>
        <v>Censure haute</v>
      </c>
      <c r="U218" s="24" t="s">
        <v>35</v>
      </c>
      <c r="V218" s="24" t="str">
        <f t="shared" si="24"/>
        <v/>
      </c>
      <c r="W218" s="24" t="s">
        <v>527</v>
      </c>
      <c r="X218" s="23">
        <v>3.4849999999999999</v>
      </c>
      <c r="Y218" s="23">
        <v>2.2431000000000001</v>
      </c>
      <c r="Z218" s="23"/>
      <c r="AA218" s="24" t="s">
        <v>527</v>
      </c>
      <c r="AB218" s="24" t="str">
        <f t="shared" si="25"/>
        <v>Censure haute</v>
      </c>
      <c r="AC218" s="23" t="s">
        <v>35</v>
      </c>
      <c r="AD218" s="23" t="s">
        <v>561</v>
      </c>
      <c r="AE218" s="23" t="str">
        <f t="shared" si="26"/>
        <v/>
      </c>
      <c r="AF218" s="23"/>
      <c r="AG218" s="23" t="str">
        <f t="shared" si="27"/>
        <v/>
      </c>
      <c r="AH218" s="24" t="s">
        <v>527</v>
      </c>
      <c r="AI218" s="23">
        <v>3.3010000000000002</v>
      </c>
      <c r="AJ218" s="23">
        <v>1.627</v>
      </c>
      <c r="AK218" s="23"/>
      <c r="AL218" s="24" t="s">
        <v>527</v>
      </c>
      <c r="AM218" s="24">
        <v>210</v>
      </c>
      <c r="AN218" s="24">
        <v>0</v>
      </c>
      <c r="AO218" s="24">
        <f>IF(ISBLANK(AM218),"",IF(AM218=92,IF(T218="Censure haute",120,""),IF(AB218="Censure haute",120,"")))</f>
        <v>120</v>
      </c>
    </row>
    <row r="219" spans="1:41" x14ac:dyDescent="0.3">
      <c r="A219" s="24" t="s">
        <v>302</v>
      </c>
      <c r="B219" s="24" t="s">
        <v>517</v>
      </c>
      <c r="C219" s="30" t="s">
        <v>518</v>
      </c>
      <c r="D219" s="26">
        <v>21.5</v>
      </c>
      <c r="E219" s="24" t="s">
        <v>521</v>
      </c>
      <c r="F219" s="27" t="s">
        <v>525</v>
      </c>
      <c r="G219" s="28">
        <v>44453</v>
      </c>
      <c r="H219" s="28">
        <v>44476</v>
      </c>
      <c r="I219" s="24">
        <v>15</v>
      </c>
      <c r="J219" s="24" t="s">
        <v>43</v>
      </c>
      <c r="K219" s="24" t="s">
        <v>526</v>
      </c>
      <c r="L219" s="24" t="str">
        <f t="shared" si="21"/>
        <v>Non testé</v>
      </c>
      <c r="M219" s="23" t="s">
        <v>44</v>
      </c>
      <c r="N219" s="23" t="str">
        <f t="shared" si="22"/>
        <v/>
      </c>
      <c r="O219" s="24" t="s">
        <v>502</v>
      </c>
      <c r="P219" s="23">
        <v>3.5</v>
      </c>
      <c r="Q219" s="29">
        <v>0.40720000000000001</v>
      </c>
      <c r="R219" s="29"/>
      <c r="S219" s="24" t="s">
        <v>526</v>
      </c>
      <c r="T219" s="24" t="str">
        <f t="shared" si="23"/>
        <v>Censure haute</v>
      </c>
      <c r="U219" s="24" t="s">
        <v>35</v>
      </c>
      <c r="V219" s="24" t="str">
        <f t="shared" si="24"/>
        <v/>
      </c>
      <c r="W219" s="24" t="s">
        <v>527</v>
      </c>
      <c r="X219" s="23">
        <v>3.444</v>
      </c>
      <c r="Y219" s="23">
        <v>3.8071999999999999</v>
      </c>
      <c r="Z219" s="23"/>
      <c r="AA219" s="24" t="s">
        <v>527</v>
      </c>
      <c r="AB219" s="24" t="str">
        <f t="shared" si="25"/>
        <v>Censure haute</v>
      </c>
      <c r="AC219" s="23" t="s">
        <v>35</v>
      </c>
      <c r="AD219" s="23" t="s">
        <v>561</v>
      </c>
      <c r="AE219" s="23" t="str">
        <f t="shared" si="26"/>
        <v/>
      </c>
      <c r="AF219" s="23"/>
      <c r="AG219" s="23" t="str">
        <f t="shared" si="27"/>
        <v/>
      </c>
      <c r="AH219" s="24" t="s">
        <v>527</v>
      </c>
      <c r="AI219" s="23">
        <v>3.3140000000000001</v>
      </c>
      <c r="AJ219" s="23">
        <v>1.1302000000000001</v>
      </c>
      <c r="AK219" s="23"/>
      <c r="AL219" s="24" t="s">
        <v>527</v>
      </c>
      <c r="AM219" s="24">
        <v>210</v>
      </c>
      <c r="AN219" s="24">
        <v>0</v>
      </c>
      <c r="AO219" s="24">
        <f>IF(ISBLANK(AM219),"",IF(AM219=92,IF(T219="Censure haute",120,""),IF(AB219="Censure haute",120,"")))</f>
        <v>120</v>
      </c>
    </row>
    <row r="220" spans="1:41" x14ac:dyDescent="0.3">
      <c r="A220" s="24" t="s">
        <v>303</v>
      </c>
      <c r="B220" s="24" t="s">
        <v>516</v>
      </c>
      <c r="C220" s="25"/>
      <c r="D220" s="26">
        <v>31.6</v>
      </c>
      <c r="E220" s="24" t="s">
        <v>522</v>
      </c>
      <c r="F220" s="27" t="s">
        <v>525</v>
      </c>
      <c r="G220" s="28">
        <v>44453</v>
      </c>
      <c r="H220" s="28">
        <v>44477</v>
      </c>
      <c r="I220" s="24">
        <v>12</v>
      </c>
      <c r="J220" s="24" t="s">
        <v>33</v>
      </c>
      <c r="K220" s="24" t="s">
        <v>526</v>
      </c>
      <c r="L220" s="24" t="str">
        <f t="shared" si="21"/>
        <v>Non testé</v>
      </c>
      <c r="M220" s="23" t="s">
        <v>44</v>
      </c>
      <c r="N220" s="23" t="str">
        <f t="shared" si="22"/>
        <v/>
      </c>
      <c r="O220" s="24" t="s">
        <v>502</v>
      </c>
      <c r="P220" s="23">
        <v>3.5</v>
      </c>
      <c r="Q220" s="29">
        <v>2.2204999999999999</v>
      </c>
      <c r="R220" s="29"/>
      <c r="S220" s="24" t="s">
        <v>527</v>
      </c>
      <c r="T220" s="24" t="str">
        <f t="shared" si="23"/>
        <v>Censure haute</v>
      </c>
      <c r="U220" s="24" t="s">
        <v>35</v>
      </c>
      <c r="V220" s="24" t="str">
        <f t="shared" si="24"/>
        <v/>
      </c>
      <c r="W220" s="24" t="s">
        <v>527</v>
      </c>
      <c r="X220" s="23">
        <v>3.4489999999999998</v>
      </c>
      <c r="Y220" s="23">
        <v>6.4013</v>
      </c>
      <c r="Z220" s="23"/>
      <c r="AA220" s="24" t="s">
        <v>527</v>
      </c>
      <c r="AB220" s="24" t="str">
        <f t="shared" si="25"/>
        <v>Censure haute</v>
      </c>
      <c r="AC220" s="23" t="s">
        <v>35</v>
      </c>
      <c r="AD220" s="23" t="s">
        <v>561</v>
      </c>
      <c r="AE220" s="23" t="str">
        <f t="shared" si="26"/>
        <v/>
      </c>
      <c r="AF220" s="23"/>
      <c r="AG220" s="23" t="str">
        <f t="shared" si="27"/>
        <v/>
      </c>
      <c r="AH220" s="24" t="s">
        <v>527</v>
      </c>
      <c r="AI220" s="23">
        <v>3.347</v>
      </c>
      <c r="AJ220" s="23">
        <v>5.048</v>
      </c>
      <c r="AK220" s="23"/>
      <c r="AL220" s="24" t="s">
        <v>527</v>
      </c>
      <c r="AM220" s="24">
        <v>210</v>
      </c>
      <c r="AN220" s="24">
        <v>0</v>
      </c>
      <c r="AO220" s="24">
        <f>IF(ISBLANK(AM220),"",IF(AM220=92,IF(T220="Censure haute",120,""),IF(AB220="Censure haute",120,"")))</f>
        <v>120</v>
      </c>
    </row>
    <row r="221" spans="1:41" x14ac:dyDescent="0.3">
      <c r="A221" s="24" t="s">
        <v>304</v>
      </c>
      <c r="B221" s="24" t="s">
        <v>517</v>
      </c>
      <c r="C221" s="25"/>
      <c r="D221" s="26">
        <v>18</v>
      </c>
      <c r="E221" s="24" t="s">
        <v>521</v>
      </c>
      <c r="F221" s="27" t="s">
        <v>525</v>
      </c>
      <c r="G221" s="28">
        <v>44453</v>
      </c>
      <c r="H221" s="28">
        <v>44477</v>
      </c>
      <c r="I221" s="24">
        <v>12</v>
      </c>
      <c r="J221" s="24" t="s">
        <v>33</v>
      </c>
      <c r="K221" s="24" t="s">
        <v>527</v>
      </c>
      <c r="L221" s="24" t="str">
        <f t="shared" si="21"/>
        <v>Non testé</v>
      </c>
      <c r="M221" s="23" t="s">
        <v>44</v>
      </c>
      <c r="N221" s="23" t="str">
        <f t="shared" si="22"/>
        <v/>
      </c>
      <c r="O221" s="24" t="s">
        <v>502</v>
      </c>
      <c r="P221" s="23">
        <v>3.5</v>
      </c>
      <c r="Q221" s="29">
        <v>0.68340000000000001</v>
      </c>
      <c r="R221" s="29"/>
      <c r="S221" s="24" t="s">
        <v>526</v>
      </c>
      <c r="T221" s="24" t="str">
        <f t="shared" si="23"/>
        <v>Echec technique</v>
      </c>
      <c r="U221" s="24" t="s">
        <v>44</v>
      </c>
      <c r="V221" s="24" t="str">
        <f t="shared" si="24"/>
        <v/>
      </c>
      <c r="W221" s="24" t="s">
        <v>502</v>
      </c>
      <c r="X221" s="23">
        <v>3.5</v>
      </c>
      <c r="Y221" s="23">
        <v>2.9832000000000001</v>
      </c>
      <c r="Z221" s="23"/>
      <c r="AA221" s="24" t="s">
        <v>527</v>
      </c>
      <c r="AB221" s="24" t="str">
        <f t="shared" si="25"/>
        <v>Non testé</v>
      </c>
      <c r="AC221" s="23" t="s">
        <v>44</v>
      </c>
      <c r="AD221" s="23" t="s">
        <v>561</v>
      </c>
      <c r="AE221" s="23" t="str">
        <f t="shared" si="26"/>
        <v/>
      </c>
      <c r="AF221" s="23"/>
      <c r="AG221" s="23" t="str">
        <f t="shared" si="27"/>
        <v/>
      </c>
      <c r="AH221" s="24" t="s">
        <v>502</v>
      </c>
      <c r="AI221" s="23">
        <v>3.351</v>
      </c>
      <c r="AJ221" s="23">
        <v>1.5427999999999999</v>
      </c>
      <c r="AK221" s="23"/>
      <c r="AL221" s="24" t="s">
        <v>527</v>
      </c>
      <c r="AM221" s="24">
        <v>210</v>
      </c>
      <c r="AN221" s="24">
        <v>0</v>
      </c>
      <c r="AO221" s="24" t="str">
        <f>IF(ISBLANK(AM221),"",IF(AM221=92,IF(T221="Censure haute",120,""),IF(AB221="Censure haute",120,"")))</f>
        <v/>
      </c>
    </row>
    <row r="222" spans="1:41" x14ac:dyDescent="0.3">
      <c r="A222" s="24" t="s">
        <v>305</v>
      </c>
      <c r="B222" s="24" t="s">
        <v>517</v>
      </c>
      <c r="C222" s="25" t="s">
        <v>518</v>
      </c>
      <c r="D222" s="26">
        <v>24.5</v>
      </c>
      <c r="E222" s="24" t="s">
        <v>520</v>
      </c>
      <c r="F222" s="27" t="s">
        <v>525</v>
      </c>
      <c r="G222" s="28">
        <v>44453</v>
      </c>
      <c r="H222" s="28">
        <v>44477</v>
      </c>
      <c r="I222" s="24">
        <v>12</v>
      </c>
      <c r="J222" s="24" t="s">
        <v>33</v>
      </c>
      <c r="K222" s="24" t="s">
        <v>526</v>
      </c>
      <c r="L222" s="24" t="str">
        <f t="shared" si="21"/>
        <v>Non testé</v>
      </c>
      <c r="M222" s="23" t="s">
        <v>44</v>
      </c>
      <c r="N222" s="23" t="str">
        <f t="shared" si="22"/>
        <v/>
      </c>
      <c r="O222" s="24" t="s">
        <v>502</v>
      </c>
      <c r="P222" s="23">
        <v>3.5</v>
      </c>
      <c r="Q222" s="23">
        <v>1.5813999999999999</v>
      </c>
      <c r="R222" s="23">
        <v>1.5539000000000001</v>
      </c>
      <c r="S222" s="23" t="s">
        <v>527</v>
      </c>
      <c r="T222" s="24" t="str">
        <f t="shared" si="23"/>
        <v>Censure haute</v>
      </c>
      <c r="U222" s="24" t="s">
        <v>35</v>
      </c>
      <c r="V222" s="24" t="str">
        <f t="shared" si="24"/>
        <v/>
      </c>
      <c r="W222" s="24" t="s">
        <v>527</v>
      </c>
      <c r="X222" s="23">
        <v>3.31</v>
      </c>
      <c r="Y222" s="23">
        <v>0.87670000000000003</v>
      </c>
      <c r="Z222" s="23"/>
      <c r="AA222" s="24" t="s">
        <v>526</v>
      </c>
      <c r="AB222" s="24" t="str">
        <f t="shared" si="25"/>
        <v>Censure haute</v>
      </c>
      <c r="AC222" s="24" t="s">
        <v>35</v>
      </c>
      <c r="AD222" s="23" t="s">
        <v>561</v>
      </c>
      <c r="AE222" s="23" t="str">
        <f t="shared" si="26"/>
        <v/>
      </c>
      <c r="AF222" s="24"/>
      <c r="AG222" s="23" t="str">
        <f t="shared" si="27"/>
        <v/>
      </c>
      <c r="AH222" s="24" t="s">
        <v>527</v>
      </c>
      <c r="AI222" s="23">
        <v>3.359</v>
      </c>
      <c r="AJ222" s="23">
        <v>0.59299999999999997</v>
      </c>
      <c r="AK222" s="23"/>
      <c r="AL222" s="24" t="s">
        <v>526</v>
      </c>
      <c r="AM222" s="24">
        <v>210</v>
      </c>
      <c r="AN222" s="24">
        <v>0</v>
      </c>
      <c r="AO222" s="24">
        <f>IF(ISBLANK(AM222),"",IF(AM222=92,IF(T222="Censure haute",120,""),IF(AB222="Censure haute",120,"")))</f>
        <v>120</v>
      </c>
    </row>
    <row r="223" spans="1:41" x14ac:dyDescent="0.3">
      <c r="A223" s="24" t="s">
        <v>307</v>
      </c>
      <c r="B223" s="24" t="s">
        <v>517</v>
      </c>
      <c r="C223" s="25" t="s">
        <v>518</v>
      </c>
      <c r="D223" s="26">
        <v>24.4</v>
      </c>
      <c r="E223" s="24" t="s">
        <v>520</v>
      </c>
      <c r="F223" s="27" t="s">
        <v>525</v>
      </c>
      <c r="G223" s="28">
        <v>44454</v>
      </c>
      <c r="H223" s="28">
        <v>44476</v>
      </c>
      <c r="I223" s="24">
        <v>15</v>
      </c>
      <c r="J223" s="24" t="s">
        <v>43</v>
      </c>
      <c r="K223" s="24" t="s">
        <v>527</v>
      </c>
      <c r="L223" s="24" t="str">
        <f t="shared" si="21"/>
        <v>Non testé</v>
      </c>
      <c r="M223" s="23" t="s">
        <v>44</v>
      </c>
      <c r="N223" s="23" t="str">
        <f t="shared" si="22"/>
        <v/>
      </c>
      <c r="O223" s="24" t="s">
        <v>502</v>
      </c>
      <c r="P223" s="23">
        <v>3.5</v>
      </c>
      <c r="Q223" s="29">
        <v>0.15010000000000001</v>
      </c>
      <c r="R223" s="29"/>
      <c r="S223" s="24" t="s">
        <v>526</v>
      </c>
      <c r="T223" s="24" t="str">
        <f t="shared" si="23"/>
        <v>Echec technique</v>
      </c>
      <c r="U223" s="24" t="s">
        <v>44</v>
      </c>
      <c r="V223" s="24" t="str">
        <f t="shared" si="24"/>
        <v/>
      </c>
      <c r="W223" s="24" t="s">
        <v>502</v>
      </c>
      <c r="X223" s="23">
        <v>3.4590000000000001</v>
      </c>
      <c r="Y223" s="23">
        <v>0.71879999999999999</v>
      </c>
      <c r="Z223" s="23"/>
      <c r="AA223" s="24" t="s">
        <v>526</v>
      </c>
      <c r="AB223" s="24" t="str">
        <f t="shared" si="25"/>
        <v>Censure haute</v>
      </c>
      <c r="AC223" s="23" t="s">
        <v>35</v>
      </c>
      <c r="AD223" s="23" t="s">
        <v>561</v>
      </c>
      <c r="AE223" s="23" t="str">
        <f t="shared" si="26"/>
        <v/>
      </c>
      <c r="AF223" s="23"/>
      <c r="AG223" s="23" t="str">
        <f t="shared" si="27"/>
        <v/>
      </c>
      <c r="AH223" s="24" t="s">
        <v>527</v>
      </c>
      <c r="AI223" s="23">
        <v>3.3690000000000002</v>
      </c>
      <c r="AJ223" s="23">
        <v>0.25169999999999998</v>
      </c>
      <c r="AK223" s="23"/>
      <c r="AL223" s="24" t="s">
        <v>526</v>
      </c>
      <c r="AM223" s="24">
        <v>210</v>
      </c>
      <c r="AN223" s="24">
        <v>0</v>
      </c>
      <c r="AO223" s="24">
        <f>IF(ISBLANK(AM223),"",IF(AM223=92,IF(T223="Censure haute",120,""),IF(AB223="Censure haute",120,"")))</f>
        <v>120</v>
      </c>
    </row>
    <row r="224" spans="1:41" x14ac:dyDescent="0.3">
      <c r="A224" s="24" t="s">
        <v>308</v>
      </c>
      <c r="B224" s="24" t="s">
        <v>517</v>
      </c>
      <c r="C224" s="25" t="s">
        <v>518</v>
      </c>
      <c r="D224" s="26">
        <v>18.100000000000001</v>
      </c>
      <c r="E224" s="24" t="s">
        <v>521</v>
      </c>
      <c r="F224" s="27" t="s">
        <v>525</v>
      </c>
      <c r="G224" s="28">
        <v>44453</v>
      </c>
      <c r="H224" s="28">
        <v>44477</v>
      </c>
      <c r="I224" s="24">
        <v>15</v>
      </c>
      <c r="J224" s="24" t="s">
        <v>43</v>
      </c>
      <c r="K224" s="24" t="s">
        <v>526</v>
      </c>
      <c r="L224" s="24" t="str">
        <f t="shared" si="21"/>
        <v>Non testé</v>
      </c>
      <c r="M224" s="23" t="s">
        <v>44</v>
      </c>
      <c r="N224" s="23" t="str">
        <f t="shared" si="22"/>
        <v/>
      </c>
      <c r="O224" s="24" t="s">
        <v>502</v>
      </c>
      <c r="P224" s="23">
        <v>3.5</v>
      </c>
      <c r="Q224" s="29">
        <v>7.6399999999999996E-2</v>
      </c>
      <c r="R224" s="29"/>
      <c r="S224" s="24" t="s">
        <v>526</v>
      </c>
      <c r="T224" s="24" t="str">
        <f t="shared" si="23"/>
        <v>Echec technique</v>
      </c>
      <c r="U224" s="24" t="s">
        <v>44</v>
      </c>
      <c r="V224" s="24" t="str">
        <f t="shared" si="24"/>
        <v/>
      </c>
      <c r="W224" s="24" t="s">
        <v>502</v>
      </c>
      <c r="X224" s="23">
        <v>3.5</v>
      </c>
      <c r="Y224" s="23">
        <v>2.3744000000000001</v>
      </c>
      <c r="Z224" s="23"/>
      <c r="AA224" s="24" t="s">
        <v>527</v>
      </c>
      <c r="AB224" s="24" t="str">
        <f t="shared" si="25"/>
        <v>Censure haute</v>
      </c>
      <c r="AC224" s="23" t="s">
        <v>35</v>
      </c>
      <c r="AD224" s="23" t="s">
        <v>561</v>
      </c>
      <c r="AE224" s="23" t="str">
        <f t="shared" si="26"/>
        <v/>
      </c>
      <c r="AF224" s="23"/>
      <c r="AG224" s="23" t="str">
        <f t="shared" si="27"/>
        <v/>
      </c>
      <c r="AH224" s="24" t="s">
        <v>527</v>
      </c>
      <c r="AI224" s="23">
        <v>3.3759999999999999</v>
      </c>
      <c r="AJ224" s="23">
        <v>4.6284000000000001</v>
      </c>
      <c r="AK224" s="23"/>
      <c r="AL224" s="24" t="s">
        <v>527</v>
      </c>
      <c r="AM224" s="24">
        <v>210</v>
      </c>
      <c r="AN224" s="24">
        <v>0</v>
      </c>
      <c r="AO224" s="24">
        <f>IF(ISBLANK(AM224),"",IF(AM224=92,IF(T224="Censure haute",120,""),IF(AB224="Censure haute",120,"")))</f>
        <v>120</v>
      </c>
    </row>
    <row r="225" spans="1:41" x14ac:dyDescent="0.3">
      <c r="A225" s="24" t="s">
        <v>309</v>
      </c>
      <c r="B225" s="24" t="s">
        <v>517</v>
      </c>
      <c r="C225" s="25"/>
      <c r="D225" s="26">
        <v>15.5</v>
      </c>
      <c r="E225" s="24" t="s">
        <v>521</v>
      </c>
      <c r="F225" s="27" t="s">
        <v>525</v>
      </c>
      <c r="G225" s="28">
        <v>44453</v>
      </c>
      <c r="H225" s="28">
        <v>44476</v>
      </c>
      <c r="I225" s="24">
        <v>12</v>
      </c>
      <c r="J225" s="24" t="s">
        <v>33</v>
      </c>
      <c r="K225" s="24" t="s">
        <v>527</v>
      </c>
      <c r="L225" s="24" t="str">
        <f t="shared" si="21"/>
        <v>Non testé</v>
      </c>
      <c r="M225" s="23" t="s">
        <v>44</v>
      </c>
      <c r="N225" s="23" t="str">
        <f t="shared" si="22"/>
        <v/>
      </c>
      <c r="O225" s="24" t="s">
        <v>502</v>
      </c>
      <c r="P225" s="23">
        <v>3.5</v>
      </c>
      <c r="Q225" s="29">
        <v>1.4988999999999999</v>
      </c>
      <c r="R225" s="29"/>
      <c r="S225" s="24" t="s">
        <v>527</v>
      </c>
      <c r="T225" s="24" t="str">
        <f t="shared" si="23"/>
        <v>Censure haute</v>
      </c>
      <c r="U225" s="24" t="s">
        <v>35</v>
      </c>
      <c r="V225" s="24" t="str">
        <f t="shared" si="24"/>
        <v/>
      </c>
      <c r="W225" s="24" t="s">
        <v>527</v>
      </c>
      <c r="X225" s="23">
        <v>2.9180000000000001</v>
      </c>
      <c r="Y225" s="23">
        <v>0.76529999999999998</v>
      </c>
      <c r="Z225" s="23"/>
      <c r="AA225" s="24" t="s">
        <v>526</v>
      </c>
      <c r="AB225" s="24" t="str">
        <f t="shared" si="25"/>
        <v>Censure haute</v>
      </c>
      <c r="AC225" s="23" t="s">
        <v>35</v>
      </c>
      <c r="AD225" s="23" t="s">
        <v>561</v>
      </c>
      <c r="AE225" s="23" t="str">
        <f t="shared" si="26"/>
        <v/>
      </c>
      <c r="AF225" s="23"/>
      <c r="AG225" s="23" t="str">
        <f t="shared" si="27"/>
        <v/>
      </c>
      <c r="AH225" s="24" t="s">
        <v>527</v>
      </c>
      <c r="AI225" s="23">
        <v>3.383</v>
      </c>
      <c r="AJ225" s="23">
        <v>6.9623999999999997</v>
      </c>
      <c r="AK225" s="23"/>
      <c r="AL225" s="24" t="s">
        <v>527</v>
      </c>
      <c r="AM225" s="24">
        <v>210</v>
      </c>
      <c r="AN225" s="24">
        <v>0</v>
      </c>
      <c r="AO225" s="24">
        <f>IF(ISBLANK(AM225),"",IF(AM225=92,IF(T225="Censure haute",120,""),IF(AB225="Censure haute",120,"")))</f>
        <v>120</v>
      </c>
    </row>
    <row r="226" spans="1:41" x14ac:dyDescent="0.3">
      <c r="A226" s="24" t="s">
        <v>310</v>
      </c>
      <c r="B226" s="24" t="s">
        <v>516</v>
      </c>
      <c r="C226" s="25"/>
      <c r="D226" s="26">
        <v>20.100000000000001</v>
      </c>
      <c r="E226" s="24" t="s">
        <v>521</v>
      </c>
      <c r="F226" s="27" t="s">
        <v>525</v>
      </c>
      <c r="G226" s="28">
        <v>44453</v>
      </c>
      <c r="H226" s="28">
        <v>44477</v>
      </c>
      <c r="I226" s="24">
        <v>14</v>
      </c>
      <c r="J226" s="24" t="s">
        <v>43</v>
      </c>
      <c r="K226" s="24" t="s">
        <v>526</v>
      </c>
      <c r="L226" s="24" t="str">
        <f t="shared" si="21"/>
        <v>Non testé</v>
      </c>
      <c r="M226" s="23" t="s">
        <v>44</v>
      </c>
      <c r="N226" s="23" t="str">
        <f t="shared" si="22"/>
        <v/>
      </c>
      <c r="O226" s="24" t="s">
        <v>502</v>
      </c>
      <c r="P226" s="23">
        <v>3.5</v>
      </c>
      <c r="Q226" s="29">
        <v>0.46760000000000002</v>
      </c>
      <c r="R226" s="29"/>
      <c r="S226" s="24" t="s">
        <v>526</v>
      </c>
      <c r="T226" s="24" t="str">
        <f t="shared" si="23"/>
        <v>Censure haute</v>
      </c>
      <c r="U226" s="24" t="s">
        <v>35</v>
      </c>
      <c r="V226" s="24" t="str">
        <f t="shared" si="24"/>
        <v/>
      </c>
      <c r="W226" s="24" t="s">
        <v>527</v>
      </c>
      <c r="X226" s="23">
        <v>3.3010000000000002</v>
      </c>
      <c r="Y226" s="23">
        <v>6.7179000000000002</v>
      </c>
      <c r="Z226" s="23"/>
      <c r="AA226" s="24" t="s">
        <v>527</v>
      </c>
      <c r="AB226" s="24" t="str">
        <f t="shared" si="25"/>
        <v>Censure haute</v>
      </c>
      <c r="AC226" s="23" t="s">
        <v>35</v>
      </c>
      <c r="AD226" s="23" t="s">
        <v>561</v>
      </c>
      <c r="AE226" s="23" t="str">
        <f t="shared" si="26"/>
        <v/>
      </c>
      <c r="AF226" s="23"/>
      <c r="AG226" s="23" t="str">
        <f t="shared" si="27"/>
        <v/>
      </c>
      <c r="AH226" s="24" t="s">
        <v>527</v>
      </c>
      <c r="AI226" s="23">
        <v>3.4</v>
      </c>
      <c r="AJ226" s="23">
        <v>3.0731000000000002</v>
      </c>
      <c r="AK226" s="23"/>
      <c r="AL226" s="24" t="s">
        <v>527</v>
      </c>
      <c r="AM226" s="24">
        <v>210</v>
      </c>
      <c r="AN226" s="24">
        <v>0</v>
      </c>
      <c r="AO226" s="24">
        <f>IF(ISBLANK(AM226),"",IF(AM226=92,IF(T226="Censure haute",120,""),IF(AB226="Censure haute",120,"")))</f>
        <v>120</v>
      </c>
    </row>
    <row r="227" spans="1:41" x14ac:dyDescent="0.3">
      <c r="A227" s="24" t="s">
        <v>311</v>
      </c>
      <c r="B227" s="24" t="s">
        <v>516</v>
      </c>
      <c r="C227" s="25"/>
      <c r="D227" s="26">
        <v>18.2</v>
      </c>
      <c r="E227" s="24" t="s">
        <v>521</v>
      </c>
      <c r="F227" s="27" t="s">
        <v>525</v>
      </c>
      <c r="G227" s="28">
        <v>44453</v>
      </c>
      <c r="H227" s="28">
        <v>44477</v>
      </c>
      <c r="I227" s="24">
        <v>12</v>
      </c>
      <c r="J227" s="24" t="s">
        <v>33</v>
      </c>
      <c r="K227" s="24" t="s">
        <v>526</v>
      </c>
      <c r="L227" s="24" t="str">
        <f t="shared" si="21"/>
        <v>Non testé</v>
      </c>
      <c r="M227" s="23" t="s">
        <v>44</v>
      </c>
      <c r="N227" s="23" t="str">
        <f t="shared" si="22"/>
        <v/>
      </c>
      <c r="O227" s="24" t="s">
        <v>502</v>
      </c>
      <c r="P227" s="23">
        <v>3.5</v>
      </c>
      <c r="Q227" s="29">
        <v>1.2615000000000001</v>
      </c>
      <c r="R227" s="29"/>
      <c r="S227" s="24" t="s">
        <v>527</v>
      </c>
      <c r="T227" s="24" t="str">
        <f t="shared" si="23"/>
        <v>Censure haute</v>
      </c>
      <c r="U227" s="24" t="s">
        <v>35</v>
      </c>
      <c r="V227" s="24" t="str">
        <f t="shared" si="24"/>
        <v/>
      </c>
      <c r="W227" s="24" t="s">
        <v>527</v>
      </c>
      <c r="X227" s="23">
        <v>3.5</v>
      </c>
      <c r="Y227" s="23">
        <v>6.4702000000000002</v>
      </c>
      <c r="Z227" s="23"/>
      <c r="AA227" s="24" t="s">
        <v>527</v>
      </c>
      <c r="AB227" s="24" t="str">
        <f t="shared" si="25"/>
        <v>Normal</v>
      </c>
      <c r="AC227" s="23">
        <v>1070707</v>
      </c>
      <c r="AD227" s="23">
        <v>107.0707</v>
      </c>
      <c r="AE227" s="23" t="str">
        <f t="shared" si="26"/>
        <v/>
      </c>
      <c r="AF227" s="23"/>
      <c r="AG227" s="23" t="str">
        <f t="shared" si="27"/>
        <v/>
      </c>
      <c r="AH227" s="24" t="s">
        <v>527</v>
      </c>
      <c r="AI227" s="23">
        <v>3.4049999999999998</v>
      </c>
      <c r="AJ227" s="23">
        <v>3.7212999999999998</v>
      </c>
      <c r="AK227" s="23"/>
      <c r="AL227" s="24" t="s">
        <v>527</v>
      </c>
      <c r="AM227" s="24"/>
      <c r="AN227" s="24"/>
      <c r="AO227" s="24" t="str">
        <f>IF(ISBLANK(AM227),"",IF(AM227=92,IF(T227="Censure haute",120,""),IF(AB227="Censure haute",120,"")))</f>
        <v/>
      </c>
    </row>
    <row r="228" spans="1:41" x14ac:dyDescent="0.3">
      <c r="A228" s="24" t="s">
        <v>312</v>
      </c>
      <c r="B228" s="24" t="s">
        <v>517</v>
      </c>
      <c r="C228" s="25" t="s">
        <v>518</v>
      </c>
      <c r="D228" s="26">
        <v>15.6</v>
      </c>
      <c r="E228" s="24" t="s">
        <v>521</v>
      </c>
      <c r="F228" s="27" t="s">
        <v>525</v>
      </c>
      <c r="G228" s="28">
        <v>44453</v>
      </c>
      <c r="H228" s="28">
        <v>44477</v>
      </c>
      <c r="I228" s="24">
        <v>12</v>
      </c>
      <c r="J228" s="24" t="s">
        <v>33</v>
      </c>
      <c r="K228" s="24" t="s">
        <v>527</v>
      </c>
      <c r="L228" s="24" t="str">
        <f t="shared" si="21"/>
        <v>Non testé</v>
      </c>
      <c r="M228" s="23" t="s">
        <v>44</v>
      </c>
      <c r="N228" s="23" t="str">
        <f t="shared" si="22"/>
        <v/>
      </c>
      <c r="O228" s="24" t="s">
        <v>502</v>
      </c>
      <c r="P228" s="23">
        <v>3.5</v>
      </c>
      <c r="Q228" s="29">
        <v>1.0168999999999999</v>
      </c>
      <c r="R228" s="29"/>
      <c r="S228" s="24" t="s">
        <v>526</v>
      </c>
      <c r="T228" s="24" t="str">
        <f t="shared" si="23"/>
        <v>Censure haute</v>
      </c>
      <c r="U228" s="24" t="s">
        <v>35</v>
      </c>
      <c r="V228" s="24" t="str">
        <f t="shared" si="24"/>
        <v/>
      </c>
      <c r="W228" s="24" t="s">
        <v>527</v>
      </c>
      <c r="X228" s="23">
        <v>3.5</v>
      </c>
      <c r="Y228" s="23">
        <v>5.9687999999999999</v>
      </c>
      <c r="Z228" s="23"/>
      <c r="AA228" s="24" t="s">
        <v>527</v>
      </c>
      <c r="AB228" s="24" t="str">
        <f t="shared" si="25"/>
        <v>Censure haute</v>
      </c>
      <c r="AC228" s="23" t="s">
        <v>35</v>
      </c>
      <c r="AD228" s="23" t="s">
        <v>561</v>
      </c>
      <c r="AE228" s="23" t="str">
        <f t="shared" si="26"/>
        <v/>
      </c>
      <c r="AF228" s="23"/>
      <c r="AG228" s="23" t="str">
        <f t="shared" si="27"/>
        <v/>
      </c>
      <c r="AH228" s="24" t="s">
        <v>527</v>
      </c>
      <c r="AI228" s="23">
        <v>3.4129999999999998</v>
      </c>
      <c r="AJ228" s="23">
        <v>2.0207000000000002</v>
      </c>
      <c r="AK228" s="23"/>
      <c r="AL228" s="24" t="s">
        <v>527</v>
      </c>
      <c r="AM228" s="24">
        <v>210</v>
      </c>
      <c r="AN228" s="24">
        <v>0</v>
      </c>
      <c r="AO228" s="24">
        <f>IF(ISBLANK(AM228),"",IF(AM228=92,IF(T228="Censure haute",120,""),IF(AB228="Censure haute",120,"")))</f>
        <v>120</v>
      </c>
    </row>
    <row r="229" spans="1:41" x14ac:dyDescent="0.3">
      <c r="A229" s="24" t="s">
        <v>313</v>
      </c>
      <c r="B229" s="24" t="s">
        <v>516</v>
      </c>
      <c r="C229" s="25" t="s">
        <v>518</v>
      </c>
      <c r="D229" s="26">
        <v>21.2</v>
      </c>
      <c r="E229" s="24" t="s">
        <v>521</v>
      </c>
      <c r="F229" s="27" t="s">
        <v>525</v>
      </c>
      <c r="G229" s="28">
        <v>44453</v>
      </c>
      <c r="H229" s="28">
        <v>44477</v>
      </c>
      <c r="I229" s="24">
        <v>15</v>
      </c>
      <c r="J229" s="24" t="s">
        <v>43</v>
      </c>
      <c r="K229" s="24" t="s">
        <v>526</v>
      </c>
      <c r="L229" s="24" t="str">
        <f t="shared" si="21"/>
        <v>Non testé</v>
      </c>
      <c r="M229" s="23" t="s">
        <v>44</v>
      </c>
      <c r="N229" s="23" t="str">
        <f t="shared" si="22"/>
        <v/>
      </c>
      <c r="O229" s="24" t="s">
        <v>502</v>
      </c>
      <c r="P229" s="23">
        <v>3.5</v>
      </c>
      <c r="Q229" s="29">
        <v>6.2600000000000003E-2</v>
      </c>
      <c r="R229" s="29">
        <v>6.0400000000000002E-2</v>
      </c>
      <c r="S229" s="24" t="s">
        <v>526</v>
      </c>
      <c r="T229" s="24" t="str">
        <f t="shared" si="23"/>
        <v>Echec technique</v>
      </c>
      <c r="U229" s="24" t="s">
        <v>44</v>
      </c>
      <c r="V229" s="24" t="str">
        <f t="shared" si="24"/>
        <v/>
      </c>
      <c r="W229" s="24" t="s">
        <v>502</v>
      </c>
      <c r="X229" s="23">
        <v>3.355</v>
      </c>
      <c r="Y229" s="23">
        <v>1.5642</v>
      </c>
      <c r="Z229" s="23"/>
      <c r="AA229" s="24" t="s">
        <v>527</v>
      </c>
      <c r="AB229" s="24" t="str">
        <f t="shared" si="25"/>
        <v>Censure haute</v>
      </c>
      <c r="AC229" s="23" t="s">
        <v>35</v>
      </c>
      <c r="AD229" s="23" t="s">
        <v>561</v>
      </c>
      <c r="AE229" s="23" t="str">
        <f t="shared" si="26"/>
        <v/>
      </c>
      <c r="AF229" s="23"/>
      <c r="AG229" s="23" t="str">
        <f t="shared" si="27"/>
        <v/>
      </c>
      <c r="AH229" s="24" t="s">
        <v>527</v>
      </c>
      <c r="AI229" s="23">
        <v>3.4260000000000002</v>
      </c>
      <c r="AJ229" s="23">
        <v>0.63880000000000003</v>
      </c>
      <c r="AK229" s="23"/>
      <c r="AL229" s="24" t="s">
        <v>526</v>
      </c>
      <c r="AM229" s="24">
        <v>210</v>
      </c>
      <c r="AN229" s="24">
        <v>0</v>
      </c>
      <c r="AO229" s="24">
        <f>IF(ISBLANK(AM229),"",IF(AM229=92,IF(T229="Censure haute",120,""),IF(AB229="Censure haute",120,"")))</f>
        <v>120</v>
      </c>
    </row>
    <row r="230" spans="1:41" x14ac:dyDescent="0.3">
      <c r="A230" s="24" t="s">
        <v>315</v>
      </c>
      <c r="B230" s="24" t="s">
        <v>516</v>
      </c>
      <c r="C230" s="25" t="s">
        <v>518</v>
      </c>
      <c r="D230" s="26">
        <v>14.7</v>
      </c>
      <c r="E230" s="24" t="s">
        <v>523</v>
      </c>
      <c r="F230" s="27" t="s">
        <v>525</v>
      </c>
      <c r="G230" s="28">
        <v>44453</v>
      </c>
      <c r="H230" s="28">
        <v>44477</v>
      </c>
      <c r="I230" s="24">
        <v>12</v>
      </c>
      <c r="J230" s="24" t="s">
        <v>33</v>
      </c>
      <c r="K230" s="24" t="s">
        <v>526</v>
      </c>
      <c r="L230" s="24" t="str">
        <f t="shared" si="21"/>
        <v>Non testé</v>
      </c>
      <c r="M230" s="23" t="s">
        <v>44</v>
      </c>
      <c r="N230" s="23" t="str">
        <f t="shared" si="22"/>
        <v/>
      </c>
      <c r="O230" s="24" t="s">
        <v>502</v>
      </c>
      <c r="P230" s="23">
        <v>3.5</v>
      </c>
      <c r="Q230" s="29">
        <v>2.7143000000000002</v>
      </c>
      <c r="R230" s="29"/>
      <c r="S230" s="24" t="s">
        <v>527</v>
      </c>
      <c r="T230" s="24" t="str">
        <f t="shared" si="23"/>
        <v>Censure haute</v>
      </c>
      <c r="U230" s="24" t="s">
        <v>35</v>
      </c>
      <c r="V230" s="24" t="str">
        <f t="shared" si="24"/>
        <v/>
      </c>
      <c r="W230" s="24" t="s">
        <v>527</v>
      </c>
      <c r="X230" s="23">
        <v>3.5</v>
      </c>
      <c r="Y230" s="23">
        <v>1.6424000000000001</v>
      </c>
      <c r="Z230" s="23"/>
      <c r="AA230" s="24" t="s">
        <v>527</v>
      </c>
      <c r="AB230" s="24" t="str">
        <f t="shared" si="25"/>
        <v>Censure haute</v>
      </c>
      <c r="AC230" s="23" t="s">
        <v>35</v>
      </c>
      <c r="AD230" s="23" t="s">
        <v>561</v>
      </c>
      <c r="AE230" s="23" t="str">
        <f t="shared" si="26"/>
        <v/>
      </c>
      <c r="AF230" s="23"/>
      <c r="AG230" s="23" t="str">
        <f t="shared" si="27"/>
        <v/>
      </c>
      <c r="AH230" s="24" t="s">
        <v>527</v>
      </c>
      <c r="AI230" s="23">
        <v>3.4489999999999998</v>
      </c>
      <c r="AJ230" s="23">
        <v>1.3320000000000001</v>
      </c>
      <c r="AK230" s="23"/>
      <c r="AL230" s="24" t="s">
        <v>527</v>
      </c>
      <c r="AM230" s="24">
        <v>210</v>
      </c>
      <c r="AN230" s="24">
        <v>0</v>
      </c>
      <c r="AO230" s="24">
        <f>IF(ISBLANK(AM230),"",IF(AM230=92,IF(T230="Censure haute",120,""),IF(AB230="Censure haute",120,"")))</f>
        <v>120</v>
      </c>
    </row>
    <row r="231" spans="1:41" x14ac:dyDescent="0.3">
      <c r="A231" s="24" t="s">
        <v>316</v>
      </c>
      <c r="B231" s="24" t="s">
        <v>517</v>
      </c>
      <c r="C231" s="30" t="s">
        <v>518</v>
      </c>
      <c r="D231" s="26">
        <v>19.5</v>
      </c>
      <c r="E231" s="24" t="s">
        <v>521</v>
      </c>
      <c r="F231" s="27" t="s">
        <v>525</v>
      </c>
      <c r="G231" s="28">
        <v>44453</v>
      </c>
      <c r="H231" s="28">
        <v>44476</v>
      </c>
      <c r="I231" s="24">
        <v>15</v>
      </c>
      <c r="J231" s="24" t="s">
        <v>43</v>
      </c>
      <c r="K231" s="24" t="s">
        <v>527</v>
      </c>
      <c r="L231" s="24" t="str">
        <f t="shared" si="21"/>
        <v>Non testé</v>
      </c>
      <c r="M231" s="23" t="s">
        <v>44</v>
      </c>
      <c r="N231" s="23" t="str">
        <f t="shared" si="22"/>
        <v/>
      </c>
      <c r="O231" s="24" t="s">
        <v>502</v>
      </c>
      <c r="P231" s="23">
        <v>3.5</v>
      </c>
      <c r="Q231" s="29">
        <v>0.71650000000000003</v>
      </c>
      <c r="R231" s="29"/>
      <c r="S231" s="24" t="s">
        <v>526</v>
      </c>
      <c r="T231" s="24" t="str">
        <f t="shared" si="23"/>
        <v>Echec technique</v>
      </c>
      <c r="U231" s="24" t="s">
        <v>44</v>
      </c>
      <c r="V231" s="24" t="str">
        <f t="shared" si="24"/>
        <v/>
      </c>
      <c r="W231" s="24" t="s">
        <v>502</v>
      </c>
      <c r="X231" s="23">
        <v>3.3450000000000002</v>
      </c>
      <c r="Y231" s="23">
        <v>2.8719999999999999</v>
      </c>
      <c r="Z231" s="23"/>
      <c r="AA231" s="24" t="s">
        <v>527</v>
      </c>
      <c r="AB231" s="24" t="str">
        <f t="shared" si="25"/>
        <v>Non testé</v>
      </c>
      <c r="AC231" s="23" t="s">
        <v>44</v>
      </c>
      <c r="AD231" s="23" t="s">
        <v>561</v>
      </c>
      <c r="AE231" s="23" t="str">
        <f t="shared" si="26"/>
        <v/>
      </c>
      <c r="AF231" s="23"/>
      <c r="AG231" s="23" t="str">
        <f t="shared" si="27"/>
        <v/>
      </c>
      <c r="AH231" s="24" t="s">
        <v>502</v>
      </c>
      <c r="AI231" s="23">
        <v>3.4580000000000002</v>
      </c>
      <c r="AJ231" s="23">
        <v>1.5143</v>
      </c>
      <c r="AK231" s="23"/>
      <c r="AL231" s="24" t="s">
        <v>527</v>
      </c>
      <c r="AM231" s="24">
        <v>210</v>
      </c>
      <c r="AN231" s="24">
        <v>0</v>
      </c>
      <c r="AO231" s="24" t="str">
        <f>IF(ISBLANK(AM231),"",IF(AM231=92,IF(T231="Censure haute",120,""),IF(AB231="Censure haute",120,"")))</f>
        <v/>
      </c>
    </row>
    <row r="232" spans="1:41" x14ac:dyDescent="0.3">
      <c r="A232" s="24" t="s">
        <v>317</v>
      </c>
      <c r="B232" s="24" t="s">
        <v>516</v>
      </c>
      <c r="C232" s="25"/>
      <c r="D232" s="26">
        <v>18.100000000000001</v>
      </c>
      <c r="E232" s="24" t="s">
        <v>521</v>
      </c>
      <c r="F232" s="27" t="s">
        <v>525</v>
      </c>
      <c r="G232" s="28">
        <v>44453</v>
      </c>
      <c r="H232" s="28">
        <v>44489</v>
      </c>
      <c r="I232" s="24">
        <v>12</v>
      </c>
      <c r="J232" s="24" t="s">
        <v>33</v>
      </c>
      <c r="K232" s="24" t="s">
        <v>527</v>
      </c>
      <c r="L232" s="24" t="str">
        <f t="shared" si="21"/>
        <v>Non testé</v>
      </c>
      <c r="M232" s="23" t="s">
        <v>44</v>
      </c>
      <c r="N232" s="23" t="str">
        <f t="shared" si="22"/>
        <v/>
      </c>
      <c r="O232" s="24" t="s">
        <v>502</v>
      </c>
      <c r="P232" s="23">
        <v>3.5</v>
      </c>
      <c r="Q232" s="29">
        <v>1.0725</v>
      </c>
      <c r="R232" s="29"/>
      <c r="S232" s="24" t="s">
        <v>526</v>
      </c>
      <c r="T232" s="24" t="str">
        <f t="shared" si="23"/>
        <v>Echec technique</v>
      </c>
      <c r="U232" s="24" t="s">
        <v>44</v>
      </c>
      <c r="V232" s="24" t="str">
        <f t="shared" si="24"/>
        <v/>
      </c>
      <c r="W232" s="24" t="s">
        <v>502</v>
      </c>
      <c r="X232" s="23">
        <v>3.5</v>
      </c>
      <c r="Y232" s="23">
        <v>7.1192000000000002</v>
      </c>
      <c r="Z232" s="23"/>
      <c r="AA232" s="24" t="s">
        <v>527</v>
      </c>
      <c r="AB232" s="24" t="str">
        <f t="shared" si="25"/>
        <v>Censure haute</v>
      </c>
      <c r="AC232" s="23" t="s">
        <v>35</v>
      </c>
      <c r="AD232" s="23" t="s">
        <v>561</v>
      </c>
      <c r="AE232" s="23" t="str">
        <f t="shared" si="26"/>
        <v/>
      </c>
      <c r="AF232" s="23"/>
      <c r="AG232" s="23" t="str">
        <f t="shared" si="27"/>
        <v/>
      </c>
      <c r="AH232" s="24" t="s">
        <v>527</v>
      </c>
      <c r="AI232" s="23">
        <v>3.4580000000000002</v>
      </c>
      <c r="AJ232" s="23">
        <v>3.7991999999999999</v>
      </c>
      <c r="AK232" s="23"/>
      <c r="AL232" s="24" t="s">
        <v>527</v>
      </c>
      <c r="AM232" s="24">
        <v>210</v>
      </c>
      <c r="AN232" s="24">
        <v>0</v>
      </c>
      <c r="AO232" s="24">
        <f>IF(ISBLANK(AM232),"",IF(AM232=92,IF(T232="Censure haute",120,""),IF(AB232="Censure haute",120,"")))</f>
        <v>120</v>
      </c>
    </row>
    <row r="233" spans="1:41" x14ac:dyDescent="0.3">
      <c r="A233" s="24" t="s">
        <v>318</v>
      </c>
      <c r="B233" s="24" t="s">
        <v>516</v>
      </c>
      <c r="C233" s="25"/>
      <c r="D233" s="26">
        <v>17.5</v>
      </c>
      <c r="E233" s="24" t="s">
        <v>521</v>
      </c>
      <c r="F233" s="27" t="s">
        <v>525</v>
      </c>
      <c r="G233" s="28">
        <v>44453</v>
      </c>
      <c r="H233" s="28">
        <v>44477</v>
      </c>
      <c r="I233" s="24">
        <v>15</v>
      </c>
      <c r="J233" s="24" t="s">
        <v>43</v>
      </c>
      <c r="K233" s="24" t="s">
        <v>526</v>
      </c>
      <c r="L233" s="24" t="str">
        <f t="shared" si="21"/>
        <v>Non testé</v>
      </c>
      <c r="M233" s="23" t="s">
        <v>44</v>
      </c>
      <c r="N233" s="23" t="str">
        <f t="shared" si="22"/>
        <v/>
      </c>
      <c r="O233" s="24" t="s">
        <v>502</v>
      </c>
      <c r="P233" s="23">
        <v>3.5</v>
      </c>
      <c r="Q233" s="29">
        <v>7.8600000000000003E-2</v>
      </c>
      <c r="R233" s="29"/>
      <c r="S233" s="24" t="s">
        <v>526</v>
      </c>
      <c r="T233" s="24" t="str">
        <f t="shared" si="23"/>
        <v>Censure haute</v>
      </c>
      <c r="U233" s="24" t="s">
        <v>35</v>
      </c>
      <c r="V233" s="24" t="str">
        <f t="shared" si="24"/>
        <v/>
      </c>
      <c r="W233" s="24" t="s">
        <v>527</v>
      </c>
      <c r="X233" s="23">
        <v>3.5</v>
      </c>
      <c r="Y233" s="23">
        <v>4.2988999999999997</v>
      </c>
      <c r="Z233" s="23">
        <v>3.9011</v>
      </c>
      <c r="AA233" s="24" t="s">
        <v>527</v>
      </c>
      <c r="AB233" s="24" t="str">
        <f t="shared" si="25"/>
        <v>Censure haute</v>
      </c>
      <c r="AC233" s="23" t="s">
        <v>35</v>
      </c>
      <c r="AD233" s="23" t="s">
        <v>561</v>
      </c>
      <c r="AE233" s="23" t="str">
        <f t="shared" si="26"/>
        <v/>
      </c>
      <c r="AF233" s="23"/>
      <c r="AG233" s="23" t="str">
        <f t="shared" si="27"/>
        <v/>
      </c>
      <c r="AH233" s="24" t="s">
        <v>527</v>
      </c>
      <c r="AI233" s="23">
        <v>3.4590000000000001</v>
      </c>
      <c r="AJ233" s="23">
        <v>2.8706</v>
      </c>
      <c r="AK233" s="23"/>
      <c r="AL233" s="24" t="s">
        <v>527</v>
      </c>
      <c r="AM233" s="24">
        <v>210</v>
      </c>
      <c r="AN233" s="24">
        <v>0</v>
      </c>
      <c r="AO233" s="24">
        <f>IF(ISBLANK(AM233),"",IF(AM233=92,IF(T233="Censure haute",120,""),IF(AB233="Censure haute",120,"")))</f>
        <v>120</v>
      </c>
    </row>
    <row r="234" spans="1:41" x14ac:dyDescent="0.3">
      <c r="A234" s="24" t="s">
        <v>320</v>
      </c>
      <c r="B234" s="24" t="s">
        <v>517</v>
      </c>
      <c r="C234" s="25"/>
      <c r="D234" s="26">
        <v>15.7</v>
      </c>
      <c r="E234" s="24" t="s">
        <v>521</v>
      </c>
      <c r="F234" s="27" t="s">
        <v>525</v>
      </c>
      <c r="G234" s="28">
        <v>44453</v>
      </c>
      <c r="H234" s="28">
        <v>44491</v>
      </c>
      <c r="I234" s="24">
        <v>12</v>
      </c>
      <c r="J234" s="24" t="s">
        <v>33</v>
      </c>
      <c r="K234" s="24" t="s">
        <v>526</v>
      </c>
      <c r="L234" s="24" t="str">
        <f t="shared" si="21"/>
        <v>Non testé</v>
      </c>
      <c r="M234" s="23" t="s">
        <v>44</v>
      </c>
      <c r="N234" s="23" t="str">
        <f t="shared" si="22"/>
        <v/>
      </c>
      <c r="O234" s="24" t="s">
        <v>502</v>
      </c>
      <c r="P234" s="23">
        <v>3.5</v>
      </c>
      <c r="Q234" s="29">
        <v>7.6399999999999996E-2</v>
      </c>
      <c r="R234" s="29"/>
      <c r="S234" s="24" t="s">
        <v>526</v>
      </c>
      <c r="T234" s="24" t="str">
        <f t="shared" si="23"/>
        <v>Normal</v>
      </c>
      <c r="U234" s="24">
        <v>0.57030000000000003</v>
      </c>
      <c r="V234" s="24">
        <f t="shared" si="24"/>
        <v>0.57030000000000003</v>
      </c>
      <c r="W234" s="24" t="s">
        <v>526</v>
      </c>
      <c r="X234" s="23">
        <v>2.484</v>
      </c>
      <c r="Y234" s="23">
        <v>8.4199999999999997E-2</v>
      </c>
      <c r="Z234" s="23"/>
      <c r="AA234" s="24" t="s">
        <v>526</v>
      </c>
      <c r="AB234" s="24" t="str">
        <f t="shared" si="25"/>
        <v>Normal</v>
      </c>
      <c r="AC234" s="23">
        <v>0.50870000000000004</v>
      </c>
      <c r="AD234" s="23">
        <v>0.50870000000000004</v>
      </c>
      <c r="AE234" s="23" t="str">
        <f t="shared" si="26"/>
        <v/>
      </c>
      <c r="AF234" s="23"/>
      <c r="AG234" s="23" t="str">
        <f t="shared" si="27"/>
        <v/>
      </c>
      <c r="AH234" s="24" t="s">
        <v>526</v>
      </c>
      <c r="AI234" s="23">
        <v>3.4660000000000002</v>
      </c>
      <c r="AJ234" s="23">
        <v>6.4699999999999994E-2</v>
      </c>
      <c r="AK234" s="23"/>
      <c r="AL234" s="24" t="s">
        <v>526</v>
      </c>
      <c r="AM234" s="24"/>
      <c r="AN234" s="24"/>
      <c r="AO234" s="24" t="str">
        <f>IF(ISBLANK(AM234),"",IF(AM234=92,IF(T234="Censure haute",120,""),IF(AB234="Censure haute",120,"")))</f>
        <v/>
      </c>
    </row>
    <row r="235" spans="1:41" x14ac:dyDescent="0.3">
      <c r="A235" s="24" t="s">
        <v>321</v>
      </c>
      <c r="B235" s="24" t="s">
        <v>517</v>
      </c>
      <c r="C235" s="30" t="s">
        <v>518</v>
      </c>
      <c r="D235" s="26">
        <v>23.5</v>
      </c>
      <c r="E235" s="24" t="s">
        <v>520</v>
      </c>
      <c r="F235" s="27" t="s">
        <v>525</v>
      </c>
      <c r="G235" s="28">
        <v>44453</v>
      </c>
      <c r="H235" s="28">
        <v>44476</v>
      </c>
      <c r="I235" s="24">
        <v>12</v>
      </c>
      <c r="J235" s="24" t="s">
        <v>33</v>
      </c>
      <c r="K235" s="24" t="s">
        <v>526</v>
      </c>
      <c r="L235" s="24" t="str">
        <f t="shared" si="21"/>
        <v>Non testé</v>
      </c>
      <c r="M235" s="23" t="s">
        <v>44</v>
      </c>
      <c r="N235" s="23" t="str">
        <f t="shared" si="22"/>
        <v/>
      </c>
      <c r="O235" s="24" t="s">
        <v>502</v>
      </c>
      <c r="P235" s="23">
        <v>3.5</v>
      </c>
      <c r="Q235" s="29">
        <v>0.15440000000000001</v>
      </c>
      <c r="R235" s="29"/>
      <c r="S235" s="24" t="s">
        <v>526</v>
      </c>
      <c r="T235" s="24" t="str">
        <f t="shared" si="23"/>
        <v>Echec technique</v>
      </c>
      <c r="U235" s="24" t="s">
        <v>44</v>
      </c>
      <c r="V235" s="24" t="str">
        <f t="shared" si="24"/>
        <v/>
      </c>
      <c r="W235" s="24" t="s">
        <v>502</v>
      </c>
      <c r="X235" s="23">
        <v>3.5</v>
      </c>
      <c r="Y235" s="23">
        <v>1.4715</v>
      </c>
      <c r="Z235" s="23"/>
      <c r="AA235" s="24" t="s">
        <v>527</v>
      </c>
      <c r="AB235" s="24" t="str">
        <f t="shared" si="25"/>
        <v>Censure haute</v>
      </c>
      <c r="AC235" s="23" t="s">
        <v>35</v>
      </c>
      <c r="AD235" s="23" t="s">
        <v>561</v>
      </c>
      <c r="AE235" s="23" t="str">
        <f t="shared" si="26"/>
        <v/>
      </c>
      <c r="AF235" s="23"/>
      <c r="AG235" s="23" t="str">
        <f t="shared" si="27"/>
        <v/>
      </c>
      <c r="AH235" s="24" t="s">
        <v>527</v>
      </c>
      <c r="AI235" s="23">
        <v>3.4710000000000001</v>
      </c>
      <c r="AJ235" s="23">
        <v>0.70760000000000001</v>
      </c>
      <c r="AK235" s="23"/>
      <c r="AL235" s="24" t="s">
        <v>526</v>
      </c>
      <c r="AM235" s="24">
        <v>210</v>
      </c>
      <c r="AN235" s="24">
        <v>0</v>
      </c>
      <c r="AO235" s="24">
        <f>IF(ISBLANK(AM235),"",IF(AM235=92,IF(T235="Censure haute",120,""),IF(AB235="Censure haute",120,"")))</f>
        <v>120</v>
      </c>
    </row>
    <row r="236" spans="1:41" x14ac:dyDescent="0.3">
      <c r="A236" s="24" t="s">
        <v>322</v>
      </c>
      <c r="B236" s="24" t="s">
        <v>516</v>
      </c>
      <c r="C236" s="25" t="s">
        <v>519</v>
      </c>
      <c r="D236" s="26">
        <v>20.2</v>
      </c>
      <c r="E236" s="24" t="s">
        <v>521</v>
      </c>
      <c r="F236" s="27" t="s">
        <v>525</v>
      </c>
      <c r="G236" s="28">
        <v>44454</v>
      </c>
      <c r="H236" s="28">
        <v>44477</v>
      </c>
      <c r="I236" s="24">
        <v>12</v>
      </c>
      <c r="J236" s="24" t="s">
        <v>33</v>
      </c>
      <c r="K236" s="24" t="s">
        <v>526</v>
      </c>
      <c r="L236" s="24" t="str">
        <f t="shared" si="21"/>
        <v>Non testé</v>
      </c>
      <c r="M236" s="23" t="s">
        <v>44</v>
      </c>
      <c r="N236" s="23" t="str">
        <f t="shared" si="22"/>
        <v/>
      </c>
      <c r="O236" s="24" t="s">
        <v>502</v>
      </c>
      <c r="P236" s="23">
        <v>3.5</v>
      </c>
      <c r="Q236" s="29">
        <v>1.6765000000000001</v>
      </c>
      <c r="R236" s="29"/>
      <c r="S236" s="24" t="s">
        <v>527</v>
      </c>
      <c r="T236" s="24" t="str">
        <f t="shared" si="23"/>
        <v>Censure haute</v>
      </c>
      <c r="U236" s="24" t="s">
        <v>35</v>
      </c>
      <c r="V236" s="24" t="str">
        <f t="shared" si="24"/>
        <v/>
      </c>
      <c r="W236" s="24" t="s">
        <v>527</v>
      </c>
      <c r="X236" s="23">
        <v>2.9790000000000001</v>
      </c>
      <c r="Y236" s="23">
        <v>5.2031000000000001</v>
      </c>
      <c r="Z236" s="23"/>
      <c r="AA236" s="24" t="s">
        <v>526</v>
      </c>
      <c r="AB236" s="24" t="str">
        <f t="shared" si="25"/>
        <v>Censure haute</v>
      </c>
      <c r="AC236" s="23" t="s">
        <v>35</v>
      </c>
      <c r="AD236" s="23" t="s">
        <v>561</v>
      </c>
      <c r="AE236" s="23" t="str">
        <f t="shared" si="26"/>
        <v/>
      </c>
      <c r="AF236" s="23"/>
      <c r="AG236" s="23" t="str">
        <f t="shared" si="27"/>
        <v/>
      </c>
      <c r="AH236" s="24" t="s">
        <v>527</v>
      </c>
      <c r="AI236" s="23">
        <v>3.472</v>
      </c>
      <c r="AJ236" s="23">
        <v>2.1172</v>
      </c>
      <c r="AK236" s="23"/>
      <c r="AL236" s="24" t="s">
        <v>527</v>
      </c>
      <c r="AM236" s="24">
        <v>210</v>
      </c>
      <c r="AN236" s="24">
        <v>0</v>
      </c>
      <c r="AO236" s="24">
        <f>IF(ISBLANK(AM236),"",IF(AM236=92,IF(T236="Censure haute",120,""),IF(AB236="Censure haute",120,"")))</f>
        <v>120</v>
      </c>
    </row>
    <row r="237" spans="1:41" x14ac:dyDescent="0.3">
      <c r="A237" s="24" t="s">
        <v>323</v>
      </c>
      <c r="B237" s="24" t="s">
        <v>516</v>
      </c>
      <c r="C237" s="25" t="s">
        <v>518</v>
      </c>
      <c r="D237" s="26">
        <v>26.5</v>
      </c>
      <c r="E237" s="24" t="s">
        <v>520</v>
      </c>
      <c r="F237" s="27" t="s">
        <v>525</v>
      </c>
      <c r="G237" s="28">
        <v>44453</v>
      </c>
      <c r="H237" s="28">
        <v>44477</v>
      </c>
      <c r="I237" s="24">
        <v>15</v>
      </c>
      <c r="J237" s="24" t="s">
        <v>43</v>
      </c>
      <c r="K237" s="24" t="s">
        <v>526</v>
      </c>
      <c r="L237" s="24" t="str">
        <f t="shared" si="21"/>
        <v>Non testé</v>
      </c>
      <c r="M237" s="23" t="s">
        <v>44</v>
      </c>
      <c r="N237" s="23" t="str">
        <f t="shared" si="22"/>
        <v/>
      </c>
      <c r="O237" s="24" t="s">
        <v>502</v>
      </c>
      <c r="P237" s="23">
        <v>3.5</v>
      </c>
      <c r="Q237" s="29">
        <v>0.11409999999999999</v>
      </c>
      <c r="R237" s="29"/>
      <c r="S237" s="24" t="s">
        <v>526</v>
      </c>
      <c r="T237" s="24" t="str">
        <f t="shared" si="23"/>
        <v>Normal</v>
      </c>
      <c r="U237" s="24">
        <v>31.6221</v>
      </c>
      <c r="V237" s="24">
        <f t="shared" si="24"/>
        <v>31.6221</v>
      </c>
      <c r="W237" s="24" t="s">
        <v>527</v>
      </c>
      <c r="X237" s="23">
        <v>3.5</v>
      </c>
      <c r="Y237" s="23">
        <v>1.8611</v>
      </c>
      <c r="Z237" s="23"/>
      <c r="AA237" s="24" t="s">
        <v>527</v>
      </c>
      <c r="AB237" s="24" t="str">
        <f t="shared" si="25"/>
        <v>Normal</v>
      </c>
      <c r="AC237" s="23">
        <v>178042</v>
      </c>
      <c r="AD237" s="23">
        <v>17.804200000000002</v>
      </c>
      <c r="AE237" s="23" t="str">
        <f t="shared" si="26"/>
        <v/>
      </c>
      <c r="AF237" s="23"/>
      <c r="AG237" s="23" t="str">
        <f t="shared" si="27"/>
        <v/>
      </c>
      <c r="AH237" s="24" t="s">
        <v>527</v>
      </c>
      <c r="AI237" s="23">
        <v>3.472</v>
      </c>
      <c r="AJ237" s="23">
        <v>0.49480000000000002</v>
      </c>
      <c r="AK237" s="23"/>
      <c r="AL237" s="24" t="s">
        <v>526</v>
      </c>
      <c r="AM237" s="24"/>
      <c r="AN237" s="24"/>
      <c r="AO237" s="24" t="str">
        <f>IF(ISBLANK(AM237),"",IF(AM237=92,IF(T237="Censure haute",120,""),IF(AB237="Censure haute",120,"")))</f>
        <v/>
      </c>
    </row>
    <row r="238" spans="1:41" x14ac:dyDescent="0.3">
      <c r="A238" s="24" t="s">
        <v>324</v>
      </c>
      <c r="B238" s="24" t="s">
        <v>516</v>
      </c>
      <c r="C238" s="30" t="s">
        <v>518</v>
      </c>
      <c r="D238" s="26">
        <v>17.100000000000001</v>
      </c>
      <c r="E238" s="24" t="s">
        <v>521</v>
      </c>
      <c r="F238" s="27" t="s">
        <v>525</v>
      </c>
      <c r="G238" s="28">
        <v>44453</v>
      </c>
      <c r="H238" s="28">
        <v>44476</v>
      </c>
      <c r="I238" s="24">
        <v>15</v>
      </c>
      <c r="J238" s="24" t="s">
        <v>43</v>
      </c>
      <c r="K238" s="24" t="s">
        <v>526</v>
      </c>
      <c r="L238" s="24" t="str">
        <f t="shared" si="21"/>
        <v>Non testé</v>
      </c>
      <c r="M238" s="23" t="s">
        <v>44</v>
      </c>
      <c r="N238" s="23" t="str">
        <f t="shared" si="22"/>
        <v/>
      </c>
      <c r="O238" s="24" t="s">
        <v>502</v>
      </c>
      <c r="P238" s="23">
        <v>3.5</v>
      </c>
      <c r="Q238" s="29">
        <v>7.17E-2</v>
      </c>
      <c r="R238" s="29"/>
      <c r="S238" s="24" t="s">
        <v>526</v>
      </c>
      <c r="T238" s="24" t="str">
        <f t="shared" si="23"/>
        <v>Echec technique</v>
      </c>
      <c r="U238" s="24" t="s">
        <v>44</v>
      </c>
      <c r="V238" s="24" t="str">
        <f t="shared" si="24"/>
        <v/>
      </c>
      <c r="W238" s="24" t="s">
        <v>502</v>
      </c>
      <c r="X238" s="23">
        <v>3.5</v>
      </c>
      <c r="Y238" s="23">
        <v>2.0897000000000001</v>
      </c>
      <c r="Z238" s="23"/>
      <c r="AA238" s="24" t="s">
        <v>527</v>
      </c>
      <c r="AB238" s="24" t="str">
        <f t="shared" si="25"/>
        <v>Non testé</v>
      </c>
      <c r="AC238" s="23" t="s">
        <v>44</v>
      </c>
      <c r="AD238" s="23" t="s">
        <v>561</v>
      </c>
      <c r="AE238" s="23" t="str">
        <f t="shared" si="26"/>
        <v/>
      </c>
      <c r="AF238" s="23"/>
      <c r="AG238" s="23" t="str">
        <f t="shared" si="27"/>
        <v/>
      </c>
      <c r="AH238" s="24" t="s">
        <v>502</v>
      </c>
      <c r="AI238" s="23">
        <v>3.4750000000000001</v>
      </c>
      <c r="AJ238" s="23">
        <v>4.9916999999999998</v>
      </c>
      <c r="AK238" s="23"/>
      <c r="AL238" s="24" t="s">
        <v>527</v>
      </c>
      <c r="AM238" s="24">
        <v>210</v>
      </c>
      <c r="AN238" s="24">
        <v>0</v>
      </c>
      <c r="AO238" s="24" t="str">
        <f>IF(ISBLANK(AM238),"",IF(AM238=92,IF(T238="Censure haute",120,""),IF(AB238="Censure haute",120,"")))</f>
        <v/>
      </c>
    </row>
    <row r="239" spans="1:41" x14ac:dyDescent="0.3">
      <c r="A239" s="24" t="s">
        <v>325</v>
      </c>
      <c r="B239" s="24" t="s">
        <v>516</v>
      </c>
      <c r="C239" s="25" t="s">
        <v>518</v>
      </c>
      <c r="D239" s="26">
        <v>26.4</v>
      </c>
      <c r="E239" s="24" t="s">
        <v>522</v>
      </c>
      <c r="F239" s="27" t="s">
        <v>525</v>
      </c>
      <c r="G239" s="28">
        <v>44453</v>
      </c>
      <c r="H239" s="28">
        <v>44477</v>
      </c>
      <c r="I239" s="24">
        <v>12</v>
      </c>
      <c r="J239" s="24" t="s">
        <v>33</v>
      </c>
      <c r="K239" s="24" t="s">
        <v>526</v>
      </c>
      <c r="L239" s="24" t="str">
        <f t="shared" si="21"/>
        <v>Non testé</v>
      </c>
      <c r="M239" s="23" t="s">
        <v>44</v>
      </c>
      <c r="N239" s="23" t="str">
        <f t="shared" si="22"/>
        <v/>
      </c>
      <c r="O239" s="24" t="s">
        <v>502</v>
      </c>
      <c r="P239" s="23">
        <v>3.5</v>
      </c>
      <c r="Q239" s="29">
        <v>0.62229999999999996</v>
      </c>
      <c r="R239" s="29"/>
      <c r="S239" s="24" t="s">
        <v>526</v>
      </c>
      <c r="T239" s="24" t="str">
        <f t="shared" si="23"/>
        <v>Censure haute</v>
      </c>
      <c r="U239" s="24" t="s">
        <v>35</v>
      </c>
      <c r="V239" s="24" t="str">
        <f t="shared" si="24"/>
        <v/>
      </c>
      <c r="W239" s="24" t="s">
        <v>527</v>
      </c>
      <c r="X239" s="23">
        <v>3.5</v>
      </c>
      <c r="Y239" s="23">
        <v>6.4926000000000004</v>
      </c>
      <c r="Z239" s="23"/>
      <c r="AA239" s="24" t="s">
        <v>527</v>
      </c>
      <c r="AB239" s="24" t="str">
        <f t="shared" si="25"/>
        <v>Censure haute</v>
      </c>
      <c r="AC239" s="23" t="s">
        <v>35</v>
      </c>
      <c r="AD239" s="23" t="s">
        <v>561</v>
      </c>
      <c r="AE239" s="23" t="str">
        <f t="shared" si="26"/>
        <v/>
      </c>
      <c r="AF239" s="23"/>
      <c r="AG239" s="23" t="str">
        <f t="shared" si="27"/>
        <v/>
      </c>
      <c r="AH239" s="24" t="s">
        <v>527</v>
      </c>
      <c r="AI239" s="23">
        <v>3.476</v>
      </c>
      <c r="AJ239" s="23">
        <v>2.0312999999999999</v>
      </c>
      <c r="AK239" s="23"/>
      <c r="AL239" s="24" t="s">
        <v>527</v>
      </c>
      <c r="AM239" s="24">
        <v>210</v>
      </c>
      <c r="AN239" s="24">
        <v>0</v>
      </c>
      <c r="AO239" s="24">
        <f>IF(ISBLANK(AM239),"",IF(AM239=92,IF(T239="Censure haute",120,""),IF(AB239="Censure haute",120,"")))</f>
        <v>120</v>
      </c>
    </row>
    <row r="240" spans="1:41" x14ac:dyDescent="0.3">
      <c r="A240" s="24" t="s">
        <v>326</v>
      </c>
      <c r="B240" s="24" t="s">
        <v>516</v>
      </c>
      <c r="C240" s="25" t="s">
        <v>518</v>
      </c>
      <c r="D240" s="26">
        <v>17.899999999999999</v>
      </c>
      <c r="E240" s="24" t="s">
        <v>521</v>
      </c>
      <c r="F240" s="27" t="s">
        <v>525</v>
      </c>
      <c r="G240" s="28">
        <v>44454</v>
      </c>
      <c r="H240" s="28">
        <v>44476</v>
      </c>
      <c r="I240" s="24">
        <v>15</v>
      </c>
      <c r="J240" s="24" t="s">
        <v>43</v>
      </c>
      <c r="K240" s="24" t="s">
        <v>526</v>
      </c>
      <c r="L240" s="24" t="str">
        <f t="shared" si="21"/>
        <v>Non testé</v>
      </c>
      <c r="M240" s="23" t="s">
        <v>44</v>
      </c>
      <c r="N240" s="23" t="str">
        <f t="shared" si="22"/>
        <v/>
      </c>
      <c r="O240" s="24" t="s">
        <v>502</v>
      </c>
      <c r="P240" s="23">
        <v>3.5</v>
      </c>
      <c r="Q240" s="29">
        <v>0.19020000000000001</v>
      </c>
      <c r="R240" s="29"/>
      <c r="S240" s="24" t="s">
        <v>526</v>
      </c>
      <c r="T240" s="24" t="str">
        <f t="shared" si="23"/>
        <v>Censure haute</v>
      </c>
      <c r="U240" s="24" t="s">
        <v>35</v>
      </c>
      <c r="V240" s="24" t="str">
        <f t="shared" si="24"/>
        <v/>
      </c>
      <c r="W240" s="24" t="s">
        <v>527</v>
      </c>
      <c r="X240" s="23">
        <v>3.5</v>
      </c>
      <c r="Y240" s="23">
        <v>0.22989999999999999</v>
      </c>
      <c r="Z240" s="23"/>
      <c r="AA240" s="24" t="s">
        <v>526</v>
      </c>
      <c r="AB240" s="24" t="str">
        <f t="shared" si="25"/>
        <v>Non testé</v>
      </c>
      <c r="AC240" s="23" t="s">
        <v>44</v>
      </c>
      <c r="AD240" s="23" t="s">
        <v>561</v>
      </c>
      <c r="AE240" s="23" t="str">
        <f t="shared" si="26"/>
        <v/>
      </c>
      <c r="AF240" s="23"/>
      <c r="AG240" s="23" t="str">
        <f t="shared" si="27"/>
        <v/>
      </c>
      <c r="AH240" s="24" t="s">
        <v>502</v>
      </c>
      <c r="AI240" s="23">
        <v>3.476</v>
      </c>
      <c r="AJ240" s="23">
        <v>0.83450000000000002</v>
      </c>
      <c r="AK240" s="23"/>
      <c r="AL240" s="24" t="s">
        <v>526</v>
      </c>
      <c r="AM240" s="24">
        <v>210</v>
      </c>
      <c r="AN240" s="24">
        <v>0</v>
      </c>
      <c r="AO240" s="24" t="str">
        <f>IF(ISBLANK(AM240),"",IF(AM240=92,IF(T240="Censure haute",120,""),IF(AB240="Censure haute",120,"")))</f>
        <v/>
      </c>
    </row>
    <row r="241" spans="1:41" x14ac:dyDescent="0.3">
      <c r="A241" s="24" t="s">
        <v>327</v>
      </c>
      <c r="B241" s="24" t="s">
        <v>516</v>
      </c>
      <c r="C241" s="25" t="s">
        <v>518</v>
      </c>
      <c r="D241" s="26">
        <v>22</v>
      </c>
      <c r="E241" s="24" t="s">
        <v>521</v>
      </c>
      <c r="F241" s="27" t="s">
        <v>525</v>
      </c>
      <c r="G241" s="28">
        <v>44453</v>
      </c>
      <c r="H241" s="28">
        <v>44476</v>
      </c>
      <c r="I241" s="24">
        <v>15</v>
      </c>
      <c r="J241" s="24" t="s">
        <v>43</v>
      </c>
      <c r="K241" s="24" t="s">
        <v>526</v>
      </c>
      <c r="L241" s="24" t="str">
        <f t="shared" si="21"/>
        <v>Non testé</v>
      </c>
      <c r="M241" s="23" t="s">
        <v>44</v>
      </c>
      <c r="N241" s="23" t="str">
        <f t="shared" si="22"/>
        <v/>
      </c>
      <c r="O241" s="24" t="s">
        <v>502</v>
      </c>
      <c r="P241" s="23">
        <v>3.5</v>
      </c>
      <c r="Q241" s="29">
        <v>1.4410000000000001</v>
      </c>
      <c r="R241" s="29"/>
      <c r="S241" s="24" t="s">
        <v>527</v>
      </c>
      <c r="T241" s="24" t="str">
        <f t="shared" si="23"/>
        <v>Echec technique</v>
      </c>
      <c r="U241" s="24" t="s">
        <v>44</v>
      </c>
      <c r="V241" s="24" t="str">
        <f t="shared" si="24"/>
        <v/>
      </c>
      <c r="W241" s="24" t="s">
        <v>502</v>
      </c>
      <c r="X241" s="23">
        <v>3.4580000000000002</v>
      </c>
      <c r="Y241" s="23">
        <v>4.4695</v>
      </c>
      <c r="Z241" s="23"/>
      <c r="AA241" s="24" t="s">
        <v>527</v>
      </c>
      <c r="AB241" s="24" t="str">
        <f t="shared" si="25"/>
        <v>Censure haute</v>
      </c>
      <c r="AC241" s="23" t="s">
        <v>35</v>
      </c>
      <c r="AD241" s="23" t="s">
        <v>561</v>
      </c>
      <c r="AE241" s="23" t="str">
        <f t="shared" si="26"/>
        <v/>
      </c>
      <c r="AF241" s="23"/>
      <c r="AG241" s="23" t="str">
        <f t="shared" si="27"/>
        <v/>
      </c>
      <c r="AH241" s="24" t="s">
        <v>527</v>
      </c>
      <c r="AI241" s="23">
        <v>3.4769999999999999</v>
      </c>
      <c r="AJ241" s="23">
        <v>2.2944</v>
      </c>
      <c r="AK241" s="23"/>
      <c r="AL241" s="24" t="s">
        <v>527</v>
      </c>
      <c r="AM241" s="24">
        <v>210</v>
      </c>
      <c r="AN241" s="24">
        <v>0</v>
      </c>
      <c r="AO241" s="24">
        <f>IF(ISBLANK(AM241),"",IF(AM241=92,IF(T241="Censure haute",120,""),IF(AB241="Censure haute",120,"")))</f>
        <v>120</v>
      </c>
    </row>
    <row r="242" spans="1:41" x14ac:dyDescent="0.3">
      <c r="A242" s="24" t="s">
        <v>328</v>
      </c>
      <c r="B242" s="24" t="s">
        <v>517</v>
      </c>
      <c r="C242" s="25" t="s">
        <v>519</v>
      </c>
      <c r="D242" s="26">
        <v>33.5</v>
      </c>
      <c r="E242" s="24" t="s">
        <v>522</v>
      </c>
      <c r="F242" s="27" t="s">
        <v>525</v>
      </c>
      <c r="G242" s="28">
        <v>44454</v>
      </c>
      <c r="H242" s="28">
        <v>44476</v>
      </c>
      <c r="I242" s="24">
        <v>15</v>
      </c>
      <c r="J242" s="24" t="s">
        <v>43</v>
      </c>
      <c r="K242" s="24" t="s">
        <v>527</v>
      </c>
      <c r="L242" s="24" t="str">
        <f t="shared" si="21"/>
        <v>Non testé</v>
      </c>
      <c r="M242" s="23" t="s">
        <v>44</v>
      </c>
      <c r="N242" s="23" t="str">
        <f t="shared" si="22"/>
        <v/>
      </c>
      <c r="O242" s="24" t="s">
        <v>502</v>
      </c>
      <c r="P242" s="23">
        <v>3.5</v>
      </c>
      <c r="Q242" s="29">
        <v>0.67789999999999995</v>
      </c>
      <c r="R242" s="29"/>
      <c r="S242" s="24" t="s">
        <v>526</v>
      </c>
      <c r="T242" s="24" t="str">
        <f t="shared" si="23"/>
        <v>Censure haute</v>
      </c>
      <c r="U242" s="24" t="s">
        <v>35</v>
      </c>
      <c r="V242" s="24" t="str">
        <f t="shared" si="24"/>
        <v/>
      </c>
      <c r="W242" s="24" t="s">
        <v>527</v>
      </c>
      <c r="X242" s="23">
        <v>3.5</v>
      </c>
      <c r="Y242" s="23">
        <v>0.34379999999999999</v>
      </c>
      <c r="Z242" s="23"/>
      <c r="AA242" s="24" t="s">
        <v>526</v>
      </c>
      <c r="AB242" s="24" t="str">
        <f t="shared" si="25"/>
        <v>Censure haute</v>
      </c>
      <c r="AC242" s="23" t="s">
        <v>35</v>
      </c>
      <c r="AD242" s="23" t="s">
        <v>561</v>
      </c>
      <c r="AE242" s="23" t="str">
        <f t="shared" si="26"/>
        <v/>
      </c>
      <c r="AF242" s="23"/>
      <c r="AG242" s="23" t="str">
        <f t="shared" si="27"/>
        <v/>
      </c>
      <c r="AH242" s="24" t="s">
        <v>527</v>
      </c>
      <c r="AI242" s="23">
        <v>3.4780000000000002</v>
      </c>
      <c r="AJ242" s="23">
        <v>5.0396999999999998</v>
      </c>
      <c r="AK242" s="23"/>
      <c r="AL242" s="24" t="s">
        <v>527</v>
      </c>
      <c r="AM242" s="24">
        <v>210</v>
      </c>
      <c r="AN242" s="24">
        <v>0</v>
      </c>
      <c r="AO242" s="24">
        <f>IF(ISBLANK(AM242),"",IF(AM242=92,IF(T242="Censure haute",120,""),IF(AB242="Censure haute",120,"")))</f>
        <v>120</v>
      </c>
    </row>
    <row r="243" spans="1:41" x14ac:dyDescent="0.3">
      <c r="A243" s="24" t="s">
        <v>329</v>
      </c>
      <c r="B243" s="24" t="s">
        <v>517</v>
      </c>
      <c r="C243" s="30"/>
      <c r="D243" s="26">
        <v>18.7</v>
      </c>
      <c r="E243" s="24" t="s">
        <v>521</v>
      </c>
      <c r="F243" s="27" t="s">
        <v>525</v>
      </c>
      <c r="G243" s="28">
        <v>44453</v>
      </c>
      <c r="H243" s="28">
        <v>44477</v>
      </c>
      <c r="I243" s="24">
        <v>12</v>
      </c>
      <c r="J243" s="24" t="s">
        <v>33</v>
      </c>
      <c r="K243" s="24" t="s">
        <v>526</v>
      </c>
      <c r="L243" s="24" t="str">
        <f t="shared" si="21"/>
        <v>Non testé</v>
      </c>
      <c r="M243" s="23" t="s">
        <v>44</v>
      </c>
      <c r="N243" s="23" t="str">
        <f t="shared" si="22"/>
        <v/>
      </c>
      <c r="O243" s="24" t="s">
        <v>502</v>
      </c>
      <c r="P243" s="23">
        <v>3.5</v>
      </c>
      <c r="Q243" s="29">
        <v>6.8400000000000002E-2</v>
      </c>
      <c r="R243" s="29"/>
      <c r="S243" s="24" t="s">
        <v>526</v>
      </c>
      <c r="T243" s="24" t="str">
        <f t="shared" si="23"/>
        <v>Censure haute</v>
      </c>
      <c r="U243" s="24" t="s">
        <v>35</v>
      </c>
      <c r="V243" s="24" t="str">
        <f t="shared" si="24"/>
        <v/>
      </c>
      <c r="W243" s="24" t="s">
        <v>527</v>
      </c>
      <c r="X243" s="23">
        <v>3.5</v>
      </c>
      <c r="Y243" s="23">
        <v>4.2534000000000001</v>
      </c>
      <c r="Z243" s="23"/>
      <c r="AA243" s="24" t="s">
        <v>527</v>
      </c>
      <c r="AB243" s="24" t="str">
        <f t="shared" si="25"/>
        <v>Non testé</v>
      </c>
      <c r="AC243" s="24" t="s">
        <v>44</v>
      </c>
      <c r="AD243" s="23" t="s">
        <v>561</v>
      </c>
      <c r="AE243" s="23" t="str">
        <f t="shared" si="26"/>
        <v/>
      </c>
      <c r="AF243" s="24"/>
      <c r="AG243" s="23" t="str">
        <f t="shared" si="27"/>
        <v/>
      </c>
      <c r="AH243" s="24" t="s">
        <v>502</v>
      </c>
      <c r="AI243" s="23">
        <v>3.4870000000000001</v>
      </c>
      <c r="AJ243" s="23">
        <v>1.3326</v>
      </c>
      <c r="AK243" s="23"/>
      <c r="AL243" s="24" t="s">
        <v>527</v>
      </c>
      <c r="AM243" s="24">
        <v>210</v>
      </c>
      <c r="AN243" s="24">
        <v>0</v>
      </c>
      <c r="AO243" s="24" t="str">
        <f>IF(ISBLANK(AM243),"",IF(AM243=92,IF(T243="Censure haute",120,""),IF(AB243="Censure haute",120,"")))</f>
        <v/>
      </c>
    </row>
    <row r="244" spans="1:41" x14ac:dyDescent="0.3">
      <c r="A244" s="24" t="s">
        <v>330</v>
      </c>
      <c r="B244" s="24" t="s">
        <v>516</v>
      </c>
      <c r="C244" s="25"/>
      <c r="D244" s="26">
        <v>20.6</v>
      </c>
      <c r="E244" s="24" t="s">
        <v>521</v>
      </c>
      <c r="F244" s="27" t="s">
        <v>525</v>
      </c>
      <c r="G244" s="28">
        <v>44453</v>
      </c>
      <c r="H244" s="28">
        <v>44477</v>
      </c>
      <c r="I244" s="24">
        <v>12</v>
      </c>
      <c r="J244" s="24" t="s">
        <v>33</v>
      </c>
      <c r="K244" s="24" t="s">
        <v>526</v>
      </c>
      <c r="L244" s="24" t="str">
        <f t="shared" si="21"/>
        <v>Non testé</v>
      </c>
      <c r="M244" s="23" t="s">
        <v>44</v>
      </c>
      <c r="N244" s="23" t="str">
        <f t="shared" si="22"/>
        <v/>
      </c>
      <c r="O244" s="24" t="s">
        <v>502</v>
      </c>
      <c r="P244" s="23">
        <v>3.5</v>
      </c>
      <c r="Q244" s="29">
        <v>0.56379999999999997</v>
      </c>
      <c r="R244" s="29"/>
      <c r="S244" s="24" t="s">
        <v>526</v>
      </c>
      <c r="T244" s="24" t="str">
        <f t="shared" si="23"/>
        <v>Echec technique</v>
      </c>
      <c r="U244" s="24" t="s">
        <v>44</v>
      </c>
      <c r="V244" s="24" t="str">
        <f t="shared" si="24"/>
        <v/>
      </c>
      <c r="W244" s="24" t="s">
        <v>502</v>
      </c>
      <c r="X244" s="23">
        <v>3.5</v>
      </c>
      <c r="Y244" s="23">
        <v>1.5116000000000001</v>
      </c>
      <c r="Z244" s="23"/>
      <c r="AA244" s="24" t="s">
        <v>527</v>
      </c>
      <c r="AB244" s="24" t="str">
        <f t="shared" si="25"/>
        <v>Censure haute</v>
      </c>
      <c r="AC244" s="23" t="s">
        <v>35</v>
      </c>
      <c r="AD244" s="23" t="s">
        <v>561</v>
      </c>
      <c r="AE244" s="23" t="str">
        <f t="shared" si="26"/>
        <v/>
      </c>
      <c r="AF244" s="23"/>
      <c r="AG244" s="23" t="str">
        <f t="shared" si="27"/>
        <v/>
      </c>
      <c r="AH244" s="24" t="s">
        <v>527</v>
      </c>
      <c r="AI244" s="23">
        <v>3.4870000000000001</v>
      </c>
      <c r="AJ244" s="23">
        <v>1.0402</v>
      </c>
      <c r="AK244" s="23"/>
      <c r="AL244" s="24" t="s">
        <v>526</v>
      </c>
      <c r="AM244" s="24"/>
      <c r="AN244" s="24"/>
      <c r="AO244" s="24" t="str">
        <f>IF(ISBLANK(AM244),"",IF(AM244=92,IF(T244="Censure haute",120,""),IF(AB244="Censure haute",120,"")))</f>
        <v/>
      </c>
    </row>
    <row r="245" spans="1:41" x14ac:dyDescent="0.3">
      <c r="A245" s="24" t="s">
        <v>331</v>
      </c>
      <c r="B245" s="24" t="s">
        <v>516</v>
      </c>
      <c r="C245" s="25" t="s">
        <v>518</v>
      </c>
      <c r="D245" s="26">
        <v>34.799999999999997</v>
      </c>
      <c r="E245" s="24" t="s">
        <v>522</v>
      </c>
      <c r="F245" s="27" t="s">
        <v>525</v>
      </c>
      <c r="G245" s="28">
        <v>44458</v>
      </c>
      <c r="H245" s="28">
        <v>44477</v>
      </c>
      <c r="I245" s="24">
        <v>15</v>
      </c>
      <c r="J245" s="24" t="s">
        <v>43</v>
      </c>
      <c r="K245" s="24" t="s">
        <v>527</v>
      </c>
      <c r="L245" s="24" t="str">
        <f t="shared" si="21"/>
        <v>Censure haute</v>
      </c>
      <c r="M245" s="23" t="s">
        <v>35</v>
      </c>
      <c r="N245" s="23" t="str">
        <f t="shared" si="22"/>
        <v/>
      </c>
      <c r="O245" s="24" t="s">
        <v>527</v>
      </c>
      <c r="P245" s="23">
        <v>3.5</v>
      </c>
      <c r="Q245" s="29">
        <v>0.31990000000000002</v>
      </c>
      <c r="R245" s="29"/>
      <c r="S245" s="24" t="s">
        <v>526</v>
      </c>
      <c r="T245" s="24" t="str">
        <f t="shared" si="23"/>
        <v>Normal</v>
      </c>
      <c r="U245" s="24">
        <v>5.7950999999999997</v>
      </c>
      <c r="V245" s="24">
        <f t="shared" si="24"/>
        <v>5.7950999999999997</v>
      </c>
      <c r="W245" s="24" t="s">
        <v>526</v>
      </c>
      <c r="X245" s="23">
        <v>3.5</v>
      </c>
      <c r="Y245" s="23">
        <v>2.1116000000000001</v>
      </c>
      <c r="Z245" s="23">
        <v>2.1518000000000002</v>
      </c>
      <c r="AA245" s="24" t="s">
        <v>527</v>
      </c>
      <c r="AB245" s="24" t="str">
        <f t="shared" si="25"/>
        <v>Normal</v>
      </c>
      <c r="AC245" s="23">
        <v>42213</v>
      </c>
      <c r="AD245" s="23">
        <v>4.2213000000000003</v>
      </c>
      <c r="AE245" s="23" t="str">
        <f t="shared" si="26"/>
        <v/>
      </c>
      <c r="AF245" s="23"/>
      <c r="AG245" s="23" t="str">
        <f t="shared" si="27"/>
        <v/>
      </c>
      <c r="AH245" s="24" t="s">
        <v>526</v>
      </c>
      <c r="AI245" s="23">
        <v>3.4929999999999999</v>
      </c>
      <c r="AJ245" s="23">
        <v>0.85709999999999997</v>
      </c>
      <c r="AK245" s="23"/>
      <c r="AL245" s="24" t="s">
        <v>526</v>
      </c>
      <c r="AM245" s="24"/>
      <c r="AN245" s="24"/>
      <c r="AO245" s="24" t="str">
        <f>IF(ISBLANK(AM245),"",IF(AM245=92,IF(T245="Censure haute",120,""),IF(AB245="Censure haute",120,"")))</f>
        <v/>
      </c>
    </row>
    <row r="246" spans="1:41" x14ac:dyDescent="0.3">
      <c r="A246" s="24" t="s">
        <v>333</v>
      </c>
      <c r="B246" s="24" t="s">
        <v>516</v>
      </c>
      <c r="C246" s="30" t="s">
        <v>519</v>
      </c>
      <c r="D246" s="26">
        <v>21.1</v>
      </c>
      <c r="E246" s="24" t="s">
        <v>521</v>
      </c>
      <c r="F246" s="27" t="s">
        <v>525</v>
      </c>
      <c r="G246" s="28">
        <v>44453</v>
      </c>
      <c r="H246" s="28">
        <v>44476</v>
      </c>
      <c r="I246" s="24">
        <v>12</v>
      </c>
      <c r="J246" s="24" t="s">
        <v>33</v>
      </c>
      <c r="K246" s="24" t="s">
        <v>526</v>
      </c>
      <c r="L246" s="24" t="str">
        <f t="shared" si="21"/>
        <v>Non testé</v>
      </c>
      <c r="M246" s="23" t="s">
        <v>44</v>
      </c>
      <c r="N246" s="23" t="str">
        <f t="shared" si="22"/>
        <v/>
      </c>
      <c r="O246" s="24" t="s">
        <v>502</v>
      </c>
      <c r="P246" s="23">
        <v>3.5</v>
      </c>
      <c r="Q246" s="29">
        <v>9.8400000000000001E-2</v>
      </c>
      <c r="R246" s="29"/>
      <c r="S246" s="24" t="s">
        <v>526</v>
      </c>
      <c r="T246" s="24" t="str">
        <f t="shared" si="23"/>
        <v>Echec technique</v>
      </c>
      <c r="U246" s="24" t="s">
        <v>44</v>
      </c>
      <c r="V246" s="24" t="str">
        <f t="shared" si="24"/>
        <v/>
      </c>
      <c r="W246" s="24" t="s">
        <v>502</v>
      </c>
      <c r="X246" s="23">
        <v>0.69899999999999995</v>
      </c>
      <c r="Y246" s="23">
        <v>2.6320999999999999</v>
      </c>
      <c r="Z246" s="23"/>
      <c r="AA246" s="24" t="s">
        <v>527</v>
      </c>
      <c r="AB246" s="24" t="str">
        <f t="shared" si="25"/>
        <v>Censure haute</v>
      </c>
      <c r="AC246" s="23" t="s">
        <v>35</v>
      </c>
      <c r="AD246" s="23" t="s">
        <v>561</v>
      </c>
      <c r="AE246" s="23" t="str">
        <f t="shared" si="26"/>
        <v/>
      </c>
      <c r="AF246" s="23"/>
      <c r="AG246" s="23" t="str">
        <f t="shared" si="27"/>
        <v/>
      </c>
      <c r="AH246" s="24" t="s">
        <v>527</v>
      </c>
      <c r="AI246" s="23">
        <v>3.5</v>
      </c>
      <c r="AJ246" s="23">
        <v>0.88170000000000004</v>
      </c>
      <c r="AK246" s="23"/>
      <c r="AL246" s="24" t="s">
        <v>526</v>
      </c>
      <c r="AM246" s="24">
        <v>210</v>
      </c>
      <c r="AN246" s="24">
        <v>0</v>
      </c>
      <c r="AO246" s="24">
        <f>IF(ISBLANK(AM246),"",IF(AM246=92,IF(T246="Censure haute",120,""),IF(AB246="Censure haute",120,"")))</f>
        <v>120</v>
      </c>
    </row>
    <row r="247" spans="1:41" x14ac:dyDescent="0.3">
      <c r="A247" s="24" t="s">
        <v>334</v>
      </c>
      <c r="B247" s="24" t="s">
        <v>516</v>
      </c>
      <c r="C247" s="25" t="s">
        <v>518</v>
      </c>
      <c r="D247" s="26">
        <v>27.5</v>
      </c>
      <c r="E247" s="24" t="s">
        <v>520</v>
      </c>
      <c r="F247" s="27" t="s">
        <v>525</v>
      </c>
      <c r="G247" s="28">
        <v>44453</v>
      </c>
      <c r="H247" s="28">
        <v>44476</v>
      </c>
      <c r="I247" s="24">
        <v>15</v>
      </c>
      <c r="J247" s="24" t="s">
        <v>43</v>
      </c>
      <c r="K247" s="24" t="s">
        <v>526</v>
      </c>
      <c r="L247" s="24" t="str">
        <f t="shared" si="21"/>
        <v>Non testé</v>
      </c>
      <c r="M247" s="23" t="s">
        <v>44</v>
      </c>
      <c r="N247" s="23" t="str">
        <f t="shared" si="22"/>
        <v/>
      </c>
      <c r="O247" s="24" t="s">
        <v>502</v>
      </c>
      <c r="P247" s="23">
        <v>3.5</v>
      </c>
      <c r="Q247" s="29">
        <v>0.52090000000000003</v>
      </c>
      <c r="R247" s="29"/>
      <c r="S247" s="24" t="s">
        <v>526</v>
      </c>
      <c r="T247" s="24" t="str">
        <f t="shared" si="23"/>
        <v>Echec technique</v>
      </c>
      <c r="U247" s="24" t="s">
        <v>44</v>
      </c>
      <c r="V247" s="24" t="str">
        <f t="shared" si="24"/>
        <v/>
      </c>
      <c r="W247" s="24" t="s">
        <v>502</v>
      </c>
      <c r="X247" s="23">
        <v>2.5870000000000002</v>
      </c>
      <c r="Y247" s="23">
        <v>5.1677999999999997</v>
      </c>
      <c r="Z247" s="23"/>
      <c r="AA247" s="24" t="s">
        <v>527</v>
      </c>
      <c r="AB247" s="24" t="str">
        <f t="shared" si="25"/>
        <v>Censure haute</v>
      </c>
      <c r="AC247" s="23" t="s">
        <v>35</v>
      </c>
      <c r="AD247" s="23" t="s">
        <v>561</v>
      </c>
      <c r="AE247" s="23" t="str">
        <f t="shared" si="26"/>
        <v/>
      </c>
      <c r="AF247" s="23"/>
      <c r="AG247" s="23" t="str">
        <f t="shared" si="27"/>
        <v/>
      </c>
      <c r="AH247" s="24" t="s">
        <v>527</v>
      </c>
      <c r="AI247" s="23">
        <v>3.5</v>
      </c>
      <c r="AJ247" s="23">
        <v>1.7418</v>
      </c>
      <c r="AK247" s="23"/>
      <c r="AL247" s="24" t="s">
        <v>527</v>
      </c>
      <c r="AM247" s="24">
        <v>210</v>
      </c>
      <c r="AN247" s="24">
        <v>0</v>
      </c>
      <c r="AO247" s="24">
        <f>IF(ISBLANK(AM247),"",IF(AM247=92,IF(T247="Censure haute",120,""),IF(AB247="Censure haute",120,"")))</f>
        <v>120</v>
      </c>
    </row>
    <row r="248" spans="1:41" x14ac:dyDescent="0.3">
      <c r="A248" s="24" t="s">
        <v>335</v>
      </c>
      <c r="B248" s="24" t="s">
        <v>516</v>
      </c>
      <c r="C248" s="25" t="s">
        <v>518</v>
      </c>
      <c r="D248" s="26">
        <v>26.5</v>
      </c>
      <c r="E248" s="24" t="s">
        <v>520</v>
      </c>
      <c r="F248" s="27" t="s">
        <v>525</v>
      </c>
      <c r="G248" s="28">
        <v>44454</v>
      </c>
      <c r="H248" s="28">
        <v>44476</v>
      </c>
      <c r="I248" s="24">
        <v>15</v>
      </c>
      <c r="J248" s="24" t="s">
        <v>43</v>
      </c>
      <c r="K248" s="24" t="s">
        <v>526</v>
      </c>
      <c r="L248" s="24" t="str">
        <f t="shared" si="21"/>
        <v>Non testé</v>
      </c>
      <c r="M248" s="23" t="s">
        <v>44</v>
      </c>
      <c r="N248" s="23" t="str">
        <f t="shared" si="22"/>
        <v/>
      </c>
      <c r="O248" s="24" t="s">
        <v>502</v>
      </c>
      <c r="P248" s="23">
        <v>3.5</v>
      </c>
      <c r="Q248" s="29">
        <v>0.29749999999999999</v>
      </c>
      <c r="R248" s="29"/>
      <c r="S248" s="24" t="s">
        <v>526</v>
      </c>
      <c r="T248" s="24" t="str">
        <f t="shared" si="23"/>
        <v>Censure haute</v>
      </c>
      <c r="U248" s="24" t="s">
        <v>35</v>
      </c>
      <c r="V248" s="24" t="str">
        <f t="shared" si="24"/>
        <v/>
      </c>
      <c r="W248" s="24" t="s">
        <v>527</v>
      </c>
      <c r="X248" s="23">
        <v>2.76</v>
      </c>
      <c r="Y248" s="23">
        <v>0.192</v>
      </c>
      <c r="Z248" s="23"/>
      <c r="AA248" s="24" t="s">
        <v>526</v>
      </c>
      <c r="AB248" s="24" t="str">
        <f t="shared" si="25"/>
        <v>Censure haute</v>
      </c>
      <c r="AC248" s="23" t="s">
        <v>35</v>
      </c>
      <c r="AD248" s="23" t="s">
        <v>561</v>
      </c>
      <c r="AE248" s="23" t="str">
        <f t="shared" si="26"/>
        <v/>
      </c>
      <c r="AF248" s="23"/>
      <c r="AG248" s="23" t="str">
        <f t="shared" si="27"/>
        <v/>
      </c>
      <c r="AH248" s="24" t="s">
        <v>527</v>
      </c>
      <c r="AI248" s="23">
        <v>3.5</v>
      </c>
      <c r="AJ248" s="23">
        <v>0.1017</v>
      </c>
      <c r="AK248" s="23"/>
      <c r="AL248" s="24" t="s">
        <v>526</v>
      </c>
      <c r="AM248" s="24">
        <v>210</v>
      </c>
      <c r="AN248" s="24">
        <v>0</v>
      </c>
      <c r="AO248" s="24">
        <f>IF(ISBLANK(AM248),"",IF(AM248=92,IF(T248="Censure haute",120,""),IF(AB248="Censure haute",120,"")))</f>
        <v>120</v>
      </c>
    </row>
    <row r="249" spans="1:41" x14ac:dyDescent="0.3">
      <c r="A249" s="24" t="s">
        <v>336</v>
      </c>
      <c r="B249" s="24" t="s">
        <v>516</v>
      </c>
      <c r="C249" s="25" t="s">
        <v>518</v>
      </c>
      <c r="D249" s="26">
        <v>30.8</v>
      </c>
      <c r="E249" s="24" t="s">
        <v>522</v>
      </c>
      <c r="F249" s="27" t="s">
        <v>525</v>
      </c>
      <c r="G249" s="28">
        <v>44453</v>
      </c>
      <c r="H249" s="28">
        <v>44477</v>
      </c>
      <c r="I249" s="24">
        <v>12</v>
      </c>
      <c r="J249" s="24" t="s">
        <v>33</v>
      </c>
      <c r="K249" s="24" t="s">
        <v>526</v>
      </c>
      <c r="L249" s="24" t="str">
        <f t="shared" si="21"/>
        <v>Non testé</v>
      </c>
      <c r="M249" s="23" t="s">
        <v>44</v>
      </c>
      <c r="N249" s="23" t="str">
        <f t="shared" si="22"/>
        <v/>
      </c>
      <c r="O249" s="24" t="s">
        <v>502</v>
      </c>
      <c r="P249" s="23">
        <v>3.5</v>
      </c>
      <c r="Q249" s="29">
        <v>9.3899999999999997E-2</v>
      </c>
      <c r="R249" s="29"/>
      <c r="S249" s="24" t="s">
        <v>526</v>
      </c>
      <c r="T249" s="24" t="str">
        <f t="shared" si="23"/>
        <v>Censure haute</v>
      </c>
      <c r="U249" s="24" t="s">
        <v>35</v>
      </c>
      <c r="V249" s="24" t="str">
        <f t="shared" si="24"/>
        <v/>
      </c>
      <c r="W249" s="24" t="s">
        <v>527</v>
      </c>
      <c r="X249" s="23">
        <v>2.7669999999999999</v>
      </c>
      <c r="Y249" s="23">
        <v>2.5663</v>
      </c>
      <c r="Z249" s="23"/>
      <c r="AA249" s="24" t="s">
        <v>527</v>
      </c>
      <c r="AB249" s="24" t="str">
        <f t="shared" si="25"/>
        <v>Censure haute</v>
      </c>
      <c r="AC249" s="23" t="s">
        <v>35</v>
      </c>
      <c r="AD249" s="23" t="s">
        <v>561</v>
      </c>
      <c r="AE249" s="23" t="str">
        <f t="shared" si="26"/>
        <v/>
      </c>
      <c r="AF249" s="23"/>
      <c r="AG249" s="23" t="str">
        <f t="shared" si="27"/>
        <v/>
      </c>
      <c r="AH249" s="24" t="s">
        <v>527</v>
      </c>
      <c r="AI249" s="23">
        <v>3.5</v>
      </c>
      <c r="AJ249" s="23">
        <v>1.1754</v>
      </c>
      <c r="AK249" s="23"/>
      <c r="AL249" s="24" t="s">
        <v>527</v>
      </c>
      <c r="AM249" s="24"/>
      <c r="AN249" s="24"/>
      <c r="AO249" s="24" t="str">
        <f>IF(ISBLANK(AM249),"",IF(AM249=92,IF(T249="Censure haute",120,""),IF(AB249="Censure haute",120,"")))</f>
        <v/>
      </c>
    </row>
    <row r="250" spans="1:41" x14ac:dyDescent="0.3">
      <c r="A250" s="24" t="s">
        <v>337</v>
      </c>
      <c r="B250" s="24" t="s">
        <v>517</v>
      </c>
      <c r="C250" s="30"/>
      <c r="D250" s="26">
        <v>17.399999999999999</v>
      </c>
      <c r="E250" s="24" t="s">
        <v>521</v>
      </c>
      <c r="F250" s="27" t="s">
        <v>525</v>
      </c>
      <c r="G250" s="28">
        <v>44453</v>
      </c>
      <c r="H250" s="28">
        <v>44477</v>
      </c>
      <c r="I250" s="24">
        <v>12</v>
      </c>
      <c r="J250" s="24" t="s">
        <v>33</v>
      </c>
      <c r="K250" s="24" t="s">
        <v>526</v>
      </c>
      <c r="L250" s="24" t="str">
        <f t="shared" si="21"/>
        <v>Non testé</v>
      </c>
      <c r="M250" s="23" t="s">
        <v>44</v>
      </c>
      <c r="N250" s="23" t="str">
        <f t="shared" si="22"/>
        <v/>
      </c>
      <c r="O250" s="24" t="s">
        <v>502</v>
      </c>
      <c r="P250" s="23">
        <v>3.5</v>
      </c>
      <c r="Q250" s="23">
        <v>0.3639</v>
      </c>
      <c r="R250" s="23">
        <v>0.36359999999999998</v>
      </c>
      <c r="S250" s="23" t="s">
        <v>526</v>
      </c>
      <c r="T250" s="24" t="str">
        <f t="shared" si="23"/>
        <v>Censure haute</v>
      </c>
      <c r="U250" s="24" t="s">
        <v>35</v>
      </c>
      <c r="V250" s="24" t="str">
        <f t="shared" si="24"/>
        <v/>
      </c>
      <c r="W250" s="24" t="s">
        <v>527</v>
      </c>
      <c r="X250" s="23">
        <v>2.83</v>
      </c>
      <c r="Y250" s="23">
        <v>0.2422</v>
      </c>
      <c r="Z250" s="23"/>
      <c r="AA250" s="24" t="s">
        <v>526</v>
      </c>
      <c r="AB250" s="24" t="str">
        <f t="shared" si="25"/>
        <v>Censure haute</v>
      </c>
      <c r="AC250" s="24" t="s">
        <v>35</v>
      </c>
      <c r="AD250" s="23" t="s">
        <v>561</v>
      </c>
      <c r="AE250" s="23" t="str">
        <f t="shared" si="26"/>
        <v/>
      </c>
      <c r="AF250" s="24"/>
      <c r="AG250" s="23" t="str">
        <f t="shared" si="27"/>
        <v/>
      </c>
      <c r="AH250" s="24" t="s">
        <v>527</v>
      </c>
      <c r="AI250" s="23">
        <v>3.5</v>
      </c>
      <c r="AJ250" s="23">
        <v>4.0145</v>
      </c>
      <c r="AK250" s="23"/>
      <c r="AL250" s="24" t="s">
        <v>527</v>
      </c>
      <c r="AM250" s="24">
        <v>210</v>
      </c>
      <c r="AN250" s="24">
        <v>0</v>
      </c>
      <c r="AO250" s="24">
        <f>IF(ISBLANK(AM250),"",IF(AM250=92,IF(T250="Censure haute",120,""),IF(AB250="Censure haute",120,"")))</f>
        <v>120</v>
      </c>
    </row>
    <row r="251" spans="1:41" x14ac:dyDescent="0.3">
      <c r="A251" s="24" t="s">
        <v>339</v>
      </c>
      <c r="B251" s="24" t="s">
        <v>516</v>
      </c>
      <c r="C251" s="25" t="s">
        <v>519</v>
      </c>
      <c r="D251" s="26">
        <v>21.7</v>
      </c>
      <c r="E251" s="24" t="s">
        <v>521</v>
      </c>
      <c r="F251" s="27" t="s">
        <v>525</v>
      </c>
      <c r="G251" s="28">
        <v>44453</v>
      </c>
      <c r="H251" s="28">
        <v>44476</v>
      </c>
      <c r="I251" s="24">
        <v>15</v>
      </c>
      <c r="J251" s="24" t="s">
        <v>43</v>
      </c>
      <c r="K251" s="24" t="s">
        <v>526</v>
      </c>
      <c r="L251" s="24" t="str">
        <f t="shared" si="21"/>
        <v>Non testé</v>
      </c>
      <c r="M251" s="23" t="s">
        <v>44</v>
      </c>
      <c r="N251" s="23" t="str">
        <f t="shared" si="22"/>
        <v/>
      </c>
      <c r="O251" s="24" t="s">
        <v>502</v>
      </c>
      <c r="P251" s="23">
        <v>3.5</v>
      </c>
      <c r="Q251" s="29">
        <v>1.4258</v>
      </c>
      <c r="R251" s="29"/>
      <c r="S251" s="24" t="s">
        <v>527</v>
      </c>
      <c r="T251" s="24" t="str">
        <f t="shared" si="23"/>
        <v>Censure haute</v>
      </c>
      <c r="U251" s="24" t="s">
        <v>35</v>
      </c>
      <c r="V251" s="24" t="str">
        <f t="shared" si="24"/>
        <v/>
      </c>
      <c r="W251" s="24" t="s">
        <v>527</v>
      </c>
      <c r="X251" s="23">
        <v>2.843</v>
      </c>
      <c r="Y251" s="23">
        <v>0.84</v>
      </c>
      <c r="Z251" s="23"/>
      <c r="AA251" s="24" t="s">
        <v>526</v>
      </c>
      <c r="AB251" s="24" t="str">
        <f t="shared" si="25"/>
        <v>Censure haute</v>
      </c>
      <c r="AC251" s="23" t="s">
        <v>35</v>
      </c>
      <c r="AD251" s="23" t="s">
        <v>561</v>
      </c>
      <c r="AE251" s="23" t="str">
        <f t="shared" si="26"/>
        <v/>
      </c>
      <c r="AF251" s="23"/>
      <c r="AG251" s="23" t="str">
        <f t="shared" si="27"/>
        <v/>
      </c>
      <c r="AH251" s="24" t="s">
        <v>527</v>
      </c>
      <c r="AI251" s="23">
        <v>3.5</v>
      </c>
      <c r="AJ251" s="23">
        <v>0.47810000000000002</v>
      </c>
      <c r="AK251" s="23"/>
      <c r="AL251" s="24" t="s">
        <v>526</v>
      </c>
      <c r="AM251" s="24">
        <v>210</v>
      </c>
      <c r="AN251" s="24">
        <v>0</v>
      </c>
      <c r="AO251" s="24">
        <f>IF(ISBLANK(AM251),"",IF(AM251=92,IF(T251="Censure haute",120,""),IF(AB251="Censure haute",120,"")))</f>
        <v>120</v>
      </c>
    </row>
    <row r="252" spans="1:41" x14ac:dyDescent="0.3">
      <c r="A252" s="24" t="s">
        <v>340</v>
      </c>
      <c r="B252" s="24" t="s">
        <v>517</v>
      </c>
      <c r="C252" s="25" t="s">
        <v>519</v>
      </c>
      <c r="D252" s="26">
        <v>20.7</v>
      </c>
      <c r="E252" s="24" t="s">
        <v>521</v>
      </c>
      <c r="F252" s="27" t="s">
        <v>525</v>
      </c>
      <c r="G252" s="28">
        <v>44454</v>
      </c>
      <c r="H252" s="28">
        <v>44476</v>
      </c>
      <c r="I252" s="24">
        <v>15</v>
      </c>
      <c r="J252" s="24" t="s">
        <v>43</v>
      </c>
      <c r="K252" s="24" t="s">
        <v>526</v>
      </c>
      <c r="L252" s="24" t="str">
        <f t="shared" si="21"/>
        <v>Non testé</v>
      </c>
      <c r="M252" s="23" t="s">
        <v>44</v>
      </c>
      <c r="N252" s="23" t="str">
        <f t="shared" si="22"/>
        <v/>
      </c>
      <c r="O252" s="24" t="s">
        <v>502</v>
      </c>
      <c r="P252" s="23">
        <v>3.5</v>
      </c>
      <c r="Q252" s="29">
        <v>0.1633</v>
      </c>
      <c r="R252" s="29"/>
      <c r="S252" s="24" t="s">
        <v>526</v>
      </c>
      <c r="T252" s="24" t="str">
        <f t="shared" si="23"/>
        <v>Normal</v>
      </c>
      <c r="U252" s="24">
        <v>4.4917999999999996</v>
      </c>
      <c r="V252" s="24">
        <f t="shared" si="24"/>
        <v>4.4917999999999996</v>
      </c>
      <c r="W252" s="24" t="s">
        <v>526</v>
      </c>
      <c r="X252" s="23">
        <v>2.8769999999999998</v>
      </c>
      <c r="Y252" s="23">
        <v>0.83930000000000005</v>
      </c>
      <c r="Z252" s="23"/>
      <c r="AA252" s="24" t="s">
        <v>526</v>
      </c>
      <c r="AB252" s="24" t="str">
        <f t="shared" si="25"/>
        <v>Normal</v>
      </c>
      <c r="AC252" s="23">
        <v>48819</v>
      </c>
      <c r="AD252" s="23">
        <v>4.8818999999999999</v>
      </c>
      <c r="AE252" s="23" t="str">
        <f t="shared" si="26"/>
        <v/>
      </c>
      <c r="AF252" s="23"/>
      <c r="AG252" s="23" t="str">
        <f t="shared" si="27"/>
        <v/>
      </c>
      <c r="AH252" s="24" t="s">
        <v>526</v>
      </c>
      <c r="AI252" s="23">
        <v>3.5</v>
      </c>
      <c r="AJ252" s="23">
        <v>0.47760000000000002</v>
      </c>
      <c r="AK252" s="23"/>
      <c r="AL252" s="24" t="s">
        <v>526</v>
      </c>
      <c r="AM252" s="24"/>
      <c r="AN252" s="24"/>
      <c r="AO252" s="24" t="str">
        <f>IF(ISBLANK(AM252),"",IF(AM252=92,IF(T252="Censure haute",120,""),IF(AB252="Censure haute",120,"")))</f>
        <v/>
      </c>
    </row>
    <row r="253" spans="1:41" x14ac:dyDescent="0.3">
      <c r="A253" s="24" t="s">
        <v>341</v>
      </c>
      <c r="B253" s="24" t="s">
        <v>517</v>
      </c>
      <c r="C253" s="30"/>
      <c r="D253" s="26">
        <v>26.1</v>
      </c>
      <c r="E253" s="24" t="s">
        <v>520</v>
      </c>
      <c r="F253" s="27" t="s">
        <v>525</v>
      </c>
      <c r="G253" s="28">
        <v>44453</v>
      </c>
      <c r="H253" s="28">
        <v>44476</v>
      </c>
      <c r="I253" s="24">
        <v>15</v>
      </c>
      <c r="J253" s="24" t="s">
        <v>43</v>
      </c>
      <c r="K253" s="24" t="s">
        <v>526</v>
      </c>
      <c r="L253" s="24" t="str">
        <f t="shared" si="21"/>
        <v>Non testé</v>
      </c>
      <c r="M253" s="23" t="s">
        <v>44</v>
      </c>
      <c r="N253" s="23" t="str">
        <f t="shared" si="22"/>
        <v/>
      </c>
      <c r="O253" s="24" t="s">
        <v>502</v>
      </c>
      <c r="P253" s="23">
        <v>3.5</v>
      </c>
      <c r="Q253" s="29">
        <v>5.3699999999999998E-2</v>
      </c>
      <c r="R253" s="29"/>
      <c r="S253" s="24" t="s">
        <v>526</v>
      </c>
      <c r="T253" s="24" t="str">
        <f t="shared" si="23"/>
        <v>Echec technique</v>
      </c>
      <c r="U253" s="24" t="s">
        <v>44</v>
      </c>
      <c r="V253" s="24" t="str">
        <f t="shared" si="24"/>
        <v/>
      </c>
      <c r="W253" s="24" t="s">
        <v>502</v>
      </c>
      <c r="X253" s="23">
        <v>2.9969999999999999</v>
      </c>
      <c r="Y253" s="23">
        <v>2.5335999999999999</v>
      </c>
      <c r="Z253" s="23"/>
      <c r="AA253" s="24" t="s">
        <v>527</v>
      </c>
      <c r="AB253" s="24" t="str">
        <f t="shared" si="25"/>
        <v>Non testé</v>
      </c>
      <c r="AC253" s="23" t="s">
        <v>44</v>
      </c>
      <c r="AD253" s="23" t="s">
        <v>561</v>
      </c>
      <c r="AE253" s="23" t="str">
        <f t="shared" si="26"/>
        <v/>
      </c>
      <c r="AF253" s="23"/>
      <c r="AG253" s="23" t="str">
        <f t="shared" si="27"/>
        <v/>
      </c>
      <c r="AH253" s="24" t="s">
        <v>502</v>
      </c>
      <c r="AI253" s="23">
        <v>3.5</v>
      </c>
      <c r="AJ253" s="23">
        <v>2.1322000000000001</v>
      </c>
      <c r="AK253" s="23"/>
      <c r="AL253" s="24" t="s">
        <v>527</v>
      </c>
      <c r="AM253" s="24">
        <v>210</v>
      </c>
      <c r="AN253" s="24">
        <v>0</v>
      </c>
      <c r="AO253" s="24" t="str">
        <f>IF(ISBLANK(AM253),"",IF(AM253=92,IF(T253="Censure haute",120,""),IF(AB253="Censure haute",120,"")))</f>
        <v/>
      </c>
    </row>
    <row r="254" spans="1:41" x14ac:dyDescent="0.3">
      <c r="A254" s="24" t="s">
        <v>342</v>
      </c>
      <c r="B254" s="24" t="s">
        <v>516</v>
      </c>
      <c r="C254" s="25"/>
      <c r="D254" s="26">
        <v>25.6</v>
      </c>
      <c r="E254" s="24" t="s">
        <v>520</v>
      </c>
      <c r="F254" s="27" t="s">
        <v>525</v>
      </c>
      <c r="G254" s="28">
        <v>44453</v>
      </c>
      <c r="H254" s="28">
        <v>44477</v>
      </c>
      <c r="I254" s="24">
        <v>12</v>
      </c>
      <c r="J254" s="24" t="s">
        <v>33</v>
      </c>
      <c r="K254" s="24" t="s">
        <v>526</v>
      </c>
      <c r="L254" s="24" t="str">
        <f t="shared" si="21"/>
        <v>Non testé</v>
      </c>
      <c r="M254" s="23" t="s">
        <v>44</v>
      </c>
      <c r="N254" s="23" t="str">
        <f t="shared" si="22"/>
        <v/>
      </c>
      <c r="O254" s="24" t="s">
        <v>502</v>
      </c>
      <c r="P254" s="23">
        <v>3.5</v>
      </c>
      <c r="Q254" s="29">
        <v>7.8600000000000003E-2</v>
      </c>
      <c r="R254" s="29"/>
      <c r="S254" s="24" t="s">
        <v>526</v>
      </c>
      <c r="T254" s="24" t="str">
        <f t="shared" si="23"/>
        <v>Echec technique</v>
      </c>
      <c r="U254" s="24" t="s">
        <v>44</v>
      </c>
      <c r="V254" s="24" t="str">
        <f t="shared" si="24"/>
        <v/>
      </c>
      <c r="W254" s="24" t="s">
        <v>502</v>
      </c>
      <c r="X254" s="23">
        <v>3.0179999999999998</v>
      </c>
      <c r="Y254" s="23">
        <v>2.4504999999999999</v>
      </c>
      <c r="Z254" s="23"/>
      <c r="AA254" s="24" t="s">
        <v>527</v>
      </c>
      <c r="AB254" s="24" t="str">
        <f t="shared" si="25"/>
        <v>Censure haute</v>
      </c>
      <c r="AC254" s="23" t="s">
        <v>35</v>
      </c>
      <c r="AD254" s="23" t="s">
        <v>561</v>
      </c>
      <c r="AE254" s="23" t="str">
        <f t="shared" si="26"/>
        <v/>
      </c>
      <c r="AF254" s="23"/>
      <c r="AG254" s="23" t="str">
        <f t="shared" si="27"/>
        <v/>
      </c>
      <c r="AH254" s="24" t="s">
        <v>527</v>
      </c>
      <c r="AI254" s="23">
        <v>3.5</v>
      </c>
      <c r="AJ254" s="23">
        <v>0.48230000000000001</v>
      </c>
      <c r="AK254" s="23"/>
      <c r="AL254" s="24" t="s">
        <v>526</v>
      </c>
      <c r="AM254" s="24">
        <v>210</v>
      </c>
      <c r="AN254" s="24">
        <v>0</v>
      </c>
      <c r="AO254" s="24">
        <f>IF(ISBLANK(AM254),"",IF(AM254=92,IF(T254="Censure haute",120,""),IF(AB254="Censure haute",120,"")))</f>
        <v>120</v>
      </c>
    </row>
    <row r="255" spans="1:41" x14ac:dyDescent="0.3">
      <c r="A255" s="24" t="s">
        <v>343</v>
      </c>
      <c r="B255" s="24" t="s">
        <v>516</v>
      </c>
      <c r="C255" s="25" t="s">
        <v>518</v>
      </c>
      <c r="D255" s="26">
        <v>14.5</v>
      </c>
      <c r="E255" s="24" t="s">
        <v>523</v>
      </c>
      <c r="F255" s="27" t="s">
        <v>525</v>
      </c>
      <c r="G255" s="28">
        <v>44453</v>
      </c>
      <c r="H255" s="28">
        <v>44477</v>
      </c>
      <c r="I255" s="24">
        <v>12</v>
      </c>
      <c r="J255" s="24" t="s">
        <v>33</v>
      </c>
      <c r="K255" s="24" t="s">
        <v>526</v>
      </c>
      <c r="L255" s="24" t="str">
        <f t="shared" si="21"/>
        <v>Non testé</v>
      </c>
      <c r="M255" s="23" t="s">
        <v>44</v>
      </c>
      <c r="N255" s="23" t="str">
        <f t="shared" si="22"/>
        <v/>
      </c>
      <c r="O255" s="23" t="s">
        <v>502</v>
      </c>
      <c r="P255" s="23">
        <v>3.5</v>
      </c>
      <c r="Q255" s="29">
        <v>9.1700000000000004E-2</v>
      </c>
      <c r="R255" s="29"/>
      <c r="S255" s="24" t="s">
        <v>526</v>
      </c>
      <c r="T255" s="24" t="str">
        <f t="shared" si="23"/>
        <v>Echec technique</v>
      </c>
      <c r="U255" s="24" t="s">
        <v>44</v>
      </c>
      <c r="V255" s="24" t="str">
        <f t="shared" si="24"/>
        <v/>
      </c>
      <c r="W255" s="24" t="s">
        <v>502</v>
      </c>
      <c r="X255" s="23">
        <v>3.1019999999999999</v>
      </c>
      <c r="Y255" s="23">
        <v>0.89890000000000003</v>
      </c>
      <c r="Z255" s="23"/>
      <c r="AA255" s="24" t="s">
        <v>526</v>
      </c>
      <c r="AB255" s="24" t="str">
        <f t="shared" si="25"/>
        <v>Censure haute</v>
      </c>
      <c r="AC255" s="23" t="s">
        <v>35</v>
      </c>
      <c r="AD255" s="23" t="s">
        <v>561</v>
      </c>
      <c r="AE255" s="23" t="str">
        <f t="shared" si="26"/>
        <v/>
      </c>
      <c r="AF255" s="23"/>
      <c r="AG255" s="23" t="str">
        <f t="shared" si="27"/>
        <v/>
      </c>
      <c r="AH255" s="24" t="s">
        <v>527</v>
      </c>
      <c r="AI255" s="23">
        <v>3.5</v>
      </c>
      <c r="AJ255" s="23">
        <v>0.4718</v>
      </c>
      <c r="AK255" s="23"/>
      <c r="AL255" s="24" t="s">
        <v>526</v>
      </c>
      <c r="AM255" s="24">
        <v>210</v>
      </c>
      <c r="AN255" s="24">
        <v>0</v>
      </c>
      <c r="AO255" s="24">
        <f>IF(ISBLANK(AM255),"",IF(AM255=92,IF(T255="Censure haute",120,""),IF(AB255="Censure haute",120,"")))</f>
        <v>120</v>
      </c>
    </row>
    <row r="256" spans="1:41" x14ac:dyDescent="0.3">
      <c r="A256" s="24" t="s">
        <v>344</v>
      </c>
      <c r="B256" s="24" t="s">
        <v>516</v>
      </c>
      <c r="C256" s="25" t="s">
        <v>518</v>
      </c>
      <c r="D256" s="26">
        <v>34.9</v>
      </c>
      <c r="E256" s="24" t="s">
        <v>522</v>
      </c>
      <c r="F256" s="27" t="s">
        <v>525</v>
      </c>
      <c r="G256" s="28">
        <v>44458</v>
      </c>
      <c r="H256" s="28">
        <v>44490</v>
      </c>
      <c r="I256" s="24">
        <v>15</v>
      </c>
      <c r="J256" s="24" t="s">
        <v>43</v>
      </c>
      <c r="K256" s="24" t="s">
        <v>526</v>
      </c>
      <c r="L256" s="24" t="str">
        <f t="shared" si="21"/>
        <v>Non testé</v>
      </c>
      <c r="M256" s="23" t="s">
        <v>44</v>
      </c>
      <c r="N256" s="23" t="str">
        <f t="shared" si="22"/>
        <v/>
      </c>
      <c r="O256" s="24" t="s">
        <v>502</v>
      </c>
      <c r="P256" s="23">
        <v>3.5</v>
      </c>
      <c r="Q256" s="29">
        <v>0.32440000000000002</v>
      </c>
      <c r="R256" s="29"/>
      <c r="S256" s="24" t="s">
        <v>526</v>
      </c>
      <c r="T256" s="24" t="str">
        <f t="shared" si="23"/>
        <v>Censure haute</v>
      </c>
      <c r="U256" s="24" t="s">
        <v>35</v>
      </c>
      <c r="V256" s="24" t="str">
        <f t="shared" si="24"/>
        <v/>
      </c>
      <c r="W256" s="24" t="s">
        <v>527</v>
      </c>
      <c r="X256" s="23">
        <v>3.121</v>
      </c>
      <c r="Y256" s="23">
        <v>4.6702000000000004</v>
      </c>
      <c r="Z256" s="23"/>
      <c r="AA256" s="24" t="s">
        <v>527</v>
      </c>
      <c r="AB256" s="24" t="str">
        <f t="shared" si="25"/>
        <v>Censure haute</v>
      </c>
      <c r="AC256" s="23" t="s">
        <v>35</v>
      </c>
      <c r="AD256" s="23" t="s">
        <v>561</v>
      </c>
      <c r="AE256" s="23" t="str">
        <f t="shared" si="26"/>
        <v/>
      </c>
      <c r="AF256" s="23"/>
      <c r="AG256" s="23" t="str">
        <f t="shared" si="27"/>
        <v/>
      </c>
      <c r="AH256" s="24" t="s">
        <v>527</v>
      </c>
      <c r="AI256" s="23">
        <v>3.5</v>
      </c>
      <c r="AJ256" s="23">
        <v>1.5580000000000001</v>
      </c>
      <c r="AK256" s="23"/>
      <c r="AL256" s="24" t="s">
        <v>527</v>
      </c>
      <c r="AM256" s="24">
        <v>210</v>
      </c>
      <c r="AN256" s="24">
        <v>0</v>
      </c>
      <c r="AO256" s="24">
        <f>IF(ISBLANK(AM256),"",IF(AM256=92,IF(T256="Censure haute",120,""),IF(AB256="Censure haute",120,"")))</f>
        <v>120</v>
      </c>
    </row>
    <row r="257" spans="1:41" x14ac:dyDescent="0.3">
      <c r="A257" s="24" t="s">
        <v>345</v>
      </c>
      <c r="B257" s="24" t="s">
        <v>517</v>
      </c>
      <c r="C257" s="25" t="s">
        <v>518</v>
      </c>
      <c r="D257" s="26">
        <v>21.5</v>
      </c>
      <c r="E257" s="24" t="s">
        <v>521</v>
      </c>
      <c r="F257" s="27" t="s">
        <v>525</v>
      </c>
      <c r="G257" s="28">
        <v>44454</v>
      </c>
      <c r="H257" s="28">
        <v>44476</v>
      </c>
      <c r="I257" s="24">
        <v>14</v>
      </c>
      <c r="J257" s="24" t="s">
        <v>43</v>
      </c>
      <c r="K257" s="24" t="s">
        <v>526</v>
      </c>
      <c r="L257" s="24" t="str">
        <f t="shared" si="21"/>
        <v>Non testé</v>
      </c>
      <c r="M257" s="23" t="s">
        <v>44</v>
      </c>
      <c r="N257" s="23" t="str">
        <f t="shared" si="22"/>
        <v/>
      </c>
      <c r="O257" s="24" t="s">
        <v>502</v>
      </c>
      <c r="P257" s="23">
        <v>3.5</v>
      </c>
      <c r="Q257" s="29">
        <v>0.34460000000000002</v>
      </c>
      <c r="R257" s="29"/>
      <c r="S257" s="24" t="s">
        <v>526</v>
      </c>
      <c r="T257" s="24" t="str">
        <f t="shared" si="23"/>
        <v>Echec technique</v>
      </c>
      <c r="U257" s="24" t="s">
        <v>44</v>
      </c>
      <c r="V257" s="24" t="str">
        <f t="shared" si="24"/>
        <v/>
      </c>
      <c r="W257" s="24" t="s">
        <v>502</v>
      </c>
      <c r="X257" s="23">
        <v>3.17</v>
      </c>
      <c r="Y257" s="23">
        <v>3.7612000000000001</v>
      </c>
      <c r="Z257" s="23"/>
      <c r="AA257" s="24" t="s">
        <v>526</v>
      </c>
      <c r="AB257" s="24" t="str">
        <f t="shared" si="25"/>
        <v>Non testé</v>
      </c>
      <c r="AC257" s="23" t="s">
        <v>44</v>
      </c>
      <c r="AD257" s="23" t="s">
        <v>561</v>
      </c>
      <c r="AE257" s="23" t="str">
        <f t="shared" si="26"/>
        <v/>
      </c>
      <c r="AF257" s="23"/>
      <c r="AG257" s="23" t="str">
        <f t="shared" si="27"/>
        <v/>
      </c>
      <c r="AH257" s="24" t="s">
        <v>502</v>
      </c>
      <c r="AI257" s="23">
        <v>3.5</v>
      </c>
      <c r="AJ257" s="23">
        <v>1.1345000000000001</v>
      </c>
      <c r="AK257" s="23"/>
      <c r="AL257" s="24" t="s">
        <v>527</v>
      </c>
      <c r="AM257" s="24">
        <v>210</v>
      </c>
      <c r="AN257" s="24">
        <v>0</v>
      </c>
      <c r="AO257" s="24" t="str">
        <f>IF(ISBLANK(AM257),"",IF(AM257=92,IF(T257="Censure haute",120,""),IF(AB257="Censure haute",120,"")))</f>
        <v/>
      </c>
    </row>
    <row r="258" spans="1:41" x14ac:dyDescent="0.3">
      <c r="A258" s="24" t="s">
        <v>346</v>
      </c>
      <c r="B258" s="24" t="s">
        <v>516</v>
      </c>
      <c r="C258" s="30" t="s">
        <v>519</v>
      </c>
      <c r="D258" s="26">
        <v>23</v>
      </c>
      <c r="E258" s="24" t="s">
        <v>521</v>
      </c>
      <c r="F258" s="27" t="s">
        <v>525</v>
      </c>
      <c r="G258" s="28">
        <v>44453</v>
      </c>
      <c r="H258" s="28">
        <v>44476</v>
      </c>
      <c r="I258" s="24">
        <v>15</v>
      </c>
      <c r="J258" s="24" t="s">
        <v>43</v>
      </c>
      <c r="K258" s="24" t="s">
        <v>526</v>
      </c>
      <c r="L258" s="24" t="str">
        <f t="shared" si="21"/>
        <v>Non testé</v>
      </c>
      <c r="M258" s="23" t="s">
        <v>44</v>
      </c>
      <c r="N258" s="23" t="str">
        <f t="shared" si="22"/>
        <v/>
      </c>
      <c r="O258" s="24" t="s">
        <v>502</v>
      </c>
      <c r="P258" s="23">
        <v>3.5</v>
      </c>
      <c r="Q258" s="29">
        <v>0.23080000000000001</v>
      </c>
      <c r="R258" s="29"/>
      <c r="S258" s="24" t="s">
        <v>526</v>
      </c>
      <c r="T258" s="24" t="str">
        <f t="shared" si="23"/>
        <v>Censure haute</v>
      </c>
      <c r="U258" s="24" t="s">
        <v>35</v>
      </c>
      <c r="V258" s="24" t="str">
        <f t="shared" si="24"/>
        <v/>
      </c>
      <c r="W258" s="24" t="s">
        <v>527</v>
      </c>
      <c r="X258" s="23">
        <v>3.177</v>
      </c>
      <c r="Y258" s="23">
        <v>6.6199999999999995E-2</v>
      </c>
      <c r="Z258" s="23"/>
      <c r="AA258" s="24" t="s">
        <v>526</v>
      </c>
      <c r="AB258" s="24" t="str">
        <f t="shared" si="25"/>
        <v>Non testé</v>
      </c>
      <c r="AC258" s="23" t="s">
        <v>44</v>
      </c>
      <c r="AD258" s="23" t="s">
        <v>561</v>
      </c>
      <c r="AE258" s="23" t="str">
        <f t="shared" si="26"/>
        <v/>
      </c>
      <c r="AF258" s="23"/>
      <c r="AG258" s="23" t="str">
        <f t="shared" si="27"/>
        <v/>
      </c>
      <c r="AH258" s="24" t="s">
        <v>502</v>
      </c>
      <c r="AI258" s="23">
        <v>3.5</v>
      </c>
      <c r="AJ258" s="23">
        <v>2.7458999999999998</v>
      </c>
      <c r="AK258" s="23"/>
      <c r="AL258" s="24" t="s">
        <v>527</v>
      </c>
      <c r="AM258" s="24">
        <v>210</v>
      </c>
      <c r="AN258" s="24">
        <v>0</v>
      </c>
      <c r="AO258" s="24" t="str">
        <f>IF(ISBLANK(AM258),"",IF(AM258=92,IF(T258="Censure haute",120,""),IF(AB258="Censure haute",120,"")))</f>
        <v/>
      </c>
    </row>
    <row r="259" spans="1:41" x14ac:dyDescent="0.3">
      <c r="A259" s="24" t="s">
        <v>347</v>
      </c>
      <c r="B259" s="24" t="s">
        <v>517</v>
      </c>
      <c r="C259" s="30"/>
      <c r="D259" s="26">
        <v>34.4</v>
      </c>
      <c r="E259" s="24" t="s">
        <v>522</v>
      </c>
      <c r="F259" s="27" t="s">
        <v>525</v>
      </c>
      <c r="G259" s="28">
        <v>44454</v>
      </c>
      <c r="H259" s="28">
        <v>44476</v>
      </c>
      <c r="I259" s="24">
        <v>15</v>
      </c>
      <c r="J259" s="24" t="s">
        <v>43</v>
      </c>
      <c r="K259" s="24" t="s">
        <v>526</v>
      </c>
      <c r="L259" s="24" t="str">
        <f t="shared" ref="L259:L295" si="28">IF(LEFT(M259,1)="&gt;","Censure haute",IF(M259="*****","Non testé","Normal"))</f>
        <v>Non testé</v>
      </c>
      <c r="M259" s="23" t="s">
        <v>44</v>
      </c>
      <c r="N259" s="23" t="str">
        <f t="shared" ref="N259:N295" si="29">IFERROR(VALUE(M259),"")</f>
        <v/>
      </c>
      <c r="O259" s="24" t="s">
        <v>502</v>
      </c>
      <c r="P259" s="23">
        <v>3.5</v>
      </c>
      <c r="Q259" s="29">
        <v>0.1409</v>
      </c>
      <c r="R259" s="29"/>
      <c r="S259" s="24" t="s">
        <v>526</v>
      </c>
      <c r="T259" s="24" t="str">
        <f t="shared" ref="T259:T295" si="30">IF(LEFT(U259,1)="&gt;","Censure haute",IF(U259="*****","Echec technique","Normal"))</f>
        <v>Echec technique</v>
      </c>
      <c r="U259" s="24" t="s">
        <v>44</v>
      </c>
      <c r="V259" s="24" t="str">
        <f t="shared" ref="V259:V295" si="31">IFERROR(VALUE(U259),"")</f>
        <v/>
      </c>
      <c r="W259" s="24" t="s">
        <v>502</v>
      </c>
      <c r="X259" s="23">
        <v>3.2120000000000002</v>
      </c>
      <c r="Y259" s="23">
        <v>3.1839</v>
      </c>
      <c r="Z259" s="23"/>
      <c r="AA259" s="24" t="s">
        <v>527</v>
      </c>
      <c r="AB259" s="24" t="str">
        <f t="shared" ref="AB259:AB295" si="32">IF(LEFT(AC259,1)="&gt;","Censure haute",IF(AC259="*****","Non testé","Normal"))</f>
        <v>Censure haute</v>
      </c>
      <c r="AC259" s="23" t="s">
        <v>35</v>
      </c>
      <c r="AD259" s="23" t="s">
        <v>561</v>
      </c>
      <c r="AE259" s="23" t="str">
        <f t="shared" ref="AE259:AE295" si="33">IF(ISBLANK(AF259),"",IF(LEFT(AF259,1)="&gt;","Censure haute",IF(AF259="*****","Non testé","Normal")))</f>
        <v/>
      </c>
      <c r="AF259" s="23"/>
      <c r="AG259" s="23" t="str">
        <f t="shared" ref="AG259:AG295" si="34">IF(ISBLANK(AF259),"",IFERROR(VALUE(AF259),""))</f>
        <v/>
      </c>
      <c r="AH259" s="24" t="s">
        <v>527</v>
      </c>
      <c r="AI259" s="23">
        <v>3.5</v>
      </c>
      <c r="AJ259" s="23">
        <v>0.79910000000000003</v>
      </c>
      <c r="AK259" s="23"/>
      <c r="AL259" s="24" t="s">
        <v>526</v>
      </c>
      <c r="AM259" s="24">
        <v>210</v>
      </c>
      <c r="AN259" s="24">
        <v>0</v>
      </c>
      <c r="AO259" s="24">
        <f>IF(ISBLANK(AM259),"",IF(AM259=92,IF(T259="Censure haute",120,""),IF(AB259="Censure haute",120,"")))</f>
        <v>120</v>
      </c>
    </row>
    <row r="260" spans="1:41" x14ac:dyDescent="0.3">
      <c r="A260" s="24" t="s">
        <v>348</v>
      </c>
      <c r="B260" s="24" t="s">
        <v>517</v>
      </c>
      <c r="C260" s="30"/>
      <c r="D260" s="26">
        <v>25.7</v>
      </c>
      <c r="E260" s="24" t="s">
        <v>522</v>
      </c>
      <c r="F260" s="27" t="s">
        <v>525</v>
      </c>
      <c r="G260" s="28">
        <v>44453</v>
      </c>
      <c r="H260" s="28">
        <v>44482</v>
      </c>
      <c r="I260" s="24">
        <v>12</v>
      </c>
      <c r="J260" s="24" t="s">
        <v>33</v>
      </c>
      <c r="K260" s="24" t="s">
        <v>526</v>
      </c>
      <c r="L260" s="24" t="str">
        <f t="shared" si="28"/>
        <v>Non testé</v>
      </c>
      <c r="M260" s="23" t="s">
        <v>44</v>
      </c>
      <c r="N260" s="23" t="str">
        <f t="shared" si="29"/>
        <v/>
      </c>
      <c r="O260" s="24" t="s">
        <v>502</v>
      </c>
      <c r="P260" s="23">
        <v>3.5</v>
      </c>
      <c r="Q260" s="29">
        <v>8.7900000000000006E-2</v>
      </c>
      <c r="R260" s="29"/>
      <c r="S260" s="24" t="s">
        <v>526</v>
      </c>
      <c r="T260" s="24" t="str">
        <f t="shared" si="30"/>
        <v>Censure haute</v>
      </c>
      <c r="U260" s="24" t="s">
        <v>35</v>
      </c>
      <c r="V260" s="24" t="str">
        <f t="shared" si="31"/>
        <v/>
      </c>
      <c r="W260" s="24" t="s">
        <v>527</v>
      </c>
      <c r="X260" s="23">
        <v>3.2440000000000002</v>
      </c>
      <c r="Y260" s="23">
        <v>0.39240000000000003</v>
      </c>
      <c r="Z260" s="23"/>
      <c r="AA260" s="24" t="s">
        <v>526</v>
      </c>
      <c r="AB260" s="24" t="str">
        <f t="shared" si="32"/>
        <v>Censure haute</v>
      </c>
      <c r="AC260" s="23" t="s">
        <v>35</v>
      </c>
      <c r="AD260" s="23" t="s">
        <v>561</v>
      </c>
      <c r="AE260" s="23" t="str">
        <f t="shared" si="33"/>
        <v/>
      </c>
      <c r="AF260" s="23"/>
      <c r="AG260" s="23" t="str">
        <f t="shared" si="34"/>
        <v/>
      </c>
      <c r="AH260" s="24" t="s">
        <v>527</v>
      </c>
      <c r="AI260" s="23">
        <v>3.5</v>
      </c>
      <c r="AJ260" s="23">
        <v>0.24379999999999999</v>
      </c>
      <c r="AK260" s="23"/>
      <c r="AL260" s="24" t="s">
        <v>526</v>
      </c>
      <c r="AM260" s="24"/>
      <c r="AN260" s="24"/>
      <c r="AO260" s="24" t="str">
        <f>IF(ISBLANK(AM260),"",IF(AM260=92,IF(T260="Censure haute",120,""),IF(AB260="Censure haute",120,"")))</f>
        <v/>
      </c>
    </row>
    <row r="261" spans="1:41" x14ac:dyDescent="0.3">
      <c r="A261" s="24" t="s">
        <v>349</v>
      </c>
      <c r="B261" s="24" t="s">
        <v>517</v>
      </c>
      <c r="C261" s="25"/>
      <c r="D261" s="26">
        <v>18.7</v>
      </c>
      <c r="E261" s="24" t="s">
        <v>521</v>
      </c>
      <c r="F261" s="27" t="s">
        <v>525</v>
      </c>
      <c r="G261" s="28">
        <v>44453</v>
      </c>
      <c r="H261" s="28">
        <v>44477</v>
      </c>
      <c r="I261" s="24">
        <v>14</v>
      </c>
      <c r="J261" s="24" t="s">
        <v>43</v>
      </c>
      <c r="K261" s="24" t="s">
        <v>527</v>
      </c>
      <c r="L261" s="24" t="str">
        <f t="shared" si="28"/>
        <v>Non testé</v>
      </c>
      <c r="M261" s="23" t="s">
        <v>44</v>
      </c>
      <c r="N261" s="23" t="str">
        <f t="shared" si="29"/>
        <v/>
      </c>
      <c r="O261" s="24" t="s">
        <v>502</v>
      </c>
      <c r="P261" s="23">
        <v>3.5</v>
      </c>
      <c r="Q261" s="29">
        <v>0.70520000000000005</v>
      </c>
      <c r="R261" s="29"/>
      <c r="S261" s="24" t="s">
        <v>526</v>
      </c>
      <c r="T261" s="24" t="str">
        <f t="shared" si="30"/>
        <v>Echec technique</v>
      </c>
      <c r="U261" s="24" t="s">
        <v>44</v>
      </c>
      <c r="V261" s="24" t="str">
        <f t="shared" si="31"/>
        <v/>
      </c>
      <c r="W261" s="24" t="s">
        <v>502</v>
      </c>
      <c r="X261" s="23">
        <v>3.2679999999999998</v>
      </c>
      <c r="Y261" s="23">
        <v>5.9137000000000004</v>
      </c>
      <c r="Z261" s="23"/>
      <c r="AA261" s="24" t="s">
        <v>527</v>
      </c>
      <c r="AB261" s="24" t="str">
        <f t="shared" si="32"/>
        <v>Censure haute</v>
      </c>
      <c r="AC261" s="23" t="s">
        <v>35</v>
      </c>
      <c r="AD261" s="23" t="s">
        <v>561</v>
      </c>
      <c r="AE261" s="23" t="str">
        <f t="shared" si="33"/>
        <v/>
      </c>
      <c r="AF261" s="23"/>
      <c r="AG261" s="23" t="str">
        <f t="shared" si="34"/>
        <v/>
      </c>
      <c r="AH261" s="24" t="s">
        <v>527</v>
      </c>
      <c r="AI261" s="23">
        <v>3.5</v>
      </c>
      <c r="AJ261" s="23">
        <v>2.4300999999999999</v>
      </c>
      <c r="AK261" s="23"/>
      <c r="AL261" s="24" t="s">
        <v>527</v>
      </c>
      <c r="AM261" s="24">
        <v>210</v>
      </c>
      <c r="AN261" s="24">
        <v>0</v>
      </c>
      <c r="AO261" s="24">
        <f>IF(ISBLANK(AM261),"",IF(AM261=92,IF(T261="Censure haute",120,""),IF(AB261="Censure haute",120,"")))</f>
        <v>120</v>
      </c>
    </row>
    <row r="262" spans="1:41" x14ac:dyDescent="0.3">
      <c r="A262" s="24" t="s">
        <v>350</v>
      </c>
      <c r="B262" s="24" t="s">
        <v>516</v>
      </c>
      <c r="C262" s="25" t="s">
        <v>518</v>
      </c>
      <c r="D262" s="26">
        <v>31.6</v>
      </c>
      <c r="E262" s="24" t="s">
        <v>522</v>
      </c>
      <c r="F262" s="27" t="s">
        <v>525</v>
      </c>
      <c r="G262" s="28">
        <v>44453</v>
      </c>
      <c r="H262" s="28">
        <v>44477</v>
      </c>
      <c r="I262" s="24">
        <v>12</v>
      </c>
      <c r="J262" s="24" t="s">
        <v>33</v>
      </c>
      <c r="K262" s="24" t="s">
        <v>526</v>
      </c>
      <c r="L262" s="24" t="str">
        <f t="shared" si="28"/>
        <v>Non testé</v>
      </c>
      <c r="M262" s="23" t="s">
        <v>44</v>
      </c>
      <c r="N262" s="23" t="str">
        <f t="shared" si="29"/>
        <v/>
      </c>
      <c r="O262" s="24" t="s">
        <v>502</v>
      </c>
      <c r="P262" s="23">
        <v>3.5</v>
      </c>
      <c r="Q262" s="29">
        <v>2.8208000000000002</v>
      </c>
      <c r="R262" s="29"/>
      <c r="S262" s="24" t="s">
        <v>527</v>
      </c>
      <c r="T262" s="24" t="str">
        <f t="shared" si="30"/>
        <v>Echec technique</v>
      </c>
      <c r="U262" s="24" t="s">
        <v>44</v>
      </c>
      <c r="V262" s="24" t="str">
        <f t="shared" si="31"/>
        <v/>
      </c>
      <c r="W262" s="24" t="s">
        <v>502</v>
      </c>
      <c r="X262" s="23">
        <v>3.3220000000000001</v>
      </c>
      <c r="Y262" s="23">
        <v>1.8027</v>
      </c>
      <c r="Z262" s="23"/>
      <c r="AA262" s="24" t="s">
        <v>527</v>
      </c>
      <c r="AB262" s="24" t="str">
        <f t="shared" si="32"/>
        <v>Non testé</v>
      </c>
      <c r="AC262" s="24" t="s">
        <v>44</v>
      </c>
      <c r="AD262" s="23" t="s">
        <v>561</v>
      </c>
      <c r="AE262" s="23" t="str">
        <f t="shared" si="33"/>
        <v/>
      </c>
      <c r="AF262" s="24"/>
      <c r="AG262" s="23" t="str">
        <f t="shared" si="34"/>
        <v/>
      </c>
      <c r="AH262" s="24" t="s">
        <v>502</v>
      </c>
      <c r="AI262" s="23">
        <v>3.5</v>
      </c>
      <c r="AJ262" s="23">
        <v>4.9668999999999999</v>
      </c>
      <c r="AK262" s="23"/>
      <c r="AL262" s="24" t="s">
        <v>527</v>
      </c>
      <c r="AM262" s="24"/>
      <c r="AN262" s="24"/>
      <c r="AO262" s="24" t="str">
        <f>IF(ISBLANK(AM262),"",IF(AM262=92,IF(T262="Censure haute",120,""),IF(AB262="Censure haute",120,"")))</f>
        <v/>
      </c>
    </row>
    <row r="263" spans="1:41" x14ac:dyDescent="0.3">
      <c r="A263" s="24" t="s">
        <v>351</v>
      </c>
      <c r="B263" s="24" t="s">
        <v>516</v>
      </c>
      <c r="C263" s="30"/>
      <c r="D263" s="26">
        <v>24.3</v>
      </c>
      <c r="E263" s="24" t="s">
        <v>520</v>
      </c>
      <c r="F263" s="27" t="s">
        <v>525</v>
      </c>
      <c r="G263" s="28">
        <v>44453</v>
      </c>
      <c r="H263" s="28">
        <v>44476</v>
      </c>
      <c r="I263" s="24">
        <v>15</v>
      </c>
      <c r="J263" s="24" t="s">
        <v>43</v>
      </c>
      <c r="K263" s="24" t="s">
        <v>527</v>
      </c>
      <c r="L263" s="24" t="str">
        <f t="shared" si="28"/>
        <v>Non testé</v>
      </c>
      <c r="M263" s="23" t="s">
        <v>44</v>
      </c>
      <c r="N263" s="23" t="str">
        <f t="shared" si="29"/>
        <v/>
      </c>
      <c r="O263" s="24" t="s">
        <v>502</v>
      </c>
      <c r="P263" s="23">
        <v>3.5</v>
      </c>
      <c r="Q263" s="29">
        <v>6.3500000000000001E-2</v>
      </c>
      <c r="R263" s="29"/>
      <c r="S263" s="24" t="s">
        <v>526</v>
      </c>
      <c r="T263" s="24" t="str">
        <f t="shared" si="30"/>
        <v>Censure haute</v>
      </c>
      <c r="U263" s="24" t="s">
        <v>35</v>
      </c>
      <c r="V263" s="24" t="str">
        <f t="shared" si="31"/>
        <v/>
      </c>
      <c r="W263" s="24" t="s">
        <v>527</v>
      </c>
      <c r="X263" s="23">
        <v>3.3359999999999999</v>
      </c>
      <c r="Y263" s="23">
        <v>6.5000000000000002E-2</v>
      </c>
      <c r="Z263" s="23"/>
      <c r="AA263" s="24" t="s">
        <v>526</v>
      </c>
      <c r="AB263" s="24" t="str">
        <f t="shared" si="32"/>
        <v>Normal</v>
      </c>
      <c r="AC263" s="23">
        <v>462599</v>
      </c>
      <c r="AD263" s="23">
        <v>46.259900000000002</v>
      </c>
      <c r="AE263" s="23" t="str">
        <f t="shared" si="33"/>
        <v/>
      </c>
      <c r="AF263" s="23"/>
      <c r="AG263" s="23" t="str">
        <f t="shared" si="34"/>
        <v/>
      </c>
      <c r="AH263" s="24" t="s">
        <v>527</v>
      </c>
      <c r="AI263" s="23">
        <v>3.5</v>
      </c>
      <c r="AJ263" s="23">
        <v>0.1157</v>
      </c>
      <c r="AK263" s="23"/>
      <c r="AL263" s="24" t="s">
        <v>526</v>
      </c>
      <c r="AM263" s="24">
        <v>182</v>
      </c>
      <c r="AN263" s="24">
        <v>1</v>
      </c>
      <c r="AO263" s="24" t="str">
        <f>IF(ISBLANK(AM263),"",IF(AM263=92,IF(T263="Censure haute",120,""),IF(AB263="Censure haute",120,"")))</f>
        <v/>
      </c>
    </row>
    <row r="264" spans="1:41" x14ac:dyDescent="0.3">
      <c r="A264" s="24" t="s">
        <v>352</v>
      </c>
      <c r="B264" s="24" t="s">
        <v>516</v>
      </c>
      <c r="C264" s="25"/>
      <c r="D264" s="26">
        <v>16</v>
      </c>
      <c r="E264" s="24" t="s">
        <v>521</v>
      </c>
      <c r="F264" s="27" t="s">
        <v>525</v>
      </c>
      <c r="G264" s="28">
        <v>44453</v>
      </c>
      <c r="H264" s="28">
        <v>44477</v>
      </c>
      <c r="I264" s="24">
        <v>12</v>
      </c>
      <c r="J264" s="24" t="s">
        <v>33</v>
      </c>
      <c r="K264" s="24" t="s">
        <v>526</v>
      </c>
      <c r="L264" s="24" t="str">
        <f t="shared" si="28"/>
        <v>Non testé</v>
      </c>
      <c r="M264" s="23" t="s">
        <v>44</v>
      </c>
      <c r="N264" s="23" t="str">
        <f t="shared" si="29"/>
        <v/>
      </c>
      <c r="O264" s="24" t="s">
        <v>502</v>
      </c>
      <c r="P264" s="23">
        <v>3.5</v>
      </c>
      <c r="Q264" s="29">
        <v>6.2600000000000003E-2</v>
      </c>
      <c r="R264" s="29">
        <v>5.3699999999999998E-2</v>
      </c>
      <c r="S264" s="24" t="s">
        <v>526</v>
      </c>
      <c r="T264" s="24" t="str">
        <f t="shared" si="30"/>
        <v>Echec technique</v>
      </c>
      <c r="U264" s="24" t="s">
        <v>44</v>
      </c>
      <c r="V264" s="24" t="str">
        <f t="shared" si="31"/>
        <v/>
      </c>
      <c r="W264" s="24" t="s">
        <v>502</v>
      </c>
      <c r="X264" s="23">
        <v>3.367</v>
      </c>
      <c r="Y264" s="23">
        <v>2.3220999999999998</v>
      </c>
      <c r="Z264" s="23"/>
      <c r="AA264" s="24" t="s">
        <v>527</v>
      </c>
      <c r="AB264" s="24" t="str">
        <f t="shared" si="32"/>
        <v>Censure haute</v>
      </c>
      <c r="AC264" s="23" t="s">
        <v>35</v>
      </c>
      <c r="AD264" s="23" t="s">
        <v>561</v>
      </c>
      <c r="AE264" s="23" t="str">
        <f t="shared" si="33"/>
        <v/>
      </c>
      <c r="AF264" s="23"/>
      <c r="AG264" s="23" t="str">
        <f t="shared" si="34"/>
        <v/>
      </c>
      <c r="AH264" s="24" t="s">
        <v>527</v>
      </c>
      <c r="AI264" s="23">
        <v>3.5</v>
      </c>
      <c r="AJ264" s="23">
        <v>0.64300000000000002</v>
      </c>
      <c r="AK264" s="23"/>
      <c r="AL264" s="24" t="s">
        <v>526</v>
      </c>
      <c r="AM264" s="24">
        <v>210</v>
      </c>
      <c r="AN264" s="24">
        <v>0</v>
      </c>
      <c r="AO264" s="24">
        <f>IF(ISBLANK(AM264),"",IF(AM264=92,IF(T264="Censure haute",120,""),IF(AB264="Censure haute",120,"")))</f>
        <v>120</v>
      </c>
    </row>
    <row r="265" spans="1:41" x14ac:dyDescent="0.3">
      <c r="A265" s="24" t="s">
        <v>354</v>
      </c>
      <c r="B265" s="24" t="s">
        <v>516</v>
      </c>
      <c r="C265" s="25"/>
      <c r="D265" s="26">
        <v>16.100000000000001</v>
      </c>
      <c r="E265" s="24" t="s">
        <v>521</v>
      </c>
      <c r="F265" s="27" t="s">
        <v>525</v>
      </c>
      <c r="G265" s="28">
        <v>44453</v>
      </c>
      <c r="H265" s="28">
        <v>44477</v>
      </c>
      <c r="I265" s="24">
        <v>12</v>
      </c>
      <c r="J265" s="24" t="s">
        <v>33</v>
      </c>
      <c r="K265" s="24" t="s">
        <v>527</v>
      </c>
      <c r="L265" s="24" t="str">
        <f t="shared" si="28"/>
        <v>Non testé</v>
      </c>
      <c r="M265" s="23" t="s">
        <v>44</v>
      </c>
      <c r="N265" s="23" t="str">
        <f t="shared" si="29"/>
        <v/>
      </c>
      <c r="O265" s="24" t="s">
        <v>502</v>
      </c>
      <c r="P265" s="23">
        <v>3.5</v>
      </c>
      <c r="Q265" s="29">
        <v>0.2555</v>
      </c>
      <c r="R265" s="29"/>
      <c r="S265" s="24" t="s">
        <v>526</v>
      </c>
      <c r="T265" s="24" t="str">
        <f t="shared" si="30"/>
        <v>Echec technique</v>
      </c>
      <c r="U265" s="24" t="s">
        <v>44</v>
      </c>
      <c r="V265" s="24" t="str">
        <f t="shared" si="31"/>
        <v/>
      </c>
      <c r="W265" s="24" t="s">
        <v>502</v>
      </c>
      <c r="X265" s="23">
        <v>3.3740000000000001</v>
      </c>
      <c r="Y265" s="23">
        <v>1.1662999999999999</v>
      </c>
      <c r="Z265" s="23"/>
      <c r="AA265" s="24" t="s">
        <v>527</v>
      </c>
      <c r="AB265" s="24" t="str">
        <f t="shared" si="32"/>
        <v>Censure haute</v>
      </c>
      <c r="AC265" s="23" t="s">
        <v>35</v>
      </c>
      <c r="AD265" s="23" t="s">
        <v>561</v>
      </c>
      <c r="AE265" s="23" t="str">
        <f t="shared" si="33"/>
        <v/>
      </c>
      <c r="AF265" s="23"/>
      <c r="AG265" s="23" t="str">
        <f t="shared" si="34"/>
        <v/>
      </c>
      <c r="AH265" s="24" t="s">
        <v>527</v>
      </c>
      <c r="AI265" s="23">
        <v>3.5</v>
      </c>
      <c r="AJ265" s="23">
        <v>0.55740000000000001</v>
      </c>
      <c r="AK265" s="23"/>
      <c r="AL265" s="24" t="s">
        <v>526</v>
      </c>
      <c r="AM265" s="24">
        <v>210</v>
      </c>
      <c r="AN265" s="24">
        <v>0</v>
      </c>
      <c r="AO265" s="24">
        <f>IF(ISBLANK(AM265),"",IF(AM265=92,IF(T265="Censure haute",120,""),IF(AB265="Censure haute",120,"")))</f>
        <v>120</v>
      </c>
    </row>
    <row r="266" spans="1:41" x14ac:dyDescent="0.3">
      <c r="A266" s="24" t="s">
        <v>355</v>
      </c>
      <c r="B266" s="24" t="s">
        <v>517</v>
      </c>
      <c r="C266" s="25"/>
      <c r="D266" s="26">
        <v>20.100000000000001</v>
      </c>
      <c r="E266" s="24" t="s">
        <v>521</v>
      </c>
      <c r="F266" s="27" t="s">
        <v>525</v>
      </c>
      <c r="G266" s="28">
        <v>44453</v>
      </c>
      <c r="H266" s="28">
        <v>44477</v>
      </c>
      <c r="I266" s="24">
        <v>14</v>
      </c>
      <c r="J266" s="24" t="s">
        <v>43</v>
      </c>
      <c r="K266" s="24" t="s">
        <v>526</v>
      </c>
      <c r="L266" s="24" t="str">
        <f t="shared" si="28"/>
        <v>Non testé</v>
      </c>
      <c r="M266" s="23" t="s">
        <v>44</v>
      </c>
      <c r="N266" s="23" t="str">
        <f t="shared" si="29"/>
        <v/>
      </c>
      <c r="O266" s="24" t="s">
        <v>502</v>
      </c>
      <c r="P266" s="23">
        <v>3.5</v>
      </c>
      <c r="Q266" s="29">
        <v>0.1142</v>
      </c>
      <c r="R266" s="29">
        <v>8.2500000000000004E-2</v>
      </c>
      <c r="S266" s="29" t="s">
        <v>526</v>
      </c>
      <c r="T266" s="24" t="str">
        <f t="shared" si="30"/>
        <v>Echec technique</v>
      </c>
      <c r="U266" s="24" t="s">
        <v>44</v>
      </c>
      <c r="V266" s="24" t="str">
        <f t="shared" si="31"/>
        <v/>
      </c>
      <c r="W266" s="24" t="s">
        <v>502</v>
      </c>
      <c r="X266" s="23">
        <v>3.4260000000000002</v>
      </c>
      <c r="Y266" s="23">
        <v>0.69089999999999996</v>
      </c>
      <c r="Z266" s="23"/>
      <c r="AA266" s="24" t="s">
        <v>526</v>
      </c>
      <c r="AB266" s="24" t="str">
        <f t="shared" si="32"/>
        <v>Non testé</v>
      </c>
      <c r="AC266" s="23" t="s">
        <v>44</v>
      </c>
      <c r="AD266" s="23" t="s">
        <v>561</v>
      </c>
      <c r="AE266" s="23" t="str">
        <f t="shared" si="33"/>
        <v/>
      </c>
      <c r="AF266" s="23"/>
      <c r="AG266" s="23" t="str">
        <f t="shared" si="34"/>
        <v/>
      </c>
      <c r="AH266" s="24" t="s">
        <v>502</v>
      </c>
      <c r="AI266" s="23">
        <v>3.5</v>
      </c>
      <c r="AJ266" s="23">
        <v>0.78480000000000005</v>
      </c>
      <c r="AK266" s="23"/>
      <c r="AL266" s="24" t="s">
        <v>526</v>
      </c>
      <c r="AM266" s="24">
        <v>210</v>
      </c>
      <c r="AN266" s="24">
        <v>0</v>
      </c>
      <c r="AO266" s="24" t="str">
        <f>IF(ISBLANK(AM266),"",IF(AM266=92,IF(T266="Censure haute",120,""),IF(AB266="Censure haute",120,"")))</f>
        <v/>
      </c>
    </row>
    <row r="267" spans="1:41" x14ac:dyDescent="0.3">
      <c r="A267" s="24" t="s">
        <v>357</v>
      </c>
      <c r="B267" s="24" t="s">
        <v>517</v>
      </c>
      <c r="C267" s="30" t="s">
        <v>519</v>
      </c>
      <c r="D267" s="26">
        <v>26.3</v>
      </c>
      <c r="E267" s="24" t="s">
        <v>522</v>
      </c>
      <c r="F267" s="27" t="s">
        <v>525</v>
      </c>
      <c r="G267" s="28">
        <v>44453</v>
      </c>
      <c r="H267" s="28">
        <v>44477</v>
      </c>
      <c r="I267" s="24">
        <v>12</v>
      </c>
      <c r="J267" s="24" t="s">
        <v>33</v>
      </c>
      <c r="K267" s="24" t="s">
        <v>526</v>
      </c>
      <c r="L267" s="24" t="str">
        <f t="shared" si="28"/>
        <v>Non testé</v>
      </c>
      <c r="M267" s="23" t="s">
        <v>44</v>
      </c>
      <c r="N267" s="23" t="str">
        <f t="shared" si="29"/>
        <v/>
      </c>
      <c r="O267" s="24" t="s">
        <v>502</v>
      </c>
      <c r="P267" s="23">
        <v>3.5</v>
      </c>
      <c r="Q267" s="29">
        <v>0.34289999999999998</v>
      </c>
      <c r="R267" s="29"/>
      <c r="S267" s="24" t="s">
        <v>526</v>
      </c>
      <c r="T267" s="24" t="str">
        <f t="shared" si="30"/>
        <v>Echec technique</v>
      </c>
      <c r="U267" s="24" t="s">
        <v>44</v>
      </c>
      <c r="V267" s="24" t="str">
        <f t="shared" si="31"/>
        <v/>
      </c>
      <c r="W267" s="24" t="s">
        <v>502</v>
      </c>
      <c r="X267" s="23">
        <v>3.4529999999999998</v>
      </c>
      <c r="Y267" s="23">
        <v>2.0661999999999998</v>
      </c>
      <c r="Z267" s="23"/>
      <c r="AA267" s="24" t="s">
        <v>527</v>
      </c>
      <c r="AB267" s="24" t="str">
        <f t="shared" si="32"/>
        <v>Non testé</v>
      </c>
      <c r="AC267" s="23" t="s">
        <v>44</v>
      </c>
      <c r="AD267" s="23" t="s">
        <v>561</v>
      </c>
      <c r="AE267" s="23" t="str">
        <f t="shared" si="33"/>
        <v/>
      </c>
      <c r="AF267" s="23"/>
      <c r="AG267" s="23" t="str">
        <f t="shared" si="34"/>
        <v/>
      </c>
      <c r="AH267" s="24" t="s">
        <v>502</v>
      </c>
      <c r="AI267" s="23">
        <v>3.5</v>
      </c>
      <c r="AJ267" s="23">
        <v>2.4508000000000001</v>
      </c>
      <c r="AK267" s="23"/>
      <c r="AL267" s="24" t="s">
        <v>527</v>
      </c>
      <c r="AM267" s="24">
        <v>210</v>
      </c>
      <c r="AN267" s="24">
        <v>0</v>
      </c>
      <c r="AO267" s="24" t="str">
        <f>IF(ISBLANK(AM267),"",IF(AM267=92,IF(T267="Censure haute",120,""),IF(AB267="Censure haute",120,"")))</f>
        <v/>
      </c>
    </row>
    <row r="268" spans="1:41" x14ac:dyDescent="0.3">
      <c r="A268" s="24" t="s">
        <v>358</v>
      </c>
      <c r="B268" s="24" t="s">
        <v>517</v>
      </c>
      <c r="C268" s="25" t="s">
        <v>518</v>
      </c>
      <c r="D268" s="26">
        <v>20</v>
      </c>
      <c r="E268" s="24" t="s">
        <v>521</v>
      </c>
      <c r="F268" s="27" t="s">
        <v>525</v>
      </c>
      <c r="G268" s="28">
        <v>44453</v>
      </c>
      <c r="H268" s="28">
        <v>44477</v>
      </c>
      <c r="I268" s="24">
        <v>12</v>
      </c>
      <c r="J268" s="24" t="s">
        <v>33</v>
      </c>
      <c r="K268" s="24" t="s">
        <v>527</v>
      </c>
      <c r="L268" s="24" t="str">
        <f t="shared" si="28"/>
        <v>Non testé</v>
      </c>
      <c r="M268" s="23" t="s">
        <v>44</v>
      </c>
      <c r="N268" s="23" t="str">
        <f t="shared" si="29"/>
        <v/>
      </c>
      <c r="O268" s="24" t="s">
        <v>502</v>
      </c>
      <c r="P268" s="23">
        <v>3.5</v>
      </c>
      <c r="Q268" s="29">
        <v>1.1156999999999999</v>
      </c>
      <c r="R268" s="29">
        <v>1.1463000000000001</v>
      </c>
      <c r="S268" s="24" t="s">
        <v>527</v>
      </c>
      <c r="T268" s="24" t="str">
        <f t="shared" si="30"/>
        <v>Censure haute</v>
      </c>
      <c r="U268" s="24" t="s">
        <v>35</v>
      </c>
      <c r="V268" s="24" t="str">
        <f t="shared" si="31"/>
        <v/>
      </c>
      <c r="W268" s="24" t="s">
        <v>527</v>
      </c>
      <c r="X268" s="23">
        <v>3.4870000000000001</v>
      </c>
      <c r="Y268" s="23">
        <v>6.3788999999999998</v>
      </c>
      <c r="Z268" s="23"/>
      <c r="AA268" s="24" t="s">
        <v>527</v>
      </c>
      <c r="AB268" s="24" t="str">
        <f t="shared" si="32"/>
        <v>Censure haute</v>
      </c>
      <c r="AC268" s="23" t="s">
        <v>35</v>
      </c>
      <c r="AD268" s="23" t="s">
        <v>561</v>
      </c>
      <c r="AE268" s="23" t="str">
        <f t="shared" si="33"/>
        <v/>
      </c>
      <c r="AF268" s="23"/>
      <c r="AG268" s="23" t="str">
        <f t="shared" si="34"/>
        <v/>
      </c>
      <c r="AH268" s="24" t="s">
        <v>527</v>
      </c>
      <c r="AI268" s="23">
        <v>3.5</v>
      </c>
      <c r="AJ268" s="23">
        <v>1.9395</v>
      </c>
      <c r="AK268" s="23"/>
      <c r="AL268" s="24" t="s">
        <v>527</v>
      </c>
      <c r="AM268" s="24">
        <v>210</v>
      </c>
      <c r="AN268" s="24">
        <v>0</v>
      </c>
      <c r="AO268" s="24">
        <f>IF(ISBLANK(AM268),"",IF(AM268=92,IF(T268="Censure haute",120,""),IF(AB268="Censure haute",120,"")))</f>
        <v>120</v>
      </c>
    </row>
    <row r="269" spans="1:41" x14ac:dyDescent="0.3">
      <c r="A269" s="24" t="s">
        <v>360</v>
      </c>
      <c r="B269" s="24" t="s">
        <v>516</v>
      </c>
      <c r="C269" s="25"/>
      <c r="D269" s="26">
        <v>15.1</v>
      </c>
      <c r="E269" s="24" t="s">
        <v>521</v>
      </c>
      <c r="F269" s="27" t="s">
        <v>525</v>
      </c>
      <c r="G269" s="28">
        <v>44453</v>
      </c>
      <c r="H269" s="28">
        <v>44477</v>
      </c>
      <c r="I269" s="24">
        <v>12</v>
      </c>
      <c r="J269" s="24" t="s">
        <v>33</v>
      </c>
      <c r="K269" s="24" t="s">
        <v>526</v>
      </c>
      <c r="L269" s="24" t="str">
        <f t="shared" si="28"/>
        <v>Non testé</v>
      </c>
      <c r="M269" s="23" t="s">
        <v>44</v>
      </c>
      <c r="N269" s="23" t="str">
        <f t="shared" si="29"/>
        <v/>
      </c>
      <c r="O269" s="24" t="s">
        <v>502</v>
      </c>
      <c r="P269" s="23">
        <v>3.5</v>
      </c>
      <c r="Q269" s="29">
        <v>0.90390000000000004</v>
      </c>
      <c r="R269" s="29"/>
      <c r="S269" s="24" t="s">
        <v>526</v>
      </c>
      <c r="T269" s="24" t="str">
        <f t="shared" si="30"/>
        <v>Censure haute</v>
      </c>
      <c r="U269" s="24" t="s">
        <v>35</v>
      </c>
      <c r="V269" s="24" t="str">
        <f t="shared" si="31"/>
        <v/>
      </c>
      <c r="W269" s="24" t="s">
        <v>527</v>
      </c>
      <c r="X269" s="23">
        <v>3.5</v>
      </c>
      <c r="Y269" s="23">
        <v>1.4641</v>
      </c>
      <c r="Z269" s="23"/>
      <c r="AA269" s="24" t="s">
        <v>527</v>
      </c>
      <c r="AB269" s="24" t="str">
        <f t="shared" si="32"/>
        <v>Censure haute</v>
      </c>
      <c r="AC269" s="23" t="s">
        <v>35</v>
      </c>
      <c r="AD269" s="23" t="s">
        <v>561</v>
      </c>
      <c r="AE269" s="23" t="str">
        <f t="shared" si="33"/>
        <v/>
      </c>
      <c r="AF269" s="23"/>
      <c r="AG269" s="23" t="str">
        <f t="shared" si="34"/>
        <v/>
      </c>
      <c r="AH269" s="24" t="s">
        <v>527</v>
      </c>
      <c r="AI269" s="23">
        <v>3.5</v>
      </c>
      <c r="AJ269" s="23">
        <v>5.2850999999999999</v>
      </c>
      <c r="AK269" s="23"/>
      <c r="AL269" s="24" t="s">
        <v>527</v>
      </c>
      <c r="AM269" s="24">
        <v>210</v>
      </c>
      <c r="AN269" s="24">
        <v>0</v>
      </c>
      <c r="AO269" s="24">
        <f>IF(ISBLANK(AM269),"",IF(AM269=92,IF(T269="Censure haute",120,""),IF(AB269="Censure haute",120,"")))</f>
        <v>120</v>
      </c>
    </row>
    <row r="270" spans="1:41" x14ac:dyDescent="0.3">
      <c r="A270" s="24" t="s">
        <v>361</v>
      </c>
      <c r="B270" s="24" t="s">
        <v>516</v>
      </c>
      <c r="C270" s="25"/>
      <c r="D270" s="26">
        <v>23.9</v>
      </c>
      <c r="E270" s="24" t="s">
        <v>520</v>
      </c>
      <c r="F270" s="27" t="s">
        <v>525</v>
      </c>
      <c r="G270" s="28">
        <v>44453</v>
      </c>
      <c r="H270" s="28">
        <v>44477</v>
      </c>
      <c r="I270" s="24">
        <v>11</v>
      </c>
      <c r="J270" s="24" t="s">
        <v>33</v>
      </c>
      <c r="K270" s="24" t="s">
        <v>526</v>
      </c>
      <c r="L270" s="24" t="str">
        <f t="shared" si="28"/>
        <v>Non testé</v>
      </c>
      <c r="M270" s="23" t="s">
        <v>44</v>
      </c>
      <c r="N270" s="23" t="str">
        <f t="shared" si="29"/>
        <v/>
      </c>
      <c r="O270" s="24" t="s">
        <v>502</v>
      </c>
      <c r="P270" s="23">
        <v>3.5</v>
      </c>
      <c r="Q270" s="29">
        <v>1.0358000000000001</v>
      </c>
      <c r="R270" s="29"/>
      <c r="S270" s="24" t="s">
        <v>526</v>
      </c>
      <c r="T270" s="24" t="str">
        <f t="shared" si="30"/>
        <v>Censure haute</v>
      </c>
      <c r="U270" s="24" t="s">
        <v>35</v>
      </c>
      <c r="V270" s="24" t="str">
        <f t="shared" si="31"/>
        <v/>
      </c>
      <c r="W270" s="24" t="s">
        <v>527</v>
      </c>
      <c r="X270" s="23">
        <v>3.5</v>
      </c>
      <c r="Y270" s="23">
        <v>7.2556000000000003</v>
      </c>
      <c r="Z270" s="23"/>
      <c r="AA270" s="24" t="s">
        <v>527</v>
      </c>
      <c r="AB270" s="24" t="str">
        <f t="shared" si="32"/>
        <v>Normal</v>
      </c>
      <c r="AC270" s="23">
        <v>585146</v>
      </c>
      <c r="AD270" s="23">
        <v>58.514600000000002</v>
      </c>
      <c r="AE270" s="23" t="str">
        <f t="shared" si="33"/>
        <v/>
      </c>
      <c r="AF270" s="23"/>
      <c r="AG270" s="23" t="str">
        <f t="shared" si="34"/>
        <v/>
      </c>
      <c r="AH270" s="24" t="s">
        <v>527</v>
      </c>
      <c r="AI270" s="23">
        <v>3.5</v>
      </c>
      <c r="AJ270" s="23">
        <v>3.7583000000000002</v>
      </c>
      <c r="AK270" s="23"/>
      <c r="AL270" s="24" t="s">
        <v>527</v>
      </c>
      <c r="AM270" s="24"/>
      <c r="AN270" s="24"/>
      <c r="AO270" s="24" t="str">
        <f>IF(ISBLANK(AM270),"",IF(AM270=92,IF(T270="Censure haute",120,""),IF(AB270="Censure haute",120,"")))</f>
        <v/>
      </c>
    </row>
    <row r="271" spans="1:41" x14ac:dyDescent="0.3">
      <c r="A271" s="24" t="s">
        <v>362</v>
      </c>
      <c r="B271" s="24" t="s">
        <v>516</v>
      </c>
      <c r="C271" s="25"/>
      <c r="D271" s="26">
        <v>37</v>
      </c>
      <c r="E271" s="24" t="s">
        <v>522</v>
      </c>
      <c r="F271" s="27" t="s">
        <v>525</v>
      </c>
      <c r="G271" s="28">
        <v>44458</v>
      </c>
      <c r="H271" s="28">
        <v>44477</v>
      </c>
      <c r="I271" s="24">
        <v>15</v>
      </c>
      <c r="J271" s="24" t="s">
        <v>43</v>
      </c>
      <c r="K271" s="24" t="s">
        <v>526</v>
      </c>
      <c r="L271" s="24" t="str">
        <f t="shared" si="28"/>
        <v>Non testé</v>
      </c>
      <c r="M271" s="23" t="s">
        <v>44</v>
      </c>
      <c r="N271" s="23" t="str">
        <f t="shared" si="29"/>
        <v/>
      </c>
      <c r="O271" s="24" t="s">
        <v>502</v>
      </c>
      <c r="P271" s="23">
        <v>3.5</v>
      </c>
      <c r="Q271" s="29">
        <v>0.14729999999999999</v>
      </c>
      <c r="R271" s="29"/>
      <c r="S271" s="24" t="s">
        <v>526</v>
      </c>
      <c r="T271" s="24" t="str">
        <f t="shared" si="30"/>
        <v>Normal</v>
      </c>
      <c r="U271" s="24">
        <v>39.756900000000002</v>
      </c>
      <c r="V271" s="24">
        <f t="shared" si="31"/>
        <v>39.756900000000002</v>
      </c>
      <c r="W271" s="24" t="s">
        <v>527</v>
      </c>
      <c r="X271" s="23">
        <v>3.5</v>
      </c>
      <c r="Y271" s="23">
        <v>2.1347</v>
      </c>
      <c r="Z271" s="23"/>
      <c r="AA271" s="24" t="s">
        <v>527</v>
      </c>
      <c r="AB271" s="24" t="str">
        <f t="shared" si="32"/>
        <v>Normal</v>
      </c>
      <c r="AC271" s="23">
        <v>267984</v>
      </c>
      <c r="AD271" s="23">
        <v>26.798400000000001</v>
      </c>
      <c r="AE271" s="23" t="str">
        <f t="shared" si="33"/>
        <v/>
      </c>
      <c r="AF271" s="23"/>
      <c r="AG271" s="23" t="str">
        <f t="shared" si="34"/>
        <v/>
      </c>
      <c r="AH271" s="24" t="s">
        <v>527</v>
      </c>
      <c r="AI271" s="23">
        <v>3.5</v>
      </c>
      <c r="AJ271" s="23">
        <v>0.93030000000000002</v>
      </c>
      <c r="AK271" s="23">
        <v>0.89139999999999997</v>
      </c>
      <c r="AL271" s="24" t="s">
        <v>526</v>
      </c>
      <c r="AM271" s="24"/>
      <c r="AN271" s="24"/>
      <c r="AO271" s="24" t="str">
        <f>IF(ISBLANK(AM271),"",IF(AM271=92,IF(T271="Censure haute",120,""),IF(AB271="Censure haute",120,"")))</f>
        <v/>
      </c>
    </row>
    <row r="272" spans="1:41" x14ac:dyDescent="0.3">
      <c r="A272" s="24" t="s">
        <v>364</v>
      </c>
      <c r="B272" s="24" t="s">
        <v>516</v>
      </c>
      <c r="C272" s="25"/>
      <c r="D272" s="26">
        <v>21.6</v>
      </c>
      <c r="E272" s="24" t="s">
        <v>521</v>
      </c>
      <c r="F272" s="27" t="s">
        <v>525</v>
      </c>
      <c r="G272" s="28">
        <v>44458</v>
      </c>
      <c r="H272" s="28">
        <v>44477</v>
      </c>
      <c r="I272" s="24">
        <v>14</v>
      </c>
      <c r="J272" s="24" t="s">
        <v>43</v>
      </c>
      <c r="K272" s="24" t="s">
        <v>526</v>
      </c>
      <c r="L272" s="24" t="str">
        <f t="shared" si="28"/>
        <v>Non testé</v>
      </c>
      <c r="M272" s="23" t="s">
        <v>44</v>
      </c>
      <c r="N272" s="23" t="str">
        <f t="shared" si="29"/>
        <v/>
      </c>
      <c r="O272" s="24" t="s">
        <v>502</v>
      </c>
      <c r="P272" s="23">
        <v>3.5</v>
      </c>
      <c r="Q272" s="29">
        <v>0.2505</v>
      </c>
      <c r="R272" s="29"/>
      <c r="S272" s="24" t="s">
        <v>526</v>
      </c>
      <c r="T272" s="24" t="str">
        <f t="shared" si="30"/>
        <v>Echec technique</v>
      </c>
      <c r="U272" s="24" t="s">
        <v>44</v>
      </c>
      <c r="V272" s="24" t="str">
        <f t="shared" si="31"/>
        <v/>
      </c>
      <c r="W272" s="24" t="s">
        <v>502</v>
      </c>
      <c r="X272" s="23">
        <v>3.5</v>
      </c>
      <c r="Y272" s="23">
        <v>1.0442</v>
      </c>
      <c r="Z272" s="23"/>
      <c r="AA272" s="24" t="s">
        <v>526</v>
      </c>
      <c r="AB272" s="24" t="str">
        <f t="shared" si="32"/>
        <v>Censure haute</v>
      </c>
      <c r="AC272" s="23" t="s">
        <v>35</v>
      </c>
      <c r="AD272" s="23" t="s">
        <v>561</v>
      </c>
      <c r="AE272" s="23" t="str">
        <f t="shared" si="33"/>
        <v/>
      </c>
      <c r="AF272" s="23"/>
      <c r="AG272" s="23" t="str">
        <f t="shared" si="34"/>
        <v/>
      </c>
      <c r="AH272" s="24" t="s">
        <v>527</v>
      </c>
      <c r="AI272" s="23">
        <v>3.5</v>
      </c>
      <c r="AJ272" s="23">
        <v>0.64139999999999997</v>
      </c>
      <c r="AK272" s="23"/>
      <c r="AL272" s="24" t="s">
        <v>526</v>
      </c>
      <c r="AM272" s="24">
        <v>210</v>
      </c>
      <c r="AN272" s="24">
        <v>0</v>
      </c>
      <c r="AO272" s="24">
        <f>IF(ISBLANK(AM272),"",IF(AM272=92,IF(T272="Censure haute",120,""),IF(AB272="Censure haute",120,"")))</f>
        <v>120</v>
      </c>
    </row>
    <row r="273" spans="1:41" x14ac:dyDescent="0.3">
      <c r="A273" s="24" t="s">
        <v>365</v>
      </c>
      <c r="B273" s="24" t="s">
        <v>516</v>
      </c>
      <c r="C273" s="25"/>
      <c r="D273" s="26">
        <v>16.3</v>
      </c>
      <c r="E273" s="24" t="s">
        <v>521</v>
      </c>
      <c r="F273" s="27" t="s">
        <v>525</v>
      </c>
      <c r="G273" s="28">
        <v>44453</v>
      </c>
      <c r="H273" s="28">
        <v>44477</v>
      </c>
      <c r="I273" s="24">
        <v>12</v>
      </c>
      <c r="J273" s="24" t="s">
        <v>33</v>
      </c>
      <c r="K273" s="24" t="s">
        <v>526</v>
      </c>
      <c r="L273" s="24" t="str">
        <f t="shared" si="28"/>
        <v>Non testé</v>
      </c>
      <c r="M273" s="23" t="s">
        <v>44</v>
      </c>
      <c r="N273" s="23" t="str">
        <f t="shared" si="29"/>
        <v/>
      </c>
      <c r="O273" s="23" t="s">
        <v>502</v>
      </c>
      <c r="P273" s="23">
        <v>3.5</v>
      </c>
      <c r="Q273" s="29">
        <v>0.30769999999999997</v>
      </c>
      <c r="R273" s="29"/>
      <c r="S273" s="24" t="s">
        <v>526</v>
      </c>
      <c r="T273" s="24" t="str">
        <f t="shared" si="30"/>
        <v>Echec technique</v>
      </c>
      <c r="U273" s="24" t="s">
        <v>44</v>
      </c>
      <c r="V273" s="24" t="str">
        <f t="shared" si="31"/>
        <v/>
      </c>
      <c r="W273" s="24" t="s">
        <v>502</v>
      </c>
      <c r="X273" s="23">
        <v>3.5</v>
      </c>
      <c r="Y273" s="23">
        <v>8.3900000000000002E-2</v>
      </c>
      <c r="Z273" s="23"/>
      <c r="AA273" s="24" t="s">
        <v>526</v>
      </c>
      <c r="AB273" s="24" t="str">
        <f t="shared" si="32"/>
        <v>Non testé</v>
      </c>
      <c r="AC273" s="23" t="s">
        <v>44</v>
      </c>
      <c r="AD273" s="23" t="s">
        <v>561</v>
      </c>
      <c r="AE273" s="23" t="str">
        <f t="shared" si="33"/>
        <v/>
      </c>
      <c r="AF273" s="23"/>
      <c r="AG273" s="23" t="str">
        <f t="shared" si="34"/>
        <v/>
      </c>
      <c r="AH273" s="24" t="s">
        <v>502</v>
      </c>
      <c r="AI273" s="23">
        <v>3.5</v>
      </c>
      <c r="AJ273" s="23">
        <v>2.4283000000000001</v>
      </c>
      <c r="AK273" s="23"/>
      <c r="AL273" s="24" t="s">
        <v>527</v>
      </c>
      <c r="AM273" s="24">
        <v>210</v>
      </c>
      <c r="AN273" s="24">
        <v>0</v>
      </c>
      <c r="AO273" s="24" t="str">
        <f>IF(ISBLANK(AM273),"",IF(AM273=92,IF(T273="Censure haute",120,""),IF(AB273="Censure haute",120,"")))</f>
        <v/>
      </c>
    </row>
    <row r="274" spans="1:41" x14ac:dyDescent="0.3">
      <c r="A274" s="24" t="s">
        <v>366</v>
      </c>
      <c r="B274" s="24" t="s">
        <v>516</v>
      </c>
      <c r="C274" s="25"/>
      <c r="D274" s="26">
        <v>19.899999999999999</v>
      </c>
      <c r="E274" s="24" t="s">
        <v>521</v>
      </c>
      <c r="F274" s="27" t="s">
        <v>525</v>
      </c>
      <c r="G274" s="28">
        <v>44453</v>
      </c>
      <c r="H274" s="28">
        <v>44476</v>
      </c>
      <c r="I274" s="24">
        <v>15</v>
      </c>
      <c r="J274" s="24" t="s">
        <v>43</v>
      </c>
      <c r="K274" s="24" t="s">
        <v>526</v>
      </c>
      <c r="L274" s="24" t="str">
        <f t="shared" si="28"/>
        <v>Non testé</v>
      </c>
      <c r="M274" s="23" t="s">
        <v>44</v>
      </c>
      <c r="N274" s="23" t="str">
        <f t="shared" si="29"/>
        <v/>
      </c>
      <c r="O274" s="24" t="s">
        <v>502</v>
      </c>
      <c r="P274" s="23">
        <v>3.5</v>
      </c>
      <c r="Q274" s="29">
        <v>0.27029999999999998</v>
      </c>
      <c r="R274" s="29"/>
      <c r="S274" s="24" t="s">
        <v>526</v>
      </c>
      <c r="T274" s="24" t="s">
        <v>502</v>
      </c>
      <c r="U274" s="24" t="s">
        <v>44</v>
      </c>
      <c r="V274" s="24" t="str">
        <f t="shared" si="31"/>
        <v/>
      </c>
      <c r="W274" s="24" t="s">
        <v>527</v>
      </c>
      <c r="X274" s="23">
        <v>3.5</v>
      </c>
      <c r="Y274" s="23">
        <v>0.77170000000000005</v>
      </c>
      <c r="Z274" s="23"/>
      <c r="AA274" s="24" t="s">
        <v>526</v>
      </c>
      <c r="AB274" s="24" t="str">
        <f t="shared" si="32"/>
        <v>Non testé</v>
      </c>
      <c r="AC274" s="23" t="s">
        <v>44</v>
      </c>
      <c r="AD274" s="23" t="s">
        <v>561</v>
      </c>
      <c r="AE274" s="23" t="str">
        <f t="shared" si="33"/>
        <v/>
      </c>
      <c r="AF274" s="23"/>
      <c r="AG274" s="23" t="str">
        <f t="shared" si="34"/>
        <v/>
      </c>
      <c r="AH274" s="24" t="s">
        <v>502</v>
      </c>
      <c r="AI274" s="23">
        <v>3.5</v>
      </c>
      <c r="AJ274" s="23">
        <v>0.61270000000000002</v>
      </c>
      <c r="AK274" s="23"/>
      <c r="AL274" s="24" t="s">
        <v>526</v>
      </c>
      <c r="AM274" s="24">
        <v>210</v>
      </c>
      <c r="AN274" s="24">
        <v>0</v>
      </c>
      <c r="AO274" s="24" t="str">
        <f>IF(ISBLANK(AM274),"",IF(AM274=92,IF(T274="Censure haute",120,""),IF(AB274="Censure haute",120,"")))</f>
        <v/>
      </c>
    </row>
    <row r="275" spans="1:41" x14ac:dyDescent="0.3">
      <c r="A275" s="24" t="s">
        <v>367</v>
      </c>
      <c r="B275" s="24" t="s">
        <v>517</v>
      </c>
      <c r="C275" s="25"/>
      <c r="D275" s="26">
        <v>18.899999999999999</v>
      </c>
      <c r="E275" s="24" t="s">
        <v>521</v>
      </c>
      <c r="F275" s="27" t="s">
        <v>525</v>
      </c>
      <c r="G275" s="28">
        <v>44453</v>
      </c>
      <c r="H275" s="28">
        <v>44476</v>
      </c>
      <c r="I275" s="24">
        <v>15</v>
      </c>
      <c r="J275" s="24" t="s">
        <v>43</v>
      </c>
      <c r="K275" s="24" t="s">
        <v>526</v>
      </c>
      <c r="L275" s="24" t="str">
        <f t="shared" si="28"/>
        <v>Normal</v>
      </c>
      <c r="M275" s="23">
        <v>95.591800000000006</v>
      </c>
      <c r="N275" s="23">
        <f t="shared" si="29"/>
        <v>95.591800000000006</v>
      </c>
      <c r="O275" s="24" t="s">
        <v>527</v>
      </c>
      <c r="P275" s="23">
        <v>3.5</v>
      </c>
      <c r="Q275" s="29">
        <v>0.33629999999999999</v>
      </c>
      <c r="R275" s="29"/>
      <c r="S275" s="24" t="s">
        <v>526</v>
      </c>
      <c r="T275" s="24" t="str">
        <f t="shared" si="30"/>
        <v>Echec technique</v>
      </c>
      <c r="U275" s="24" t="s">
        <v>44</v>
      </c>
      <c r="V275" s="24" t="str">
        <f t="shared" si="31"/>
        <v/>
      </c>
      <c r="W275" s="24" t="s">
        <v>502</v>
      </c>
      <c r="X275" s="23">
        <v>3.5</v>
      </c>
      <c r="Y275" s="23">
        <v>1.1148</v>
      </c>
      <c r="Z275" s="23"/>
      <c r="AA275" s="24" t="s">
        <v>527</v>
      </c>
      <c r="AB275" s="24" t="str">
        <f t="shared" si="32"/>
        <v>Non testé</v>
      </c>
      <c r="AC275" s="23" t="s">
        <v>44</v>
      </c>
      <c r="AD275" s="23" t="s">
        <v>561</v>
      </c>
      <c r="AE275" s="23" t="str">
        <f t="shared" si="33"/>
        <v/>
      </c>
      <c r="AF275" s="23"/>
      <c r="AG275" s="23" t="str">
        <f t="shared" si="34"/>
        <v/>
      </c>
      <c r="AH275" s="24" t="s">
        <v>502</v>
      </c>
      <c r="AI275" s="23">
        <v>3.5</v>
      </c>
      <c r="AJ275" s="23">
        <v>0.63319999999999999</v>
      </c>
      <c r="AK275" s="23"/>
      <c r="AL275" s="24" t="s">
        <v>526</v>
      </c>
      <c r="AM275" s="24"/>
      <c r="AN275" s="24"/>
      <c r="AO275" s="24" t="str">
        <f>IF(ISBLANK(AM275),"",IF(AM275=92,IF(T275="Censure haute",120,""),IF(AB275="Censure haute",120,"")))</f>
        <v/>
      </c>
    </row>
    <row r="276" spans="1:41" x14ac:dyDescent="0.3">
      <c r="A276" s="24" t="s">
        <v>368</v>
      </c>
      <c r="B276" s="24" t="s">
        <v>516</v>
      </c>
      <c r="C276" s="30"/>
      <c r="D276" s="26">
        <v>19.8</v>
      </c>
      <c r="E276" s="24" t="s">
        <v>521</v>
      </c>
      <c r="F276" s="27" t="s">
        <v>525</v>
      </c>
      <c r="G276" s="28">
        <v>44453</v>
      </c>
      <c r="H276" s="28">
        <v>44476</v>
      </c>
      <c r="I276" s="24">
        <v>14</v>
      </c>
      <c r="J276" s="24" t="s">
        <v>43</v>
      </c>
      <c r="K276" s="24" t="s">
        <v>526</v>
      </c>
      <c r="L276" s="24" t="str">
        <f t="shared" si="28"/>
        <v>Non testé</v>
      </c>
      <c r="M276" s="23" t="s">
        <v>44</v>
      </c>
      <c r="N276" s="23" t="str">
        <f t="shared" si="29"/>
        <v/>
      </c>
      <c r="O276" s="24" t="s">
        <v>502</v>
      </c>
      <c r="P276" s="23">
        <v>3.5</v>
      </c>
      <c r="Q276" s="29">
        <v>0.27689999999999998</v>
      </c>
      <c r="R276" s="29"/>
      <c r="S276" s="24" t="s">
        <v>526</v>
      </c>
      <c r="T276" s="24" t="str">
        <f t="shared" si="30"/>
        <v>Echec technique</v>
      </c>
      <c r="U276" s="24" t="s">
        <v>44</v>
      </c>
      <c r="V276" s="24" t="str">
        <f t="shared" si="31"/>
        <v/>
      </c>
      <c r="W276" s="24" t="s">
        <v>502</v>
      </c>
      <c r="X276" s="23">
        <v>3.5</v>
      </c>
      <c r="Y276" s="23">
        <v>2.8675000000000002</v>
      </c>
      <c r="Z276" s="23"/>
      <c r="AA276" s="24" t="s">
        <v>527</v>
      </c>
      <c r="AB276" s="24" t="str">
        <f t="shared" si="32"/>
        <v>Non testé</v>
      </c>
      <c r="AC276" s="23" t="s">
        <v>44</v>
      </c>
      <c r="AD276" s="23" t="s">
        <v>561</v>
      </c>
      <c r="AE276" s="23" t="str">
        <f t="shared" si="33"/>
        <v/>
      </c>
      <c r="AF276" s="23"/>
      <c r="AG276" s="23" t="str">
        <f t="shared" si="34"/>
        <v/>
      </c>
      <c r="AH276" s="24" t="s">
        <v>502</v>
      </c>
      <c r="AI276" s="23">
        <v>3.5</v>
      </c>
      <c r="AJ276" s="23">
        <v>4.2417999999999996</v>
      </c>
      <c r="AK276" s="23"/>
      <c r="AL276" s="24" t="s">
        <v>527</v>
      </c>
      <c r="AM276" s="24">
        <v>210</v>
      </c>
      <c r="AN276" s="24">
        <v>0</v>
      </c>
      <c r="AO276" s="24" t="str">
        <f>IF(ISBLANK(AM276),"",IF(AM276=92,IF(T276="Censure haute",120,""),IF(AB276="Censure haute",120,"")))</f>
        <v/>
      </c>
    </row>
    <row r="277" spans="1:41" x14ac:dyDescent="0.3">
      <c r="A277" s="24" t="s">
        <v>369</v>
      </c>
      <c r="B277" s="24" t="s">
        <v>516</v>
      </c>
      <c r="C277" s="30" t="s">
        <v>518</v>
      </c>
      <c r="D277" s="26">
        <v>21.3</v>
      </c>
      <c r="E277" s="24" t="s">
        <v>521</v>
      </c>
      <c r="F277" s="27" t="s">
        <v>525</v>
      </c>
      <c r="G277" s="28">
        <v>44453</v>
      </c>
      <c r="H277" s="28">
        <v>44476</v>
      </c>
      <c r="I277" s="24">
        <v>15</v>
      </c>
      <c r="J277" s="24" t="s">
        <v>43</v>
      </c>
      <c r="K277" s="24" t="s">
        <v>526</v>
      </c>
      <c r="L277" s="24" t="str">
        <f t="shared" si="28"/>
        <v>Non testé</v>
      </c>
      <c r="M277" s="23" t="s">
        <v>44</v>
      </c>
      <c r="N277" s="23" t="str">
        <f t="shared" si="29"/>
        <v/>
      </c>
      <c r="O277" s="24" t="s">
        <v>502</v>
      </c>
      <c r="P277" s="23">
        <v>3.5</v>
      </c>
      <c r="Q277" s="29">
        <v>0.54290000000000005</v>
      </c>
      <c r="R277" s="29"/>
      <c r="S277" s="24" t="s">
        <v>526</v>
      </c>
      <c r="T277" s="24" t="str">
        <f t="shared" si="30"/>
        <v>Echec technique</v>
      </c>
      <c r="U277" s="24" t="s">
        <v>44</v>
      </c>
      <c r="V277" s="24" t="str">
        <f t="shared" si="31"/>
        <v/>
      </c>
      <c r="W277" s="24" t="s">
        <v>502</v>
      </c>
      <c r="X277" s="23">
        <v>3.5</v>
      </c>
      <c r="Y277" s="23">
        <v>1.649</v>
      </c>
      <c r="Z277" s="23"/>
      <c r="AA277" s="24" t="s">
        <v>527</v>
      </c>
      <c r="AB277" s="24" t="str">
        <f t="shared" si="32"/>
        <v>Non testé</v>
      </c>
      <c r="AC277" s="23" t="s">
        <v>44</v>
      </c>
      <c r="AD277" s="23" t="s">
        <v>561</v>
      </c>
      <c r="AE277" s="23" t="str">
        <f t="shared" si="33"/>
        <v/>
      </c>
      <c r="AF277" s="23"/>
      <c r="AG277" s="23" t="str">
        <f t="shared" si="34"/>
        <v/>
      </c>
      <c r="AH277" s="24" t="s">
        <v>502</v>
      </c>
      <c r="AI277" s="23">
        <v>3.5</v>
      </c>
      <c r="AJ277" s="23">
        <v>0.74590000000000001</v>
      </c>
      <c r="AK277" s="23"/>
      <c r="AL277" s="24" t="s">
        <v>526</v>
      </c>
      <c r="AM277" s="24">
        <v>210</v>
      </c>
      <c r="AN277" s="24">
        <v>0</v>
      </c>
      <c r="AO277" s="24" t="str">
        <f>IF(ISBLANK(AM277),"",IF(AM277=92,IF(T277="Censure haute",120,""),IF(AB277="Censure haute",120,"")))</f>
        <v/>
      </c>
    </row>
    <row r="278" spans="1:41" x14ac:dyDescent="0.3">
      <c r="A278" s="24" t="s">
        <v>370</v>
      </c>
      <c r="B278" s="24" t="s">
        <v>516</v>
      </c>
      <c r="C278" s="30" t="s">
        <v>518</v>
      </c>
      <c r="D278" s="26">
        <v>32.700000000000003</v>
      </c>
      <c r="E278" s="24" t="s">
        <v>522</v>
      </c>
      <c r="F278" s="27" t="s">
        <v>525</v>
      </c>
      <c r="G278" s="28">
        <v>44453</v>
      </c>
      <c r="H278" s="28">
        <v>44476</v>
      </c>
      <c r="I278" s="24">
        <v>15</v>
      </c>
      <c r="J278" s="24" t="s">
        <v>43</v>
      </c>
      <c r="K278" s="24" t="s">
        <v>526</v>
      </c>
      <c r="L278" s="24" t="str">
        <f t="shared" si="28"/>
        <v>Non testé</v>
      </c>
      <c r="M278" s="23" t="s">
        <v>44</v>
      </c>
      <c r="N278" s="23" t="str">
        <f t="shared" si="29"/>
        <v/>
      </c>
      <c r="O278" s="24" t="s">
        <v>502</v>
      </c>
      <c r="P278" s="23">
        <v>3.5</v>
      </c>
      <c r="Q278" s="29">
        <v>0.38240000000000002</v>
      </c>
      <c r="R278" s="29"/>
      <c r="S278" s="24" t="s">
        <v>526</v>
      </c>
      <c r="T278" s="24" t="str">
        <f t="shared" si="30"/>
        <v>Normal</v>
      </c>
      <c r="U278" s="24">
        <v>7.6596000000000002</v>
      </c>
      <c r="V278" s="24">
        <f t="shared" si="31"/>
        <v>7.6596000000000002</v>
      </c>
      <c r="W278" s="24" t="s">
        <v>526</v>
      </c>
      <c r="X278" s="23">
        <v>3.5</v>
      </c>
      <c r="Y278" s="23">
        <v>2.7439</v>
      </c>
      <c r="Z278" s="23"/>
      <c r="AA278" s="24" t="s">
        <v>527</v>
      </c>
      <c r="AB278" s="24" t="str">
        <f t="shared" si="32"/>
        <v>Normal</v>
      </c>
      <c r="AC278" s="23">
        <v>380237</v>
      </c>
      <c r="AD278" s="23">
        <v>38.023699999999998</v>
      </c>
      <c r="AE278" s="23" t="str">
        <f t="shared" si="33"/>
        <v/>
      </c>
      <c r="AF278" s="23"/>
      <c r="AG278" s="23" t="str">
        <f t="shared" si="34"/>
        <v/>
      </c>
      <c r="AH278" s="24" t="s">
        <v>527</v>
      </c>
      <c r="AI278" s="23">
        <v>3.5</v>
      </c>
      <c r="AJ278" s="23">
        <v>3.9201000000000001</v>
      </c>
      <c r="AK278" s="23"/>
      <c r="AL278" s="24" t="s">
        <v>527</v>
      </c>
      <c r="AM278" s="24"/>
      <c r="AN278" s="24"/>
      <c r="AO278" s="24" t="str">
        <f>IF(ISBLANK(AM278),"",IF(AM278=92,IF(T278="Censure haute",120,""),IF(AB278="Censure haute",120,"")))</f>
        <v/>
      </c>
    </row>
    <row r="279" spans="1:41" x14ac:dyDescent="0.3">
      <c r="A279" s="24" t="s">
        <v>371</v>
      </c>
      <c r="B279" s="24" t="s">
        <v>517</v>
      </c>
      <c r="C279" s="30" t="s">
        <v>518</v>
      </c>
      <c r="D279" s="26">
        <v>17.3</v>
      </c>
      <c r="E279" s="24" t="s">
        <v>521</v>
      </c>
      <c r="F279" s="27" t="s">
        <v>525</v>
      </c>
      <c r="G279" s="28">
        <v>44453</v>
      </c>
      <c r="H279" s="28">
        <v>44477</v>
      </c>
      <c r="I279" s="24">
        <v>11</v>
      </c>
      <c r="J279" s="24" t="s">
        <v>33</v>
      </c>
      <c r="K279" s="24" t="s">
        <v>526</v>
      </c>
      <c r="L279" s="24" t="str">
        <f t="shared" si="28"/>
        <v>Non testé</v>
      </c>
      <c r="M279" s="23" t="s">
        <v>44</v>
      </c>
      <c r="N279" s="23" t="str">
        <f t="shared" si="29"/>
        <v/>
      </c>
      <c r="O279" s="24" t="s">
        <v>502</v>
      </c>
      <c r="P279" s="23">
        <v>3.5</v>
      </c>
      <c r="Q279" s="29">
        <v>0.37140000000000001</v>
      </c>
      <c r="R279" s="29"/>
      <c r="S279" s="24" t="s">
        <v>526</v>
      </c>
      <c r="T279" s="24" t="str">
        <f t="shared" si="30"/>
        <v>Censure haute</v>
      </c>
      <c r="U279" s="24" t="s">
        <v>35</v>
      </c>
      <c r="V279" s="24" t="str">
        <f t="shared" si="31"/>
        <v/>
      </c>
      <c r="W279" s="24" t="s">
        <v>527</v>
      </c>
      <c r="X279" s="23">
        <v>3.5</v>
      </c>
      <c r="Y279" s="23">
        <v>0.19650000000000001</v>
      </c>
      <c r="Z279" s="23"/>
      <c r="AA279" s="24" t="s">
        <v>526</v>
      </c>
      <c r="AB279" s="24" t="str">
        <f t="shared" si="32"/>
        <v>Normal</v>
      </c>
      <c r="AC279" s="23">
        <v>1169697</v>
      </c>
      <c r="AD279" s="23">
        <v>116.9697</v>
      </c>
      <c r="AE279" s="23" t="str">
        <f t="shared" si="33"/>
        <v/>
      </c>
      <c r="AF279" s="23"/>
      <c r="AG279" s="23" t="str">
        <f t="shared" si="34"/>
        <v/>
      </c>
      <c r="AH279" s="24" t="s">
        <v>527</v>
      </c>
      <c r="AI279" s="23">
        <v>3.5</v>
      </c>
      <c r="AJ279" s="23">
        <v>0.17419999999999999</v>
      </c>
      <c r="AK279" s="23"/>
      <c r="AL279" s="24" t="s">
        <v>526</v>
      </c>
      <c r="AM279" s="24"/>
      <c r="AN279" s="24"/>
      <c r="AO279" s="24" t="str">
        <f>IF(ISBLANK(AM279),"",IF(AM279=92,IF(T279="Censure haute",120,""),IF(AB279="Censure haute",120,"")))</f>
        <v/>
      </c>
    </row>
    <row r="280" spans="1:41" x14ac:dyDescent="0.3">
      <c r="A280" s="24" t="s">
        <v>372</v>
      </c>
      <c r="B280" s="24" t="s">
        <v>516</v>
      </c>
      <c r="C280" s="30" t="s">
        <v>518</v>
      </c>
      <c r="D280" s="26">
        <v>23</v>
      </c>
      <c r="E280" s="24" t="s">
        <v>520</v>
      </c>
      <c r="F280" s="27" t="s">
        <v>525</v>
      </c>
      <c r="G280" s="28">
        <v>44453</v>
      </c>
      <c r="H280" s="28">
        <v>44477</v>
      </c>
      <c r="I280" s="24">
        <v>12</v>
      </c>
      <c r="J280" s="24" t="s">
        <v>33</v>
      </c>
      <c r="K280" s="24" t="s">
        <v>527</v>
      </c>
      <c r="L280" s="24" t="str">
        <f t="shared" si="28"/>
        <v>Non testé</v>
      </c>
      <c r="M280" s="23" t="s">
        <v>44</v>
      </c>
      <c r="N280" s="23" t="str">
        <f t="shared" si="29"/>
        <v/>
      </c>
      <c r="O280" s="24" t="s">
        <v>502</v>
      </c>
      <c r="P280" s="23">
        <v>3.5</v>
      </c>
      <c r="Q280" s="29">
        <v>0.10589999999999999</v>
      </c>
      <c r="R280" s="29"/>
      <c r="S280" s="24" t="s">
        <v>526</v>
      </c>
      <c r="T280" s="24" t="str">
        <f t="shared" si="30"/>
        <v>Censure haute</v>
      </c>
      <c r="U280" s="24" t="s">
        <v>35</v>
      </c>
      <c r="V280" s="24" t="str">
        <f t="shared" si="31"/>
        <v/>
      </c>
      <c r="W280" s="24" t="s">
        <v>527</v>
      </c>
      <c r="X280" s="23">
        <v>3.5</v>
      </c>
      <c r="Y280" s="23">
        <v>0.11260000000000001</v>
      </c>
      <c r="Z280" s="23"/>
      <c r="AA280" s="24" t="s">
        <v>526</v>
      </c>
      <c r="AB280" s="24" t="str">
        <f t="shared" si="32"/>
        <v>Censure haute</v>
      </c>
      <c r="AC280" s="23" t="s">
        <v>35</v>
      </c>
      <c r="AD280" s="23" t="s">
        <v>561</v>
      </c>
      <c r="AE280" s="23" t="str">
        <f t="shared" si="33"/>
        <v/>
      </c>
      <c r="AF280" s="23"/>
      <c r="AG280" s="23" t="str">
        <f t="shared" si="34"/>
        <v/>
      </c>
      <c r="AH280" s="24" t="s">
        <v>527</v>
      </c>
      <c r="AI280" s="23">
        <v>3.5</v>
      </c>
      <c r="AJ280" s="23">
        <v>6.6100000000000006E-2</v>
      </c>
      <c r="AK280" s="23"/>
      <c r="AL280" s="24" t="s">
        <v>526</v>
      </c>
      <c r="AM280" s="24">
        <v>210</v>
      </c>
      <c r="AN280" s="24">
        <v>0</v>
      </c>
      <c r="AO280" s="24">
        <f>IF(ISBLANK(AM280),"",IF(AM280=92,IF(T280="Censure haute",120,""),IF(AB280="Censure haute",120,"")))</f>
        <v>120</v>
      </c>
    </row>
    <row r="281" spans="1:41" x14ac:dyDescent="0.3">
      <c r="A281" s="24" t="s">
        <v>373</v>
      </c>
      <c r="B281" s="24" t="s">
        <v>517</v>
      </c>
      <c r="C281" s="30" t="s">
        <v>518</v>
      </c>
      <c r="D281" s="26">
        <v>19</v>
      </c>
      <c r="E281" s="24" t="s">
        <v>521</v>
      </c>
      <c r="F281" s="27" t="s">
        <v>525</v>
      </c>
      <c r="G281" s="28">
        <v>44466</v>
      </c>
      <c r="H281" s="28">
        <v>44487</v>
      </c>
      <c r="I281" s="24">
        <v>15</v>
      </c>
      <c r="J281" s="24" t="s">
        <v>43</v>
      </c>
      <c r="K281" s="24" t="s">
        <v>526</v>
      </c>
      <c r="L281" s="24" t="str">
        <f t="shared" si="28"/>
        <v>Non testé</v>
      </c>
      <c r="M281" s="23" t="s">
        <v>44</v>
      </c>
      <c r="N281" s="23" t="str">
        <f t="shared" si="29"/>
        <v/>
      </c>
      <c r="O281" s="24" t="s">
        <v>502</v>
      </c>
      <c r="P281" s="23">
        <v>3.5</v>
      </c>
      <c r="Q281" s="29">
        <v>3.9100000000000003E-2</v>
      </c>
      <c r="R281" s="29"/>
      <c r="S281" s="24" t="s">
        <v>526</v>
      </c>
      <c r="T281" s="24" t="str">
        <f t="shared" si="30"/>
        <v>Echec technique</v>
      </c>
      <c r="U281" s="24" t="s">
        <v>44</v>
      </c>
      <c r="V281" s="24" t="str">
        <f t="shared" si="31"/>
        <v/>
      </c>
      <c r="W281" s="24" t="s">
        <v>502</v>
      </c>
      <c r="X281" s="23">
        <v>3.5</v>
      </c>
      <c r="Y281" s="23">
        <v>0.60760000000000003</v>
      </c>
      <c r="Z281" s="23"/>
      <c r="AA281" s="24" t="s">
        <v>526</v>
      </c>
      <c r="AB281" s="24" t="str">
        <f t="shared" si="32"/>
        <v>Non testé</v>
      </c>
      <c r="AC281" s="23" t="s">
        <v>44</v>
      </c>
      <c r="AD281" s="23" t="s">
        <v>561</v>
      </c>
      <c r="AE281" s="23" t="str">
        <f t="shared" si="33"/>
        <v/>
      </c>
      <c r="AF281" s="23"/>
      <c r="AG281" s="23" t="str">
        <f t="shared" si="34"/>
        <v/>
      </c>
      <c r="AH281" s="24" t="s">
        <v>502</v>
      </c>
      <c r="AI281" s="23">
        <v>3.5</v>
      </c>
      <c r="AJ281" s="23">
        <v>0.60329999999999995</v>
      </c>
      <c r="AK281" s="23"/>
      <c r="AL281" s="24" t="s">
        <v>526</v>
      </c>
      <c r="AM281" s="24">
        <v>210</v>
      </c>
      <c r="AN281" s="24">
        <v>0</v>
      </c>
      <c r="AO281" s="24" t="str">
        <f>IF(ISBLANK(AM281),"",IF(AM281=92,IF(T281="Censure haute",120,""),IF(AB281="Censure haute",120,"")))</f>
        <v/>
      </c>
    </row>
    <row r="282" spans="1:41" x14ac:dyDescent="0.3">
      <c r="A282" s="24" t="s">
        <v>374</v>
      </c>
      <c r="B282" s="24" t="s">
        <v>517</v>
      </c>
      <c r="C282" s="30" t="s">
        <v>518</v>
      </c>
      <c r="D282" s="26">
        <v>18.399999999999999</v>
      </c>
      <c r="E282" s="24" t="s">
        <v>521</v>
      </c>
      <c r="F282" s="27" t="s">
        <v>525</v>
      </c>
      <c r="G282" s="28">
        <v>44453</v>
      </c>
      <c r="H282" s="28">
        <v>44477</v>
      </c>
      <c r="I282" s="24">
        <v>12</v>
      </c>
      <c r="J282" s="24" t="s">
        <v>33</v>
      </c>
      <c r="K282" s="24" t="s">
        <v>526</v>
      </c>
      <c r="L282" s="24" t="str">
        <f t="shared" si="28"/>
        <v>Non testé</v>
      </c>
      <c r="M282" s="23" t="s">
        <v>44</v>
      </c>
      <c r="N282" s="23" t="str">
        <f t="shared" si="29"/>
        <v/>
      </c>
      <c r="O282" s="24" t="s">
        <v>502</v>
      </c>
      <c r="P282" s="23">
        <v>3.5</v>
      </c>
      <c r="Q282" s="29">
        <v>0.2248</v>
      </c>
      <c r="R282" s="29"/>
      <c r="S282" s="24" t="s">
        <v>526</v>
      </c>
      <c r="T282" s="24" t="str">
        <f t="shared" si="30"/>
        <v>Censure haute</v>
      </c>
      <c r="U282" s="24" t="s">
        <v>35</v>
      </c>
      <c r="V282" s="24" t="str">
        <f t="shared" si="31"/>
        <v/>
      </c>
      <c r="W282" s="24" t="s">
        <v>527</v>
      </c>
      <c r="X282" s="23">
        <v>3.5</v>
      </c>
      <c r="Y282" s="23">
        <v>2.5807000000000002</v>
      </c>
      <c r="Z282" s="23"/>
      <c r="AA282" s="24" t="s">
        <v>527</v>
      </c>
      <c r="AB282" s="24" t="str">
        <f t="shared" si="32"/>
        <v>Censure haute</v>
      </c>
      <c r="AC282" s="23" t="s">
        <v>35</v>
      </c>
      <c r="AD282" s="23" t="s">
        <v>561</v>
      </c>
      <c r="AE282" s="23" t="str">
        <f t="shared" si="33"/>
        <v/>
      </c>
      <c r="AF282" s="23"/>
      <c r="AG282" s="23" t="str">
        <f t="shared" si="34"/>
        <v/>
      </c>
      <c r="AH282" s="24" t="s">
        <v>527</v>
      </c>
      <c r="AI282" s="23">
        <v>3.5</v>
      </c>
      <c r="AJ282" s="23">
        <v>1.7211000000000001</v>
      </c>
      <c r="AK282" s="23"/>
      <c r="AL282" s="24" t="s">
        <v>527</v>
      </c>
      <c r="AM282" s="24">
        <v>210</v>
      </c>
      <c r="AN282" s="24">
        <v>0</v>
      </c>
      <c r="AO282" s="24">
        <f>IF(ISBLANK(AM282),"",IF(AM282=92,IF(T282="Censure haute",120,""),IF(AB282="Censure haute",120,"")))</f>
        <v>120</v>
      </c>
    </row>
    <row r="283" spans="1:41" x14ac:dyDescent="0.3">
      <c r="A283" s="24" t="s">
        <v>375</v>
      </c>
      <c r="B283" s="24" t="s">
        <v>516</v>
      </c>
      <c r="C283" s="30" t="s">
        <v>518</v>
      </c>
      <c r="D283" s="26">
        <v>17.600000000000001</v>
      </c>
      <c r="E283" s="24" t="s">
        <v>521</v>
      </c>
      <c r="F283" s="27" t="s">
        <v>525</v>
      </c>
      <c r="G283" s="28">
        <v>44453</v>
      </c>
      <c r="H283" s="28">
        <v>44477</v>
      </c>
      <c r="I283" s="24">
        <v>12</v>
      </c>
      <c r="J283" s="24" t="s">
        <v>33</v>
      </c>
      <c r="K283" s="24" t="s">
        <v>526</v>
      </c>
      <c r="L283" s="24" t="str">
        <f t="shared" si="28"/>
        <v>Non testé</v>
      </c>
      <c r="M283" s="23" t="s">
        <v>44</v>
      </c>
      <c r="N283" s="23" t="str">
        <f t="shared" si="29"/>
        <v/>
      </c>
      <c r="O283" s="24" t="s">
        <v>502</v>
      </c>
      <c r="P283" s="23">
        <v>3.5</v>
      </c>
      <c r="Q283" s="29">
        <v>0.1026</v>
      </c>
      <c r="R283" s="29"/>
      <c r="S283" s="24" t="s">
        <v>526</v>
      </c>
      <c r="T283" s="24" t="str">
        <f t="shared" si="30"/>
        <v>Echec technique</v>
      </c>
      <c r="U283" s="24" t="s">
        <v>44</v>
      </c>
      <c r="V283" s="24" t="str">
        <f t="shared" si="31"/>
        <v/>
      </c>
      <c r="W283" s="24" t="s">
        <v>502</v>
      </c>
      <c r="X283" s="23">
        <v>3.5</v>
      </c>
      <c r="Y283" s="23">
        <v>2.3879000000000001</v>
      </c>
      <c r="Z283" s="23"/>
      <c r="AA283" s="24" t="s">
        <v>527</v>
      </c>
      <c r="AB283" s="24" t="str">
        <f t="shared" si="32"/>
        <v>Censure haute</v>
      </c>
      <c r="AC283" s="23" t="s">
        <v>35</v>
      </c>
      <c r="AD283" s="23" t="s">
        <v>561</v>
      </c>
      <c r="AE283" s="23" t="str">
        <f t="shared" si="33"/>
        <v/>
      </c>
      <c r="AF283" s="23"/>
      <c r="AG283" s="23" t="str">
        <f t="shared" si="34"/>
        <v/>
      </c>
      <c r="AH283" s="24" t="s">
        <v>527</v>
      </c>
      <c r="AI283" s="23">
        <v>3.5</v>
      </c>
      <c r="AJ283" s="23">
        <v>1.0764</v>
      </c>
      <c r="AK283" s="23"/>
      <c r="AL283" s="24" t="s">
        <v>526</v>
      </c>
      <c r="AM283" s="24">
        <v>210</v>
      </c>
      <c r="AN283" s="24">
        <v>0</v>
      </c>
      <c r="AO283" s="24">
        <f>IF(ISBLANK(AM283),"",IF(AM283=92,IF(T283="Censure haute",120,""),IF(AB283="Censure haute",120,"")))</f>
        <v>120</v>
      </c>
    </row>
    <row r="284" spans="1:41" x14ac:dyDescent="0.3">
      <c r="A284" s="24" t="s">
        <v>376</v>
      </c>
      <c r="B284" s="24" t="s">
        <v>516</v>
      </c>
      <c r="C284" s="30" t="s">
        <v>518</v>
      </c>
      <c r="D284" s="26">
        <v>16.100000000000001</v>
      </c>
      <c r="E284" s="24" t="s">
        <v>521</v>
      </c>
      <c r="F284" s="27" t="s">
        <v>525</v>
      </c>
      <c r="G284" s="28">
        <v>44453</v>
      </c>
      <c r="H284" s="28">
        <v>44482</v>
      </c>
      <c r="I284" s="24">
        <v>12</v>
      </c>
      <c r="J284" s="24" t="s">
        <v>33</v>
      </c>
      <c r="K284" s="24" t="s">
        <v>526</v>
      </c>
      <c r="L284" s="24" t="str">
        <f t="shared" si="28"/>
        <v>Non testé</v>
      </c>
      <c r="M284" s="23" t="s">
        <v>44</v>
      </c>
      <c r="N284" s="23" t="str">
        <f t="shared" si="29"/>
        <v/>
      </c>
      <c r="O284" s="24" t="s">
        <v>502</v>
      </c>
      <c r="P284" s="23">
        <v>3.5</v>
      </c>
      <c r="Q284" s="29">
        <v>0.1042</v>
      </c>
      <c r="R284" s="29"/>
      <c r="S284" s="24" t="s">
        <v>526</v>
      </c>
      <c r="T284" s="24" t="str">
        <f t="shared" si="30"/>
        <v>Echec technique</v>
      </c>
      <c r="U284" s="24" t="s">
        <v>44</v>
      </c>
      <c r="V284" s="24" t="str">
        <f t="shared" si="31"/>
        <v/>
      </c>
      <c r="W284" s="24" t="s">
        <v>502</v>
      </c>
      <c r="X284" s="23">
        <v>3.5</v>
      </c>
      <c r="Y284" s="23">
        <v>0.75339999999999996</v>
      </c>
      <c r="Z284" s="23"/>
      <c r="AA284" s="24" t="s">
        <v>526</v>
      </c>
      <c r="AB284" s="24" t="str">
        <f t="shared" si="32"/>
        <v>Non testé</v>
      </c>
      <c r="AC284" s="24" t="s">
        <v>44</v>
      </c>
      <c r="AD284" s="23" t="s">
        <v>561</v>
      </c>
      <c r="AE284" s="23" t="str">
        <f t="shared" si="33"/>
        <v/>
      </c>
      <c r="AF284" s="24"/>
      <c r="AG284" s="23" t="str">
        <f t="shared" si="34"/>
        <v/>
      </c>
      <c r="AH284" s="24" t="s">
        <v>502</v>
      </c>
      <c r="AI284" s="23">
        <v>3.5</v>
      </c>
      <c r="AJ284" s="23">
        <v>0.65080000000000005</v>
      </c>
      <c r="AK284" s="23"/>
      <c r="AL284" s="24" t="s">
        <v>526</v>
      </c>
      <c r="AM284" s="24">
        <v>210</v>
      </c>
      <c r="AN284" s="24">
        <v>0</v>
      </c>
      <c r="AO284" s="24" t="str">
        <f>IF(ISBLANK(AM284),"",IF(AM284=92,IF(T284="Censure haute",120,""),IF(AB284="Censure haute",120,"")))</f>
        <v/>
      </c>
    </row>
    <row r="285" spans="1:41" x14ac:dyDescent="0.3">
      <c r="A285" s="24" t="s">
        <v>377</v>
      </c>
      <c r="B285" s="24" t="s">
        <v>516</v>
      </c>
      <c r="C285" s="30" t="s">
        <v>518</v>
      </c>
      <c r="D285" s="26">
        <v>16.3</v>
      </c>
      <c r="E285" s="24" t="s">
        <v>521</v>
      </c>
      <c r="F285" s="27" t="s">
        <v>525</v>
      </c>
      <c r="G285" s="28">
        <v>44453</v>
      </c>
      <c r="H285" s="28">
        <v>44477</v>
      </c>
      <c r="I285" s="24">
        <v>12</v>
      </c>
      <c r="J285" s="24" t="s">
        <v>33</v>
      </c>
      <c r="K285" s="24" t="s">
        <v>526</v>
      </c>
      <c r="L285" s="24" t="str">
        <f t="shared" si="28"/>
        <v>Non testé</v>
      </c>
      <c r="M285" s="23" t="s">
        <v>44</v>
      </c>
      <c r="N285" s="23" t="str">
        <f t="shared" si="29"/>
        <v/>
      </c>
      <c r="O285" s="24" t="s">
        <v>502</v>
      </c>
      <c r="P285" s="23">
        <v>3.5</v>
      </c>
      <c r="Q285" s="29">
        <v>6.1899999999999997E-2</v>
      </c>
      <c r="R285" s="29"/>
      <c r="S285" s="24" t="s">
        <v>526</v>
      </c>
      <c r="T285" s="24" t="str">
        <f t="shared" si="30"/>
        <v>Censure haute</v>
      </c>
      <c r="U285" s="24" t="s">
        <v>35</v>
      </c>
      <c r="V285" s="24" t="str">
        <f t="shared" si="31"/>
        <v/>
      </c>
      <c r="W285" s="24" t="s">
        <v>527</v>
      </c>
      <c r="X285" s="23">
        <v>3.5</v>
      </c>
      <c r="Y285" s="23">
        <v>0.13</v>
      </c>
      <c r="Z285" s="23"/>
      <c r="AA285" s="24" t="s">
        <v>526</v>
      </c>
      <c r="AB285" s="24" t="str">
        <f t="shared" si="32"/>
        <v>Non testé</v>
      </c>
      <c r="AC285" s="24" t="s">
        <v>44</v>
      </c>
      <c r="AD285" s="23" t="s">
        <v>561</v>
      </c>
      <c r="AE285" s="23" t="str">
        <f t="shared" si="33"/>
        <v/>
      </c>
      <c r="AF285" s="24"/>
      <c r="AG285" s="23" t="str">
        <f t="shared" si="34"/>
        <v/>
      </c>
      <c r="AH285" s="24" t="s">
        <v>502</v>
      </c>
      <c r="AI285" s="23">
        <v>3.5</v>
      </c>
      <c r="AJ285" s="23">
        <v>0.85329999999999995</v>
      </c>
      <c r="AK285" s="23"/>
      <c r="AL285" s="24" t="s">
        <v>526</v>
      </c>
      <c r="AM285" s="24">
        <v>210</v>
      </c>
      <c r="AN285" s="24">
        <v>0</v>
      </c>
      <c r="AO285" s="24" t="str">
        <f>IF(ISBLANK(AM285),"",IF(AM285=92,IF(T285="Censure haute",120,""),IF(AB285="Censure haute",120,"")))</f>
        <v/>
      </c>
    </row>
    <row r="286" spans="1:41" x14ac:dyDescent="0.3">
      <c r="A286" s="24" t="s">
        <v>378</v>
      </c>
      <c r="B286" s="24" t="s">
        <v>516</v>
      </c>
      <c r="C286" s="25" t="s">
        <v>518</v>
      </c>
      <c r="D286" s="26">
        <v>16.8</v>
      </c>
      <c r="E286" s="24" t="s">
        <v>521</v>
      </c>
      <c r="F286" s="27" t="s">
        <v>525</v>
      </c>
      <c r="G286" s="28">
        <v>44453</v>
      </c>
      <c r="H286" s="28">
        <v>44477</v>
      </c>
      <c r="I286" s="24">
        <v>12</v>
      </c>
      <c r="J286" s="24" t="s">
        <v>33</v>
      </c>
      <c r="K286" s="24" t="s">
        <v>526</v>
      </c>
      <c r="L286" s="24" t="str">
        <f t="shared" si="28"/>
        <v>Non testé</v>
      </c>
      <c r="M286" s="23" t="s">
        <v>44</v>
      </c>
      <c r="N286" s="23" t="str">
        <f t="shared" si="29"/>
        <v/>
      </c>
      <c r="O286" s="24" t="s">
        <v>502</v>
      </c>
      <c r="P286" s="23">
        <v>3.5</v>
      </c>
      <c r="Q286" s="29">
        <v>0.66810000000000003</v>
      </c>
      <c r="R286" s="29"/>
      <c r="S286" s="24" t="s">
        <v>526</v>
      </c>
      <c r="T286" s="24" t="str">
        <f t="shared" si="30"/>
        <v>Censure haute</v>
      </c>
      <c r="U286" s="24" t="s">
        <v>35</v>
      </c>
      <c r="V286" s="24" t="str">
        <f t="shared" si="31"/>
        <v/>
      </c>
      <c r="W286" s="24" t="s">
        <v>527</v>
      </c>
      <c r="X286" s="23">
        <v>3.5</v>
      </c>
      <c r="Y286" s="23">
        <v>3.5211000000000001</v>
      </c>
      <c r="Z286" s="23"/>
      <c r="AA286" s="24" t="s">
        <v>527</v>
      </c>
      <c r="AB286" s="24" t="str">
        <f t="shared" si="32"/>
        <v>Censure haute</v>
      </c>
      <c r="AC286" s="23" t="s">
        <v>35</v>
      </c>
      <c r="AD286" s="23" t="s">
        <v>561</v>
      </c>
      <c r="AE286" s="23" t="str">
        <f t="shared" si="33"/>
        <v/>
      </c>
      <c r="AF286" s="23"/>
      <c r="AG286" s="23" t="str">
        <f t="shared" si="34"/>
        <v/>
      </c>
      <c r="AH286" s="24" t="s">
        <v>527</v>
      </c>
      <c r="AI286" s="23">
        <v>3.5</v>
      </c>
      <c r="AJ286" s="23">
        <v>1.2609999999999999</v>
      </c>
      <c r="AK286" s="23"/>
      <c r="AL286" s="24" t="s">
        <v>527</v>
      </c>
      <c r="AM286" s="24">
        <v>210</v>
      </c>
      <c r="AN286" s="24">
        <v>0</v>
      </c>
      <c r="AO286" s="24">
        <f>IF(ISBLANK(AM286),"",IF(AM286=92,IF(T286="Censure haute",120,""),IF(AB286="Censure haute",120,"")))</f>
        <v>120</v>
      </c>
    </row>
    <row r="287" spans="1:41" x14ac:dyDescent="0.3">
      <c r="A287" s="24" t="s">
        <v>379</v>
      </c>
      <c r="B287" s="24" t="s">
        <v>516</v>
      </c>
      <c r="C287" s="25" t="s">
        <v>518</v>
      </c>
      <c r="D287" s="26">
        <v>19.7</v>
      </c>
      <c r="E287" s="24" t="s">
        <v>521</v>
      </c>
      <c r="F287" s="27" t="s">
        <v>525</v>
      </c>
      <c r="G287" s="28">
        <v>44453</v>
      </c>
      <c r="H287" s="28">
        <v>44477</v>
      </c>
      <c r="I287" s="24">
        <v>12</v>
      </c>
      <c r="J287" s="24" t="s">
        <v>33</v>
      </c>
      <c r="K287" s="24" t="s">
        <v>526</v>
      </c>
      <c r="L287" s="24" t="str">
        <f t="shared" si="28"/>
        <v>Non testé</v>
      </c>
      <c r="M287" s="23" t="s">
        <v>44</v>
      </c>
      <c r="N287" s="23" t="str">
        <f t="shared" si="29"/>
        <v/>
      </c>
      <c r="O287" s="23" t="s">
        <v>502</v>
      </c>
      <c r="P287" s="23">
        <v>3.5</v>
      </c>
      <c r="Q287" s="29">
        <v>0.28170000000000001</v>
      </c>
      <c r="R287" s="29"/>
      <c r="S287" s="24" t="s">
        <v>526</v>
      </c>
      <c r="T287" s="24" t="str">
        <f t="shared" si="30"/>
        <v>Censure haute</v>
      </c>
      <c r="U287" s="24" t="s">
        <v>35</v>
      </c>
      <c r="V287" s="24" t="str">
        <f t="shared" si="31"/>
        <v/>
      </c>
      <c r="W287" s="24" t="s">
        <v>527</v>
      </c>
      <c r="X287" s="23">
        <v>3.5</v>
      </c>
      <c r="Y287" s="23">
        <v>5.6989000000000001</v>
      </c>
      <c r="Z287" s="23"/>
      <c r="AA287" s="24" t="s">
        <v>527</v>
      </c>
      <c r="AB287" s="24" t="str">
        <f t="shared" si="32"/>
        <v>Censure haute</v>
      </c>
      <c r="AC287" s="23" t="s">
        <v>35</v>
      </c>
      <c r="AD287" s="23" t="s">
        <v>561</v>
      </c>
      <c r="AE287" s="23" t="str">
        <f t="shared" si="33"/>
        <v/>
      </c>
      <c r="AF287" s="23"/>
      <c r="AG287" s="23" t="str">
        <f t="shared" si="34"/>
        <v/>
      </c>
      <c r="AH287" s="24" t="s">
        <v>527</v>
      </c>
      <c r="AI287" s="23">
        <v>3.5</v>
      </c>
      <c r="AJ287" s="23">
        <v>2.0270999999999999</v>
      </c>
      <c r="AK287" s="23"/>
      <c r="AL287" s="24" t="s">
        <v>527</v>
      </c>
      <c r="AM287" s="24">
        <v>210</v>
      </c>
      <c r="AN287" s="24">
        <v>0</v>
      </c>
      <c r="AO287" s="24">
        <f>IF(ISBLANK(AM287),"",IF(AM287=92,IF(T287="Censure haute",120,""),IF(AB287="Censure haute",120,"")))</f>
        <v>120</v>
      </c>
    </row>
    <row r="288" spans="1:41" x14ac:dyDescent="0.3">
      <c r="A288" s="24" t="s">
        <v>380</v>
      </c>
      <c r="B288" s="24" t="s">
        <v>516</v>
      </c>
      <c r="C288" s="25" t="s">
        <v>518</v>
      </c>
      <c r="D288" s="26">
        <v>15.8</v>
      </c>
      <c r="E288" s="24" t="s">
        <v>521</v>
      </c>
      <c r="F288" s="27" t="s">
        <v>525</v>
      </c>
      <c r="G288" s="28">
        <v>44453</v>
      </c>
      <c r="H288" s="28">
        <v>44477</v>
      </c>
      <c r="I288" s="24">
        <v>12</v>
      </c>
      <c r="J288" s="24" t="s">
        <v>33</v>
      </c>
      <c r="K288" s="24" t="s">
        <v>526</v>
      </c>
      <c r="L288" s="24" t="str">
        <f t="shared" si="28"/>
        <v>Censure haute</v>
      </c>
      <c r="M288" s="23" t="s">
        <v>35</v>
      </c>
      <c r="N288" s="23" t="str">
        <f t="shared" si="29"/>
        <v/>
      </c>
      <c r="O288" s="24" t="s">
        <v>527</v>
      </c>
      <c r="P288" s="23">
        <v>3.5</v>
      </c>
      <c r="Q288" s="29">
        <v>0.14319999999999999</v>
      </c>
      <c r="R288" s="29"/>
      <c r="S288" s="24" t="s">
        <v>526</v>
      </c>
      <c r="T288" s="24" t="str">
        <f t="shared" si="30"/>
        <v>Censure haute</v>
      </c>
      <c r="U288" s="24" t="s">
        <v>35</v>
      </c>
      <c r="V288" s="24" t="str">
        <f t="shared" si="31"/>
        <v/>
      </c>
      <c r="W288" s="24" t="s">
        <v>527</v>
      </c>
      <c r="X288" s="23">
        <v>3.5</v>
      </c>
      <c r="Y288" s="23">
        <v>0.16700000000000001</v>
      </c>
      <c r="Z288" s="23"/>
      <c r="AA288" s="24" t="s">
        <v>526</v>
      </c>
      <c r="AB288" s="24" t="str">
        <f t="shared" si="32"/>
        <v>Censure haute</v>
      </c>
      <c r="AC288" s="23" t="s">
        <v>35</v>
      </c>
      <c r="AD288" s="23" t="s">
        <v>561</v>
      </c>
      <c r="AE288" s="23" t="str">
        <f t="shared" si="33"/>
        <v/>
      </c>
      <c r="AF288" s="23"/>
      <c r="AG288" s="23" t="str">
        <f t="shared" si="34"/>
        <v/>
      </c>
      <c r="AH288" s="24" t="s">
        <v>527</v>
      </c>
      <c r="AI288" s="23">
        <v>3.5</v>
      </c>
      <c r="AJ288" s="23">
        <v>2.8549000000000002</v>
      </c>
      <c r="AK288" s="23"/>
      <c r="AL288" s="24" t="s">
        <v>527</v>
      </c>
      <c r="AM288" s="24">
        <v>210</v>
      </c>
      <c r="AN288" s="24">
        <v>0</v>
      </c>
      <c r="AO288" s="24">
        <f>IF(ISBLANK(AM288),"",IF(AM288=92,IF(T288="Censure haute",120,""),IF(AB288="Censure haute",120,"")))</f>
        <v>120</v>
      </c>
    </row>
    <row r="289" spans="1:41" x14ac:dyDescent="0.3">
      <c r="A289" s="24" t="s">
        <v>381</v>
      </c>
      <c r="B289" s="24" t="s">
        <v>517</v>
      </c>
      <c r="C289" s="25" t="s">
        <v>518</v>
      </c>
      <c r="D289" s="26">
        <v>22.4</v>
      </c>
      <c r="E289" s="24" t="s">
        <v>521</v>
      </c>
      <c r="F289" s="27" t="s">
        <v>525</v>
      </c>
      <c r="G289" s="28">
        <v>44454</v>
      </c>
      <c r="H289" s="28">
        <v>44476</v>
      </c>
      <c r="I289" s="24">
        <v>15</v>
      </c>
      <c r="J289" s="24" t="s">
        <v>43</v>
      </c>
      <c r="K289" s="24" t="s">
        <v>526</v>
      </c>
      <c r="L289" s="24" t="str">
        <f t="shared" si="28"/>
        <v>Non testé</v>
      </c>
      <c r="M289" s="23" t="s">
        <v>44</v>
      </c>
      <c r="N289" s="23" t="str">
        <f t="shared" si="29"/>
        <v/>
      </c>
      <c r="O289" s="24" t="s">
        <v>502</v>
      </c>
      <c r="P289" s="23">
        <v>3.5</v>
      </c>
      <c r="Q289" s="29">
        <v>0.1477</v>
      </c>
      <c r="R289" s="29"/>
      <c r="S289" s="24" t="s">
        <v>526</v>
      </c>
      <c r="T289" s="24" t="str">
        <f t="shared" si="30"/>
        <v>Censure haute</v>
      </c>
      <c r="U289" s="24" t="s">
        <v>35</v>
      </c>
      <c r="V289" s="24" t="str">
        <f t="shared" si="31"/>
        <v/>
      </c>
      <c r="W289" s="24" t="s">
        <v>527</v>
      </c>
      <c r="X289" s="23">
        <v>3.5</v>
      </c>
      <c r="Y289" s="23">
        <v>0.1696</v>
      </c>
      <c r="Z289" s="23"/>
      <c r="AA289" s="24" t="s">
        <v>526</v>
      </c>
      <c r="AB289" s="24" t="str">
        <f t="shared" si="32"/>
        <v>Censure haute</v>
      </c>
      <c r="AC289" s="23" t="s">
        <v>35</v>
      </c>
      <c r="AD289" s="23" t="s">
        <v>561</v>
      </c>
      <c r="AE289" s="23" t="str">
        <f t="shared" si="33"/>
        <v/>
      </c>
      <c r="AF289" s="23"/>
      <c r="AG289" s="23" t="str">
        <f t="shared" si="34"/>
        <v/>
      </c>
      <c r="AH289" s="24" t="s">
        <v>527</v>
      </c>
      <c r="AI289" s="23">
        <v>3.5</v>
      </c>
      <c r="AJ289" s="23">
        <v>0.16900000000000001</v>
      </c>
      <c r="AK289" s="23"/>
      <c r="AL289" s="24" t="s">
        <v>526</v>
      </c>
      <c r="AM289" s="24">
        <v>210</v>
      </c>
      <c r="AN289" s="24">
        <v>0</v>
      </c>
      <c r="AO289" s="24">
        <f>IF(ISBLANK(AM289),"",IF(AM289=92,IF(T289="Censure haute",120,""),IF(AB289="Censure haute",120,"")))</f>
        <v>120</v>
      </c>
    </row>
    <row r="290" spans="1:41" x14ac:dyDescent="0.3">
      <c r="A290" s="24" t="s">
        <v>382</v>
      </c>
      <c r="B290" s="24" t="s">
        <v>517</v>
      </c>
      <c r="C290" s="25"/>
      <c r="D290" s="26">
        <v>18.600000000000001</v>
      </c>
      <c r="E290" s="24" t="s">
        <v>521</v>
      </c>
      <c r="F290" s="27" t="s">
        <v>525</v>
      </c>
      <c r="G290" s="28">
        <v>44453</v>
      </c>
      <c r="H290" s="28">
        <v>44477</v>
      </c>
      <c r="I290" s="24">
        <v>12</v>
      </c>
      <c r="J290" s="24" t="s">
        <v>33</v>
      </c>
      <c r="K290" s="24" t="s">
        <v>526</v>
      </c>
      <c r="L290" s="24" t="str">
        <f t="shared" si="28"/>
        <v>Non testé</v>
      </c>
      <c r="M290" s="23" t="s">
        <v>44</v>
      </c>
      <c r="N290" s="23" t="str">
        <f t="shared" si="29"/>
        <v/>
      </c>
      <c r="O290" s="24" t="s">
        <v>502</v>
      </c>
      <c r="P290" s="23">
        <v>3.5</v>
      </c>
      <c r="Q290" s="29">
        <v>1.5308999999999999</v>
      </c>
      <c r="R290" s="29"/>
      <c r="S290" s="24" t="s">
        <v>527</v>
      </c>
      <c r="T290" s="24" t="str">
        <f t="shared" si="30"/>
        <v>Normal</v>
      </c>
      <c r="U290" s="24">
        <v>36.169400000000003</v>
      </c>
      <c r="V290" s="24">
        <f t="shared" si="31"/>
        <v>36.169400000000003</v>
      </c>
      <c r="W290" s="24" t="s">
        <v>527</v>
      </c>
      <c r="X290" s="23">
        <v>3.5</v>
      </c>
      <c r="Y290" s="23">
        <v>1.2915000000000001</v>
      </c>
      <c r="Z290" s="23"/>
      <c r="AA290" s="24" t="s">
        <v>527</v>
      </c>
      <c r="AB290" s="24" t="str">
        <f t="shared" si="32"/>
        <v>Normal</v>
      </c>
      <c r="AC290" s="23">
        <v>301682</v>
      </c>
      <c r="AD290" s="23">
        <v>30.168199999999999</v>
      </c>
      <c r="AE290" s="23" t="str">
        <f t="shared" si="33"/>
        <v/>
      </c>
      <c r="AF290" s="23"/>
      <c r="AG290" s="23" t="str">
        <f t="shared" si="34"/>
        <v/>
      </c>
      <c r="AH290" s="24" t="s">
        <v>527</v>
      </c>
      <c r="AI290" s="23">
        <v>3.5</v>
      </c>
      <c r="AJ290" s="23">
        <v>0.94210000000000005</v>
      </c>
      <c r="AK290" s="23"/>
      <c r="AL290" s="24" t="s">
        <v>526</v>
      </c>
      <c r="AM290" s="24"/>
      <c r="AN290" s="24"/>
      <c r="AO290" s="24" t="str">
        <f>IF(ISBLANK(AM290),"",IF(AM290=92,IF(T290="Censure haute",120,""),IF(AB290="Censure haute",120,"")))</f>
        <v/>
      </c>
    </row>
    <row r="291" spans="1:41" x14ac:dyDescent="0.3">
      <c r="A291" s="24" t="s">
        <v>383</v>
      </c>
      <c r="B291" s="24" t="s">
        <v>516</v>
      </c>
      <c r="C291" s="25" t="s">
        <v>519</v>
      </c>
      <c r="D291" s="26">
        <v>29.7</v>
      </c>
      <c r="E291" s="24" t="s">
        <v>522</v>
      </c>
      <c r="F291" s="27" t="s">
        <v>525</v>
      </c>
      <c r="G291" s="28">
        <v>44453</v>
      </c>
      <c r="H291" s="28">
        <v>44477</v>
      </c>
      <c r="I291" s="24">
        <v>12</v>
      </c>
      <c r="J291" s="24" t="s">
        <v>33</v>
      </c>
      <c r="K291" s="24" t="s">
        <v>526</v>
      </c>
      <c r="L291" s="24" t="str">
        <f t="shared" si="28"/>
        <v>Non testé</v>
      </c>
      <c r="M291" s="23" t="s">
        <v>44</v>
      </c>
      <c r="N291" s="23" t="str">
        <f t="shared" si="29"/>
        <v/>
      </c>
      <c r="O291" s="24" t="s">
        <v>502</v>
      </c>
      <c r="P291" s="23">
        <v>3.5</v>
      </c>
      <c r="Q291" s="29">
        <v>4.4236000000000004</v>
      </c>
      <c r="R291" s="29"/>
      <c r="S291" s="24" t="s">
        <v>527</v>
      </c>
      <c r="T291" s="24" t="str">
        <f t="shared" si="30"/>
        <v>Censure haute</v>
      </c>
      <c r="U291" s="24" t="s">
        <v>35</v>
      </c>
      <c r="V291" s="24" t="str">
        <f t="shared" si="31"/>
        <v/>
      </c>
      <c r="W291" s="24" t="s">
        <v>527</v>
      </c>
      <c r="X291" s="23">
        <v>3.5</v>
      </c>
      <c r="Y291" s="23">
        <v>4.8083999999999998</v>
      </c>
      <c r="Z291" s="23"/>
      <c r="AA291" s="24" t="s">
        <v>527</v>
      </c>
      <c r="AB291" s="24" t="str">
        <f t="shared" si="32"/>
        <v>Censure haute</v>
      </c>
      <c r="AC291" s="23" t="s">
        <v>35</v>
      </c>
      <c r="AD291" s="23" t="s">
        <v>561</v>
      </c>
      <c r="AE291" s="23" t="str">
        <f t="shared" si="33"/>
        <v/>
      </c>
      <c r="AF291" s="23"/>
      <c r="AG291" s="23" t="str">
        <f t="shared" si="34"/>
        <v/>
      </c>
      <c r="AH291" s="24" t="s">
        <v>527</v>
      </c>
      <c r="AI291" s="23">
        <v>3.5</v>
      </c>
      <c r="AJ291" s="23">
        <v>2.3069000000000002</v>
      </c>
      <c r="AK291" s="23"/>
      <c r="AL291" s="24" t="s">
        <v>527</v>
      </c>
      <c r="AM291" s="24">
        <v>210</v>
      </c>
      <c r="AN291" s="24">
        <v>0</v>
      </c>
      <c r="AO291" s="24">
        <f>IF(ISBLANK(AM291),"",IF(AM291=92,IF(T291="Censure haute",120,""),IF(AB291="Censure haute",120,"")))</f>
        <v>120</v>
      </c>
    </row>
    <row r="292" spans="1:41" x14ac:dyDescent="0.3">
      <c r="A292" s="24" t="s">
        <v>384</v>
      </c>
      <c r="B292" s="24" t="s">
        <v>516</v>
      </c>
      <c r="C292" s="25"/>
      <c r="D292" s="26">
        <v>25.1</v>
      </c>
      <c r="E292" s="24" t="s">
        <v>520</v>
      </c>
      <c r="F292" s="27" t="s">
        <v>525</v>
      </c>
      <c r="G292" s="28">
        <v>44453</v>
      </c>
      <c r="H292" s="28">
        <v>44476</v>
      </c>
      <c r="I292" s="24">
        <v>12</v>
      </c>
      <c r="J292" s="24" t="s">
        <v>33</v>
      </c>
      <c r="K292" s="24" t="s">
        <v>526</v>
      </c>
      <c r="L292" s="24" t="str">
        <f t="shared" si="28"/>
        <v>Non testé</v>
      </c>
      <c r="M292" s="23" t="s">
        <v>44</v>
      </c>
      <c r="N292" s="23" t="str">
        <f t="shared" si="29"/>
        <v/>
      </c>
      <c r="O292" s="24" t="s">
        <v>502</v>
      </c>
      <c r="P292" s="23">
        <v>3.5</v>
      </c>
      <c r="Q292" s="29">
        <v>2.2886000000000002</v>
      </c>
      <c r="R292" s="29"/>
      <c r="S292" s="24" t="s">
        <v>527</v>
      </c>
      <c r="T292" s="24" t="str">
        <f t="shared" si="30"/>
        <v>Censure haute</v>
      </c>
      <c r="U292" s="24" t="s">
        <v>35</v>
      </c>
      <c r="V292" s="24" t="str">
        <f t="shared" si="31"/>
        <v/>
      </c>
      <c r="W292" s="24" t="s">
        <v>527</v>
      </c>
      <c r="X292" s="23">
        <v>3.5</v>
      </c>
      <c r="Y292" s="23">
        <v>0.87529999999999997</v>
      </c>
      <c r="Z292" s="23"/>
      <c r="AA292" s="24" t="s">
        <v>526</v>
      </c>
      <c r="AB292" s="24" t="str">
        <f t="shared" si="32"/>
        <v>Censure haute</v>
      </c>
      <c r="AC292" s="23" t="s">
        <v>35</v>
      </c>
      <c r="AD292" s="23" t="s">
        <v>561</v>
      </c>
      <c r="AE292" s="23" t="str">
        <f t="shared" si="33"/>
        <v/>
      </c>
      <c r="AF292" s="23"/>
      <c r="AG292" s="23" t="str">
        <f t="shared" si="34"/>
        <v/>
      </c>
      <c r="AH292" s="24" t="s">
        <v>527</v>
      </c>
      <c r="AI292" s="23">
        <v>3.5</v>
      </c>
      <c r="AJ292" s="23">
        <v>7.0201000000000002</v>
      </c>
      <c r="AK292" s="23"/>
      <c r="AL292" s="24" t="s">
        <v>527</v>
      </c>
      <c r="AM292" s="24">
        <v>210</v>
      </c>
      <c r="AN292" s="24">
        <v>0</v>
      </c>
      <c r="AO292" s="24">
        <f>IF(ISBLANK(AM292),"",IF(AM292=92,IF(T292="Censure haute",120,""),IF(AB292="Censure haute",120,"")))</f>
        <v>120</v>
      </c>
    </row>
    <row r="293" spans="1:41" x14ac:dyDescent="0.3">
      <c r="A293" s="24" t="s">
        <v>385</v>
      </c>
      <c r="B293" s="24" t="s">
        <v>517</v>
      </c>
      <c r="C293" s="25" t="s">
        <v>518</v>
      </c>
      <c r="D293" s="26">
        <v>20.6</v>
      </c>
      <c r="E293" s="24" t="s">
        <v>521</v>
      </c>
      <c r="F293" s="27" t="s">
        <v>525</v>
      </c>
      <c r="G293" s="28">
        <v>44453</v>
      </c>
      <c r="H293" s="28">
        <v>44476</v>
      </c>
      <c r="I293" s="24">
        <v>12</v>
      </c>
      <c r="J293" s="24" t="s">
        <v>33</v>
      </c>
      <c r="K293" s="24" t="s">
        <v>526</v>
      </c>
      <c r="L293" s="24" t="str">
        <f t="shared" si="28"/>
        <v>Non testé</v>
      </c>
      <c r="M293" s="23" t="s">
        <v>44</v>
      </c>
      <c r="N293" s="23" t="str">
        <f t="shared" si="29"/>
        <v/>
      </c>
      <c r="O293" s="24" t="s">
        <v>502</v>
      </c>
      <c r="P293" s="23">
        <v>3.5</v>
      </c>
      <c r="Q293" s="29">
        <v>1.3332999999999999</v>
      </c>
      <c r="R293" s="29"/>
      <c r="S293" s="24" t="s">
        <v>527</v>
      </c>
      <c r="T293" s="24" t="str">
        <f t="shared" si="30"/>
        <v>Echec technique</v>
      </c>
      <c r="U293" s="24" t="s">
        <v>44</v>
      </c>
      <c r="V293" s="24" t="str">
        <f t="shared" si="31"/>
        <v/>
      </c>
      <c r="W293" s="24" t="s">
        <v>502</v>
      </c>
      <c r="X293" s="23">
        <v>3.5</v>
      </c>
      <c r="Y293" s="23">
        <v>7.5246000000000004</v>
      </c>
      <c r="Z293" s="23"/>
      <c r="AA293" s="24" t="s">
        <v>527</v>
      </c>
      <c r="AB293" s="24" t="str">
        <f t="shared" si="32"/>
        <v>Censure haute</v>
      </c>
      <c r="AC293" s="23" t="s">
        <v>35</v>
      </c>
      <c r="AD293" s="23" t="s">
        <v>561</v>
      </c>
      <c r="AE293" s="23" t="str">
        <f t="shared" si="33"/>
        <v/>
      </c>
      <c r="AF293" s="23"/>
      <c r="AG293" s="23" t="str">
        <f t="shared" si="34"/>
        <v/>
      </c>
      <c r="AH293" s="24" t="s">
        <v>527</v>
      </c>
      <c r="AI293" s="23">
        <v>3.5</v>
      </c>
      <c r="AJ293" s="23">
        <v>3.6017000000000001</v>
      </c>
      <c r="AK293" s="23"/>
      <c r="AL293" s="24" t="s">
        <v>527</v>
      </c>
      <c r="AM293" s="24">
        <v>210</v>
      </c>
      <c r="AN293" s="24">
        <v>0</v>
      </c>
      <c r="AO293" s="24">
        <f>IF(ISBLANK(AM293),"",IF(AM293=92,IF(T293="Censure haute",120,""),IF(AB293="Censure haute",120,"")))</f>
        <v>120</v>
      </c>
    </row>
    <row r="294" spans="1:41" x14ac:dyDescent="0.3">
      <c r="A294" s="24" t="s">
        <v>386</v>
      </c>
      <c r="B294" s="24" t="s">
        <v>516</v>
      </c>
      <c r="C294" s="25" t="s">
        <v>518</v>
      </c>
      <c r="D294" s="26">
        <v>18.399999999999999</v>
      </c>
      <c r="E294" s="24" t="s">
        <v>521</v>
      </c>
      <c r="F294" s="27" t="s">
        <v>525</v>
      </c>
      <c r="G294" s="28">
        <v>44453</v>
      </c>
      <c r="H294" s="28">
        <v>44476</v>
      </c>
      <c r="I294" s="24">
        <v>12</v>
      </c>
      <c r="J294" s="24" t="s">
        <v>33</v>
      </c>
      <c r="K294" s="24" t="s">
        <v>526</v>
      </c>
      <c r="L294" s="24" t="str">
        <f t="shared" si="28"/>
        <v>Non testé</v>
      </c>
      <c r="M294" s="23" t="s">
        <v>44</v>
      </c>
      <c r="N294" s="23" t="str">
        <f t="shared" si="29"/>
        <v/>
      </c>
      <c r="O294" s="24" t="s">
        <v>502</v>
      </c>
      <c r="P294" s="23">
        <v>3.5</v>
      </c>
      <c r="Q294" s="29">
        <v>1.9776</v>
      </c>
      <c r="R294" s="29"/>
      <c r="S294" s="24" t="s">
        <v>527</v>
      </c>
      <c r="T294" s="24" t="str">
        <f t="shared" si="30"/>
        <v>Censure haute</v>
      </c>
      <c r="U294" s="24" t="s">
        <v>35</v>
      </c>
      <c r="V294" s="24" t="str">
        <f t="shared" si="31"/>
        <v/>
      </c>
      <c r="W294" s="24" t="s">
        <v>527</v>
      </c>
      <c r="X294" s="23">
        <v>3.5</v>
      </c>
      <c r="Y294" s="23">
        <v>4.6383999999999999</v>
      </c>
      <c r="Z294" s="23"/>
      <c r="AA294" s="24" t="s">
        <v>527</v>
      </c>
      <c r="AB294" s="24" t="str">
        <f t="shared" si="32"/>
        <v>Normal</v>
      </c>
      <c r="AC294" s="23">
        <v>57164</v>
      </c>
      <c r="AD294" s="23">
        <v>5.7164000000000001</v>
      </c>
      <c r="AE294" s="23" t="str">
        <f t="shared" si="33"/>
        <v/>
      </c>
      <c r="AF294" s="23"/>
      <c r="AG294" s="23" t="str">
        <f t="shared" si="34"/>
        <v/>
      </c>
      <c r="AH294" s="24" t="s">
        <v>527</v>
      </c>
      <c r="AI294" s="23">
        <v>3.5</v>
      </c>
      <c r="AJ294" s="23">
        <v>1.6069</v>
      </c>
      <c r="AK294" s="23"/>
      <c r="AL294" s="24" t="s">
        <v>527</v>
      </c>
      <c r="AM294" s="24"/>
      <c r="AN294" s="24"/>
      <c r="AO294" s="24" t="str">
        <f>IF(ISBLANK(AM294),"",IF(AM294=92,IF(T294="Censure haute",120,""),IF(AB294="Censure haute",120,"")))</f>
        <v/>
      </c>
    </row>
    <row r="295" spans="1:41" x14ac:dyDescent="0.3">
      <c r="A295" s="24" t="s">
        <v>387</v>
      </c>
      <c r="B295" s="24" t="s">
        <v>516</v>
      </c>
      <c r="C295" s="30"/>
      <c r="D295" s="26">
        <v>17.600000000000001</v>
      </c>
      <c r="E295" s="24" t="s">
        <v>521</v>
      </c>
      <c r="F295" s="27" t="s">
        <v>525</v>
      </c>
      <c r="G295" s="28">
        <v>44453</v>
      </c>
      <c r="H295" s="28">
        <v>44476</v>
      </c>
      <c r="I295" s="24">
        <v>12</v>
      </c>
      <c r="J295" s="24" t="s">
        <v>33</v>
      </c>
      <c r="K295" s="24" t="s">
        <v>526</v>
      </c>
      <c r="L295" s="24" t="str">
        <f t="shared" si="28"/>
        <v>Censure haute</v>
      </c>
      <c r="M295" s="23" t="s">
        <v>35</v>
      </c>
      <c r="N295" s="23" t="str">
        <f t="shared" si="29"/>
        <v/>
      </c>
      <c r="O295" s="24" t="s">
        <v>527</v>
      </c>
      <c r="P295" s="23">
        <v>3.5</v>
      </c>
      <c r="Q295" s="29">
        <v>6.7100000000000007E-2</v>
      </c>
      <c r="R295" s="29"/>
      <c r="S295" s="24" t="s">
        <v>526</v>
      </c>
      <c r="T295" s="24" t="str">
        <f t="shared" si="30"/>
        <v>Censure haute</v>
      </c>
      <c r="U295" s="24" t="s">
        <v>35</v>
      </c>
      <c r="V295" s="24" t="str">
        <f t="shared" si="31"/>
        <v/>
      </c>
      <c r="W295" s="24" t="s">
        <v>527</v>
      </c>
      <c r="X295" s="23">
        <v>3.5</v>
      </c>
      <c r="Y295" s="23">
        <v>9.7299999999999998E-2</v>
      </c>
      <c r="Z295" s="23"/>
      <c r="AA295" s="24" t="s">
        <v>526</v>
      </c>
      <c r="AB295" s="24" t="str">
        <f t="shared" si="32"/>
        <v>Censure haute</v>
      </c>
      <c r="AC295" s="23" t="s">
        <v>35</v>
      </c>
      <c r="AD295" s="23" t="s">
        <v>561</v>
      </c>
      <c r="AE295" s="23" t="str">
        <f t="shared" si="33"/>
        <v/>
      </c>
      <c r="AF295" s="23"/>
      <c r="AG295" s="23" t="str">
        <f t="shared" si="34"/>
        <v/>
      </c>
      <c r="AH295" s="24" t="s">
        <v>527</v>
      </c>
      <c r="AI295" s="23">
        <v>3.5</v>
      </c>
      <c r="AJ295" s="23">
        <v>7.3700000000000002E-2</v>
      </c>
      <c r="AK295" s="23"/>
      <c r="AL295" s="24" t="s">
        <v>526</v>
      </c>
      <c r="AM295" s="24">
        <v>210</v>
      </c>
      <c r="AN295" s="24">
        <v>0</v>
      </c>
      <c r="AO295" s="24">
        <f>IF(ISBLANK(AM295),"",IF(AM295=92,IF(T295="Censure haute",120,""),IF(AB295="Censure haute",120,"")))</f>
        <v>120</v>
      </c>
    </row>
  </sheetData>
  <dataValidations count="1">
    <dataValidation type="decimal" allowBlank="1" showInputMessage="1" showErrorMessage="1" sqref="D2:D295" xr:uid="{B912725E-252B-44E7-A1A5-3B3B9CEED46D}">
      <formula1>10</formula1>
      <formula2>45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04E3-A56D-4F85-8CB7-3630ADCCAE8A}">
  <sheetPr>
    <tabColor rgb="FFFF0000"/>
  </sheetPr>
  <dimension ref="A1:AO295"/>
  <sheetViews>
    <sheetView tabSelected="1" topLeftCell="A196" workbookViewId="0">
      <selection activeCell="AH88" sqref="AH58:AH165"/>
    </sheetView>
  </sheetViews>
  <sheetFormatPr baseColWidth="10" defaultRowHeight="14.4" x14ac:dyDescent="0.3"/>
  <cols>
    <col min="4" max="4" width="11.6640625" bestFit="1" customWidth="1"/>
    <col min="7" max="7" width="11.6640625" style="20" bestFit="1" customWidth="1"/>
    <col min="8" max="9" width="11.6640625" bestFit="1" customWidth="1"/>
    <col min="13" max="14" width="11.6640625" bestFit="1" customWidth="1"/>
    <col min="16" max="18" width="11.6640625" bestFit="1" customWidth="1"/>
    <col min="21" max="22" width="11.6640625" bestFit="1" customWidth="1"/>
    <col min="24" max="26" width="11.6640625" bestFit="1" customWidth="1"/>
    <col min="29" max="30" width="12.5546875" bestFit="1" customWidth="1"/>
    <col min="35" max="37" width="11.6640625" bestFit="1" customWidth="1"/>
    <col min="39" max="40" width="11.6640625" bestFit="1" customWidth="1"/>
  </cols>
  <sheetData>
    <row r="1" spans="1:41" s="19" customFormat="1" x14ac:dyDescent="0.3">
      <c r="A1" s="19" t="s">
        <v>576</v>
      </c>
      <c r="B1" s="32" t="s">
        <v>577</v>
      </c>
      <c r="C1" s="19" t="s">
        <v>578</v>
      </c>
      <c r="D1" s="19" t="s">
        <v>579</v>
      </c>
      <c r="E1" s="19" t="s">
        <v>580</v>
      </c>
      <c r="F1" s="19" t="s">
        <v>581</v>
      </c>
      <c r="G1" s="33" t="s">
        <v>463</v>
      </c>
      <c r="H1" s="33" t="s">
        <v>464</v>
      </c>
      <c r="I1" s="32" t="s">
        <v>8</v>
      </c>
      <c r="J1" s="19" t="s">
        <v>582</v>
      </c>
      <c r="K1" s="19" t="s">
        <v>583</v>
      </c>
      <c r="L1" s="19" t="s">
        <v>584</v>
      </c>
      <c r="M1" s="19" t="s">
        <v>585</v>
      </c>
      <c r="N1" s="19" t="s">
        <v>586</v>
      </c>
      <c r="O1" s="19" t="s">
        <v>587</v>
      </c>
      <c r="P1" s="19" t="s">
        <v>588</v>
      </c>
      <c r="Q1" s="19" t="s">
        <v>589</v>
      </c>
      <c r="R1" s="19" t="s">
        <v>590</v>
      </c>
      <c r="S1" s="19" t="s">
        <v>591</v>
      </c>
      <c r="T1" s="19" t="s">
        <v>592</v>
      </c>
      <c r="U1" s="19" t="s">
        <v>593</v>
      </c>
      <c r="V1" s="19" t="s">
        <v>594</v>
      </c>
      <c r="W1" s="19" t="s">
        <v>595</v>
      </c>
      <c r="X1" s="19" t="s">
        <v>596</v>
      </c>
      <c r="Y1" s="19" t="s">
        <v>597</v>
      </c>
      <c r="Z1" s="19" t="s">
        <v>598</v>
      </c>
      <c r="AA1" s="19" t="s">
        <v>599</v>
      </c>
      <c r="AB1" s="19" t="s">
        <v>600</v>
      </c>
      <c r="AC1" s="19" t="s">
        <v>601</v>
      </c>
      <c r="AD1" s="19" t="s">
        <v>602</v>
      </c>
      <c r="AE1" s="19" t="s">
        <v>603</v>
      </c>
      <c r="AF1" s="19" t="s">
        <v>604</v>
      </c>
      <c r="AG1" s="19" t="s">
        <v>605</v>
      </c>
      <c r="AH1" s="19" t="s">
        <v>606</v>
      </c>
      <c r="AI1" s="19" t="s">
        <v>607</v>
      </c>
      <c r="AJ1" s="19" t="s">
        <v>608</v>
      </c>
      <c r="AK1" s="19" t="s">
        <v>609</v>
      </c>
      <c r="AL1" s="19" t="s">
        <v>610</v>
      </c>
      <c r="AM1" s="19" t="s">
        <v>611</v>
      </c>
      <c r="AN1" s="19" t="s">
        <v>612</v>
      </c>
      <c r="AO1" s="19" t="s">
        <v>613</v>
      </c>
    </row>
    <row r="2" spans="1:41" x14ac:dyDescent="0.3">
      <c r="A2" s="24" t="s">
        <v>29</v>
      </c>
      <c r="B2" s="24" t="s">
        <v>436</v>
      </c>
      <c r="C2" s="25"/>
      <c r="D2" s="26">
        <v>22.8</v>
      </c>
      <c r="E2" s="34" t="s">
        <v>31</v>
      </c>
      <c r="F2" s="27" t="s">
        <v>617</v>
      </c>
      <c r="G2" s="28"/>
      <c r="H2" s="28"/>
      <c r="I2" s="24">
        <v>12</v>
      </c>
      <c r="J2" s="24" t="s">
        <v>33</v>
      </c>
      <c r="K2" s="24" t="s">
        <v>618</v>
      </c>
      <c r="L2" s="24" t="str">
        <f>IF(LEFT(M2,1)="&gt;","Upper censored",IF(M2="*****","Not tested","Normal"))</f>
        <v>Normal</v>
      </c>
      <c r="M2" s="23">
        <v>0.16789999999999999</v>
      </c>
      <c r="N2" s="23">
        <f>IFERROR(VALUE(M2),"")</f>
        <v>0.16789999999999999</v>
      </c>
      <c r="O2" s="24" t="s">
        <v>618</v>
      </c>
      <c r="P2" s="23">
        <v>3.1E-2</v>
      </c>
      <c r="Q2" s="29">
        <v>0.70989999999999998</v>
      </c>
      <c r="R2" s="29"/>
      <c r="S2" s="24" t="s">
        <v>618</v>
      </c>
      <c r="T2" s="24" t="str">
        <f>IF(LEFT(U2,1)="&gt;","Upper censored",IF(U2="*****","Technical failure","Normal"))</f>
        <v>Upper censored</v>
      </c>
      <c r="U2" s="24" t="s">
        <v>35</v>
      </c>
      <c r="V2" s="24" t="str">
        <f>IFERROR(VALUE(U2),"")</f>
        <v/>
      </c>
      <c r="W2" s="24" t="s">
        <v>619</v>
      </c>
      <c r="X2" s="23">
        <v>0.95799999999999996</v>
      </c>
      <c r="Y2" s="23">
        <v>6.4745999999999997</v>
      </c>
      <c r="Z2" s="23"/>
      <c r="AA2" s="24" t="s">
        <v>619</v>
      </c>
      <c r="AB2" s="24" t="str">
        <f>IF(LEFT(AC2,1)="&gt;","Upper censored",IF(AC2="*****","Not tested","Normal"))</f>
        <v>Upper censored</v>
      </c>
      <c r="AC2" s="23" t="s">
        <v>35</v>
      </c>
      <c r="AD2" s="23" t="s">
        <v>561</v>
      </c>
      <c r="AE2" s="23"/>
      <c r="AF2" s="23"/>
      <c r="AG2" s="23" t="str">
        <f>IF(ISBLANK(AF2),"",IFERROR(VALUE(AF2),""))</f>
        <v/>
      </c>
      <c r="AH2" s="24" t="s">
        <v>619</v>
      </c>
      <c r="AI2" s="23">
        <v>0.58899999999999997</v>
      </c>
      <c r="AJ2" s="23">
        <v>3.3544999999999998</v>
      </c>
      <c r="AK2" s="23"/>
      <c r="AL2" s="24" t="s">
        <v>619</v>
      </c>
      <c r="AM2" s="24">
        <v>210</v>
      </c>
      <c r="AN2" s="24">
        <v>0</v>
      </c>
      <c r="AO2" s="24">
        <f>IF(ISBLANK(AM2),"",IF(AM2=92,IF(T2="Upper censored",120,""),IF(AB2="Upper censored",120,"")))</f>
        <v>120</v>
      </c>
    </row>
    <row r="3" spans="1:41" x14ac:dyDescent="0.3">
      <c r="A3" s="24" t="s">
        <v>37</v>
      </c>
      <c r="B3" s="24" t="s">
        <v>614</v>
      </c>
      <c r="C3" s="25" t="s">
        <v>616</v>
      </c>
      <c r="D3" s="26">
        <v>17</v>
      </c>
      <c r="E3" s="34" t="s">
        <v>39</v>
      </c>
      <c r="F3" s="27" t="s">
        <v>617</v>
      </c>
      <c r="G3" s="28"/>
      <c r="H3" s="28"/>
      <c r="I3" s="24">
        <v>12</v>
      </c>
      <c r="J3" s="24" t="s">
        <v>33</v>
      </c>
      <c r="K3" s="24" t="s">
        <v>618</v>
      </c>
      <c r="L3" s="24" t="str">
        <f t="shared" ref="L3:L66" si="0">IF(LEFT(M3,1)="&gt;","Upper censored",IF(M3="*****","Not tested","Normal"))</f>
        <v>Normal</v>
      </c>
      <c r="M3" s="23">
        <v>0.37469999999999998</v>
      </c>
      <c r="N3" s="23">
        <f t="shared" ref="N3:N66" si="1">IFERROR(VALUE(M3),"")</f>
        <v>0.37469999999999998</v>
      </c>
      <c r="O3" s="24" t="s">
        <v>618</v>
      </c>
      <c r="P3" s="23">
        <v>3.5000000000000003E-2</v>
      </c>
      <c r="Q3" s="29">
        <v>1.6594</v>
      </c>
      <c r="R3" s="29"/>
      <c r="S3" s="24" t="s">
        <v>619</v>
      </c>
      <c r="T3" s="24" t="str">
        <f t="shared" ref="T3:T66" si="2">IF(LEFT(U3,1)="&gt;","Upper censored",IF(U3="*****","Technical failure","Normal"))</f>
        <v>Upper censored</v>
      </c>
      <c r="U3" s="24" t="s">
        <v>35</v>
      </c>
      <c r="V3" s="24" t="str">
        <f t="shared" ref="V3:V66" si="3">IFERROR(VALUE(U3),"")</f>
        <v/>
      </c>
      <c r="W3" s="24" t="s">
        <v>619</v>
      </c>
      <c r="X3" s="23">
        <v>0.48199999999999998</v>
      </c>
      <c r="Y3" s="23">
        <v>6.2601000000000004</v>
      </c>
      <c r="Z3" s="23"/>
      <c r="AA3" s="24" t="s">
        <v>619</v>
      </c>
      <c r="AB3" s="24" t="str">
        <f t="shared" ref="AB3:AB66" si="4">IF(LEFT(AC3,1)="&gt;","Upper censored",IF(AC3="*****","Not tested","Normal"))</f>
        <v>Upper censored</v>
      </c>
      <c r="AC3" s="23" t="s">
        <v>35</v>
      </c>
      <c r="AD3" s="23" t="s">
        <v>561</v>
      </c>
      <c r="AE3" s="23" t="str">
        <f t="shared" ref="AE3:AE66" si="5">IF(ISBLANK(AF3),"",IF(LEFT(AF3,1)="&gt;","Upper censored",IF(AF3="*****","Not tested","Normal")))</f>
        <v/>
      </c>
      <c r="AF3" s="23"/>
      <c r="AG3" s="23" t="str">
        <f t="shared" ref="AG3:AG66" si="6">IF(ISBLANK(AF3),"",IFERROR(VALUE(AF3),""))</f>
        <v/>
      </c>
      <c r="AH3" s="24" t="s">
        <v>619</v>
      </c>
      <c r="AI3" s="23">
        <v>2.847</v>
      </c>
      <c r="AJ3" s="23">
        <v>2.3946000000000001</v>
      </c>
      <c r="AK3" s="23"/>
      <c r="AL3" s="24" t="s">
        <v>619</v>
      </c>
      <c r="AM3" s="24">
        <v>210</v>
      </c>
      <c r="AN3" s="24">
        <v>0</v>
      </c>
      <c r="AO3" s="24">
        <f t="shared" ref="AO3:AO66" si="7">IF(ISBLANK(AM3),"",IF(AM3=92,IF(T3="Upper censored",120,""),IF(AB3="Upper censored",120,"")))</f>
        <v>120</v>
      </c>
    </row>
    <row r="4" spans="1:41" x14ac:dyDescent="0.3">
      <c r="A4" s="24" t="s">
        <v>40</v>
      </c>
      <c r="B4" s="24" t="s">
        <v>436</v>
      </c>
      <c r="C4" s="25" t="s">
        <v>616</v>
      </c>
      <c r="D4" s="26">
        <v>14.4</v>
      </c>
      <c r="E4" s="34" t="s">
        <v>41</v>
      </c>
      <c r="F4" s="27" t="s">
        <v>617</v>
      </c>
      <c r="G4" s="28"/>
      <c r="H4" s="28"/>
      <c r="I4" s="24">
        <v>12</v>
      </c>
      <c r="J4" s="24" t="s">
        <v>33</v>
      </c>
      <c r="K4" s="24" t="s">
        <v>618</v>
      </c>
      <c r="L4" s="24" t="str">
        <f t="shared" si="0"/>
        <v>Normal</v>
      </c>
      <c r="M4" s="23">
        <v>0.1022</v>
      </c>
      <c r="N4" s="23">
        <f t="shared" si="1"/>
        <v>0.1022</v>
      </c>
      <c r="O4" s="24" t="s">
        <v>618</v>
      </c>
      <c r="P4" s="23">
        <v>3.6999999999999998E-2</v>
      </c>
      <c r="Q4" s="29">
        <v>0.52529999999999999</v>
      </c>
      <c r="R4" s="29"/>
      <c r="S4" s="24" t="s">
        <v>618</v>
      </c>
      <c r="T4" s="24" t="str">
        <f t="shared" si="2"/>
        <v>Upper censored</v>
      </c>
      <c r="U4" s="24" t="s">
        <v>35</v>
      </c>
      <c r="V4" s="24" t="str">
        <f t="shared" si="3"/>
        <v/>
      </c>
      <c r="W4" s="24" t="s">
        <v>619</v>
      </c>
      <c r="X4" s="23">
        <v>0.85699999999999998</v>
      </c>
      <c r="Y4" s="23">
        <v>0.2737</v>
      </c>
      <c r="Z4" s="23"/>
      <c r="AA4" s="24" t="s">
        <v>618</v>
      </c>
      <c r="AB4" s="24" t="str">
        <f t="shared" si="4"/>
        <v>Upper censored</v>
      </c>
      <c r="AC4" s="23" t="s">
        <v>35</v>
      </c>
      <c r="AD4" s="23" t="s">
        <v>561</v>
      </c>
      <c r="AE4" s="23" t="str">
        <f t="shared" si="5"/>
        <v/>
      </c>
      <c r="AF4" s="23"/>
      <c r="AG4" s="23" t="str">
        <f t="shared" si="6"/>
        <v/>
      </c>
      <c r="AH4" s="24" t="s">
        <v>619</v>
      </c>
      <c r="AI4" s="23">
        <v>0.499</v>
      </c>
      <c r="AJ4" s="23">
        <v>0.1885</v>
      </c>
      <c r="AK4" s="23"/>
      <c r="AL4" s="24" t="s">
        <v>618</v>
      </c>
      <c r="AM4" s="24">
        <v>210</v>
      </c>
      <c r="AN4" s="24">
        <v>0</v>
      </c>
      <c r="AO4" s="24">
        <f t="shared" si="7"/>
        <v>120</v>
      </c>
    </row>
    <row r="5" spans="1:41" x14ac:dyDescent="0.3">
      <c r="A5" s="24" t="s">
        <v>42</v>
      </c>
      <c r="B5" s="24" t="s">
        <v>614</v>
      </c>
      <c r="C5" s="30"/>
      <c r="D5" s="26">
        <v>21.4</v>
      </c>
      <c r="E5" s="34" t="s">
        <v>39</v>
      </c>
      <c r="F5" s="27" t="s">
        <v>617</v>
      </c>
      <c r="G5" s="28"/>
      <c r="H5" s="28"/>
      <c r="I5" s="24">
        <v>15</v>
      </c>
      <c r="J5" s="24" t="s">
        <v>43</v>
      </c>
      <c r="K5" s="24" t="s">
        <v>618</v>
      </c>
      <c r="L5" s="24" t="str">
        <f t="shared" si="0"/>
        <v>Normal</v>
      </c>
      <c r="M5" s="23">
        <v>0.28610000000000002</v>
      </c>
      <c r="N5" s="23">
        <f t="shared" si="1"/>
        <v>0.28610000000000002</v>
      </c>
      <c r="O5" s="24" t="s">
        <v>618</v>
      </c>
      <c r="P5" s="23">
        <v>3.7999999999999999E-2</v>
      </c>
      <c r="Q5" s="29">
        <v>0.29799999999999999</v>
      </c>
      <c r="R5" s="29"/>
      <c r="S5" s="24" t="s">
        <v>618</v>
      </c>
      <c r="T5" s="24" t="str">
        <f t="shared" si="2"/>
        <v>Technical failure</v>
      </c>
      <c r="U5" s="24" t="s">
        <v>44</v>
      </c>
      <c r="V5" s="24" t="str">
        <f t="shared" si="3"/>
        <v/>
      </c>
      <c r="W5" s="24" t="s">
        <v>620</v>
      </c>
      <c r="X5" s="23">
        <v>0.73699999999999999</v>
      </c>
      <c r="Y5" s="23">
        <v>2.0179</v>
      </c>
      <c r="Z5" s="23"/>
      <c r="AA5" s="24" t="s">
        <v>619</v>
      </c>
      <c r="AB5" s="24" t="str">
        <f t="shared" si="4"/>
        <v>Upper censored</v>
      </c>
      <c r="AC5" s="23" t="s">
        <v>35</v>
      </c>
      <c r="AD5" s="23" t="s">
        <v>561</v>
      </c>
      <c r="AE5" s="23" t="str">
        <f t="shared" si="5"/>
        <v/>
      </c>
      <c r="AF5" s="23"/>
      <c r="AG5" s="23" t="str">
        <f t="shared" si="6"/>
        <v/>
      </c>
      <c r="AH5" s="24" t="s">
        <v>619</v>
      </c>
      <c r="AI5" s="23">
        <v>0.43</v>
      </c>
      <c r="AJ5" s="23">
        <v>0.64880000000000004</v>
      </c>
      <c r="AK5" s="23"/>
      <c r="AL5" s="24" t="s">
        <v>618</v>
      </c>
      <c r="AM5" s="24">
        <v>210</v>
      </c>
      <c r="AN5" s="24">
        <v>0</v>
      </c>
      <c r="AO5" s="24">
        <f t="shared" si="7"/>
        <v>120</v>
      </c>
    </row>
    <row r="6" spans="1:41" x14ac:dyDescent="0.3">
      <c r="A6" s="24" t="s">
        <v>46</v>
      </c>
      <c r="B6" s="24" t="s">
        <v>614</v>
      </c>
      <c r="C6" s="25"/>
      <c r="D6" s="26">
        <v>33.200000000000003</v>
      </c>
      <c r="E6" s="34" t="s">
        <v>47</v>
      </c>
      <c r="F6" s="27" t="s">
        <v>617</v>
      </c>
      <c r="G6" s="28"/>
      <c r="H6" s="28"/>
      <c r="I6" s="24">
        <v>15</v>
      </c>
      <c r="J6" s="24" t="s">
        <v>43</v>
      </c>
      <c r="K6" s="24" t="s">
        <v>618</v>
      </c>
      <c r="L6" s="24" t="str">
        <f t="shared" si="0"/>
        <v>Normal</v>
      </c>
      <c r="M6" s="23">
        <v>0.33169999999999999</v>
      </c>
      <c r="N6" s="23">
        <f t="shared" si="1"/>
        <v>0.33169999999999999</v>
      </c>
      <c r="O6" s="24" t="s">
        <v>618</v>
      </c>
      <c r="P6" s="23">
        <v>3.7999999999999999E-2</v>
      </c>
      <c r="Q6" s="29">
        <v>0.52800000000000002</v>
      </c>
      <c r="R6" s="29"/>
      <c r="S6" s="24" t="s">
        <v>618</v>
      </c>
      <c r="T6" s="24" t="str">
        <f t="shared" si="2"/>
        <v>Upper censored</v>
      </c>
      <c r="U6" s="24" t="s">
        <v>35</v>
      </c>
      <c r="V6" s="24" t="str">
        <f t="shared" si="3"/>
        <v/>
      </c>
      <c r="W6" s="24" t="s">
        <v>619</v>
      </c>
      <c r="X6" s="23">
        <v>3.3919999999999999</v>
      </c>
      <c r="Y6" s="23">
        <v>0.31790000000000002</v>
      </c>
      <c r="Z6" s="23"/>
      <c r="AA6" s="24" t="s">
        <v>618</v>
      </c>
      <c r="AB6" s="24" t="str">
        <f t="shared" si="4"/>
        <v>Upper censored</v>
      </c>
      <c r="AC6" s="23" t="s">
        <v>35</v>
      </c>
      <c r="AD6" s="23" t="s">
        <v>561</v>
      </c>
      <c r="AE6" s="23" t="str">
        <f t="shared" si="5"/>
        <v/>
      </c>
      <c r="AF6" s="23"/>
      <c r="AG6" s="23" t="str">
        <f t="shared" si="6"/>
        <v/>
      </c>
      <c r="AH6" s="24" t="s">
        <v>619</v>
      </c>
      <c r="AI6" s="23">
        <v>3.2</v>
      </c>
      <c r="AJ6" s="23">
        <v>0.1482</v>
      </c>
      <c r="AK6" s="23"/>
      <c r="AL6" s="24" t="s">
        <v>618</v>
      </c>
      <c r="AM6" s="24">
        <v>210</v>
      </c>
      <c r="AN6" s="24">
        <v>0</v>
      </c>
      <c r="AO6" s="24">
        <f t="shared" si="7"/>
        <v>120</v>
      </c>
    </row>
    <row r="7" spans="1:41" x14ac:dyDescent="0.3">
      <c r="A7" s="24" t="s">
        <v>48</v>
      </c>
      <c r="B7" s="24" t="s">
        <v>436</v>
      </c>
      <c r="C7" s="30" t="s">
        <v>615</v>
      </c>
      <c r="D7" s="26">
        <v>25.5</v>
      </c>
      <c r="E7" s="34" t="s">
        <v>31</v>
      </c>
      <c r="F7" s="27" t="s">
        <v>617</v>
      </c>
      <c r="G7" s="28"/>
      <c r="H7" s="28"/>
      <c r="I7" s="24">
        <v>14</v>
      </c>
      <c r="J7" s="24" t="s">
        <v>43</v>
      </c>
      <c r="K7" s="24" t="s">
        <v>618</v>
      </c>
      <c r="L7" s="24" t="str">
        <f t="shared" si="0"/>
        <v>Normal</v>
      </c>
      <c r="M7" s="23">
        <v>0.2117</v>
      </c>
      <c r="N7" s="23">
        <f t="shared" si="1"/>
        <v>0.2117</v>
      </c>
      <c r="O7" s="24" t="s">
        <v>618</v>
      </c>
      <c r="P7" s="23">
        <v>0.04</v>
      </c>
      <c r="Q7" s="29">
        <v>0.18679999999999999</v>
      </c>
      <c r="R7" s="29"/>
      <c r="S7" s="24" t="s">
        <v>618</v>
      </c>
      <c r="T7" s="24" t="str">
        <f t="shared" si="2"/>
        <v>Normal</v>
      </c>
      <c r="U7" s="24">
        <v>0.26490000000000002</v>
      </c>
      <c r="V7" s="24">
        <f t="shared" si="3"/>
        <v>0.26490000000000002</v>
      </c>
      <c r="W7" s="24" t="s">
        <v>618</v>
      </c>
      <c r="X7" s="23">
        <v>0.05</v>
      </c>
      <c r="Y7" s="23">
        <v>8.3000000000000004E-2</v>
      </c>
      <c r="Z7" s="23"/>
      <c r="AA7" s="24" t="s">
        <v>618</v>
      </c>
      <c r="AB7" s="24" t="str">
        <f t="shared" si="4"/>
        <v>Normal</v>
      </c>
      <c r="AC7" s="23">
        <v>4.2599999999999999E-2</v>
      </c>
      <c r="AD7" s="23">
        <v>4.2599999999999999E-2</v>
      </c>
      <c r="AE7" s="23" t="str">
        <f t="shared" si="5"/>
        <v/>
      </c>
      <c r="AF7" s="23"/>
      <c r="AG7" s="23" t="str">
        <f t="shared" si="6"/>
        <v/>
      </c>
      <c r="AH7" s="24" t="s">
        <v>618</v>
      </c>
      <c r="AI7" s="23">
        <v>3.1E-2</v>
      </c>
      <c r="AJ7" s="23">
        <v>0.14960000000000001</v>
      </c>
      <c r="AK7" s="23"/>
      <c r="AL7" s="24" t="s">
        <v>618</v>
      </c>
      <c r="AM7" s="24"/>
      <c r="AN7" s="24"/>
      <c r="AO7" s="24" t="str">
        <f t="shared" si="7"/>
        <v/>
      </c>
    </row>
    <row r="8" spans="1:41" x14ac:dyDescent="0.3">
      <c r="A8" s="24" t="s">
        <v>50</v>
      </c>
      <c r="B8" s="24" t="s">
        <v>436</v>
      </c>
      <c r="C8" s="25" t="s">
        <v>616</v>
      </c>
      <c r="D8" s="26">
        <v>17.600000000000001</v>
      </c>
      <c r="E8" s="34" t="s">
        <v>39</v>
      </c>
      <c r="F8" s="27" t="s">
        <v>617</v>
      </c>
      <c r="G8" s="28"/>
      <c r="H8" s="28"/>
      <c r="I8" s="24">
        <v>12</v>
      </c>
      <c r="J8" s="24" t="s">
        <v>33</v>
      </c>
      <c r="K8" s="24" t="s">
        <v>618</v>
      </c>
      <c r="L8" s="24" t="str">
        <f t="shared" si="0"/>
        <v>Normal</v>
      </c>
      <c r="M8" s="23">
        <v>0.1797</v>
      </c>
      <c r="N8" s="23">
        <f t="shared" si="1"/>
        <v>0.1797</v>
      </c>
      <c r="O8" s="24" t="s">
        <v>618</v>
      </c>
      <c r="P8" s="23">
        <v>4.1000000000000002E-2</v>
      </c>
      <c r="Q8" s="29">
        <v>1.2326999999999999</v>
      </c>
      <c r="R8" s="29"/>
      <c r="S8" s="24" t="s">
        <v>619</v>
      </c>
      <c r="T8" s="24" t="str">
        <f t="shared" si="2"/>
        <v>Upper censored</v>
      </c>
      <c r="U8" s="24" t="s">
        <v>35</v>
      </c>
      <c r="V8" s="24" t="str">
        <f t="shared" si="3"/>
        <v/>
      </c>
      <c r="W8" s="24" t="s">
        <v>619</v>
      </c>
      <c r="X8" s="23">
        <v>1.84</v>
      </c>
      <c r="Y8" s="23">
        <v>0.59409999999999996</v>
      </c>
      <c r="Z8" s="23"/>
      <c r="AA8" s="24" t="s">
        <v>618</v>
      </c>
      <c r="AB8" s="24" t="str">
        <f t="shared" si="4"/>
        <v>Upper censored</v>
      </c>
      <c r="AC8" s="23" t="s">
        <v>35</v>
      </c>
      <c r="AD8" s="23" t="s">
        <v>561</v>
      </c>
      <c r="AE8" s="23" t="str">
        <f t="shared" si="5"/>
        <v/>
      </c>
      <c r="AF8" s="23"/>
      <c r="AG8" s="23" t="str">
        <f t="shared" si="6"/>
        <v/>
      </c>
      <c r="AH8" s="24" t="s">
        <v>619</v>
      </c>
      <c r="AI8" s="23">
        <v>1.6910000000000001</v>
      </c>
      <c r="AJ8" s="23">
        <v>6.0625</v>
      </c>
      <c r="AK8" s="23"/>
      <c r="AL8" s="24" t="s">
        <v>619</v>
      </c>
      <c r="AM8" s="24">
        <v>210</v>
      </c>
      <c r="AN8" s="24">
        <v>0</v>
      </c>
      <c r="AO8" s="24">
        <f t="shared" si="7"/>
        <v>120</v>
      </c>
    </row>
    <row r="9" spans="1:41" x14ac:dyDescent="0.3">
      <c r="A9" s="24" t="s">
        <v>51</v>
      </c>
      <c r="B9" s="24" t="s">
        <v>614</v>
      </c>
      <c r="C9" s="25"/>
      <c r="D9" s="26">
        <v>22.1</v>
      </c>
      <c r="E9" s="34" t="s">
        <v>31</v>
      </c>
      <c r="F9" s="27" t="s">
        <v>617</v>
      </c>
      <c r="G9" s="28"/>
      <c r="H9" s="28"/>
      <c r="I9" s="24">
        <v>12</v>
      </c>
      <c r="J9" s="24" t="s">
        <v>33</v>
      </c>
      <c r="K9" s="24" t="s">
        <v>618</v>
      </c>
      <c r="L9" s="24" t="str">
        <f t="shared" si="0"/>
        <v>Normal</v>
      </c>
      <c r="M9" s="23">
        <v>0.27089999999999997</v>
      </c>
      <c r="N9" s="23">
        <f t="shared" si="1"/>
        <v>0.27089999999999997</v>
      </c>
      <c r="O9" s="24" t="s">
        <v>618</v>
      </c>
      <c r="P9" s="23">
        <v>4.4999999999999998E-2</v>
      </c>
      <c r="Q9" s="29">
        <v>1.1834</v>
      </c>
      <c r="R9" s="29"/>
      <c r="S9" s="24" t="s">
        <v>619</v>
      </c>
      <c r="T9" s="24" t="str">
        <f t="shared" si="2"/>
        <v>Upper censored</v>
      </c>
      <c r="U9" s="24" t="s">
        <v>35</v>
      </c>
      <c r="V9" s="24" t="str">
        <f t="shared" si="3"/>
        <v/>
      </c>
      <c r="W9" s="24" t="s">
        <v>619</v>
      </c>
      <c r="X9" s="23">
        <v>0.32100000000000001</v>
      </c>
      <c r="Y9" s="23">
        <v>6.1807999999999996</v>
      </c>
      <c r="Z9" s="23"/>
      <c r="AA9" s="24" t="s">
        <v>619</v>
      </c>
      <c r="AB9" s="24" t="str">
        <f t="shared" si="4"/>
        <v>Not tested</v>
      </c>
      <c r="AC9" s="23" t="s">
        <v>44</v>
      </c>
      <c r="AD9" s="23" t="s">
        <v>561</v>
      </c>
      <c r="AE9" s="23" t="str">
        <f t="shared" si="5"/>
        <v/>
      </c>
      <c r="AF9" s="23"/>
      <c r="AG9" s="23" t="str">
        <f t="shared" si="6"/>
        <v/>
      </c>
      <c r="AH9" s="24" t="s">
        <v>620</v>
      </c>
      <c r="AI9" s="23">
        <v>2.0680000000000001</v>
      </c>
      <c r="AJ9" s="23">
        <v>1.9137999999999999</v>
      </c>
      <c r="AK9" s="23">
        <v>1.8862000000000001</v>
      </c>
      <c r="AL9" s="24" t="s">
        <v>619</v>
      </c>
      <c r="AM9" s="24">
        <v>210</v>
      </c>
      <c r="AN9" s="24">
        <v>0</v>
      </c>
      <c r="AO9" s="24" t="str">
        <f t="shared" si="7"/>
        <v/>
      </c>
    </row>
    <row r="10" spans="1:41" x14ac:dyDescent="0.3">
      <c r="A10" s="24" t="s">
        <v>53</v>
      </c>
      <c r="B10" s="24" t="s">
        <v>614</v>
      </c>
      <c r="C10" s="30" t="s">
        <v>615</v>
      </c>
      <c r="D10" s="26">
        <v>26.3</v>
      </c>
      <c r="E10" s="34" t="s">
        <v>31</v>
      </c>
      <c r="F10" s="27" t="s">
        <v>54</v>
      </c>
      <c r="G10" s="28">
        <v>44453</v>
      </c>
      <c r="H10" s="28">
        <v>44476</v>
      </c>
      <c r="I10" s="24">
        <v>15</v>
      </c>
      <c r="J10" s="24" t="s">
        <v>43</v>
      </c>
      <c r="K10" s="24" t="s">
        <v>619</v>
      </c>
      <c r="L10" s="24" t="str">
        <f t="shared" si="0"/>
        <v>Normal</v>
      </c>
      <c r="M10" s="23">
        <v>4.4375</v>
      </c>
      <c r="N10" s="23">
        <f t="shared" si="1"/>
        <v>4.4375</v>
      </c>
      <c r="O10" s="24" t="s">
        <v>618</v>
      </c>
      <c r="P10" s="23">
        <v>4.4999999999999998E-2</v>
      </c>
      <c r="Q10" s="23">
        <v>1.1458999999999999</v>
      </c>
      <c r="R10" s="23"/>
      <c r="S10" s="23" t="s">
        <v>618</v>
      </c>
      <c r="T10" s="24" t="str">
        <f t="shared" si="2"/>
        <v>Upper censored</v>
      </c>
      <c r="U10" s="24" t="s">
        <v>35</v>
      </c>
      <c r="V10" s="24" t="str">
        <f t="shared" si="3"/>
        <v/>
      </c>
      <c r="W10" s="24" t="s">
        <v>619</v>
      </c>
      <c r="X10" s="23">
        <v>3.3290000000000002</v>
      </c>
      <c r="Y10" s="23">
        <v>4.2488999999999999</v>
      </c>
      <c r="Z10" s="23"/>
      <c r="AA10" s="24" t="s">
        <v>619</v>
      </c>
      <c r="AB10" s="24" t="str">
        <f t="shared" si="4"/>
        <v>Not tested</v>
      </c>
      <c r="AC10" s="23" t="s">
        <v>44</v>
      </c>
      <c r="AD10" s="23" t="s">
        <v>561</v>
      </c>
      <c r="AE10" s="23" t="str">
        <f t="shared" si="5"/>
        <v/>
      </c>
      <c r="AF10" s="23"/>
      <c r="AG10" s="23" t="str">
        <f t="shared" si="6"/>
        <v/>
      </c>
      <c r="AH10" s="24" t="s">
        <v>620</v>
      </c>
      <c r="AI10" s="23">
        <v>2.835</v>
      </c>
      <c r="AJ10" s="23">
        <v>1.7662</v>
      </c>
      <c r="AK10" s="23">
        <v>1.643</v>
      </c>
      <c r="AL10" s="24" t="s">
        <v>619</v>
      </c>
      <c r="AM10" s="24">
        <v>210</v>
      </c>
      <c r="AN10" s="24">
        <v>0</v>
      </c>
      <c r="AO10" s="24" t="str">
        <f t="shared" si="7"/>
        <v/>
      </c>
    </row>
    <row r="11" spans="1:41" x14ac:dyDescent="0.3">
      <c r="A11" s="24" t="s">
        <v>56</v>
      </c>
      <c r="B11" s="24" t="s">
        <v>614</v>
      </c>
      <c r="C11" s="25"/>
      <c r="D11" s="26">
        <v>21.4</v>
      </c>
      <c r="E11" s="34" t="s">
        <v>31</v>
      </c>
      <c r="F11" s="27" t="s">
        <v>617</v>
      </c>
      <c r="G11" s="28"/>
      <c r="H11" s="28"/>
      <c r="I11" s="24">
        <v>12</v>
      </c>
      <c r="J11" s="24" t="s">
        <v>33</v>
      </c>
      <c r="K11" s="24" t="s">
        <v>618</v>
      </c>
      <c r="L11" s="24" t="str">
        <f t="shared" si="0"/>
        <v>Normal</v>
      </c>
      <c r="M11" s="23">
        <v>0.29370000000000002</v>
      </c>
      <c r="N11" s="23">
        <f t="shared" si="1"/>
        <v>0.29370000000000002</v>
      </c>
      <c r="O11" s="24" t="s">
        <v>618</v>
      </c>
      <c r="P11" s="23">
        <v>4.5999999999999999E-2</v>
      </c>
      <c r="Q11" s="29">
        <v>1.9887999999999999</v>
      </c>
      <c r="R11" s="29"/>
      <c r="S11" s="24" t="s">
        <v>619</v>
      </c>
      <c r="T11" s="24" t="str">
        <f t="shared" si="2"/>
        <v>Technical failure</v>
      </c>
      <c r="U11" s="24" t="s">
        <v>44</v>
      </c>
      <c r="V11" s="24" t="str">
        <f t="shared" si="3"/>
        <v/>
      </c>
      <c r="W11" s="24" t="s">
        <v>620</v>
      </c>
      <c r="X11" s="23">
        <v>2.5590000000000002</v>
      </c>
      <c r="Y11" s="23">
        <v>7.1226000000000003</v>
      </c>
      <c r="Z11" s="23"/>
      <c r="AA11" s="24" t="s">
        <v>619</v>
      </c>
      <c r="AB11" s="24" t="str">
        <f t="shared" si="4"/>
        <v>Upper censored</v>
      </c>
      <c r="AC11" s="23" t="s">
        <v>35</v>
      </c>
      <c r="AD11" s="23" t="s">
        <v>561</v>
      </c>
      <c r="AE11" s="23" t="str">
        <f t="shared" si="5"/>
        <v/>
      </c>
      <c r="AF11" s="23"/>
      <c r="AG11" s="23" t="str">
        <f t="shared" si="6"/>
        <v/>
      </c>
      <c r="AH11" s="24" t="s">
        <v>619</v>
      </c>
      <c r="AI11" s="23">
        <v>1.1319999999999999</v>
      </c>
      <c r="AJ11" s="23">
        <v>4.0133999999999999</v>
      </c>
      <c r="AK11" s="23"/>
      <c r="AL11" s="24" t="s">
        <v>619</v>
      </c>
      <c r="AM11" s="24">
        <v>210</v>
      </c>
      <c r="AN11" s="24">
        <v>0</v>
      </c>
      <c r="AO11" s="24">
        <f t="shared" si="7"/>
        <v>120</v>
      </c>
    </row>
    <row r="12" spans="1:41" x14ac:dyDescent="0.3">
      <c r="A12" s="24" t="s">
        <v>57</v>
      </c>
      <c r="B12" s="24" t="s">
        <v>614</v>
      </c>
      <c r="C12" s="25" t="s">
        <v>616</v>
      </c>
      <c r="D12" s="26">
        <v>20.100000000000001</v>
      </c>
      <c r="E12" s="34" t="s">
        <v>39</v>
      </c>
      <c r="F12" s="27" t="s">
        <v>617</v>
      </c>
      <c r="G12" s="28"/>
      <c r="H12" s="28"/>
      <c r="I12" s="24">
        <v>15</v>
      </c>
      <c r="J12" s="24" t="s">
        <v>43</v>
      </c>
      <c r="K12" s="24" t="s">
        <v>618</v>
      </c>
      <c r="L12" s="24" t="str">
        <f t="shared" si="0"/>
        <v>Normal</v>
      </c>
      <c r="M12" s="23">
        <v>0.66500000000000004</v>
      </c>
      <c r="N12" s="23">
        <f t="shared" si="1"/>
        <v>0.66500000000000004</v>
      </c>
      <c r="O12" s="24" t="s">
        <v>618</v>
      </c>
      <c r="P12" s="23">
        <v>4.8000000000000001E-2</v>
      </c>
      <c r="Q12" s="29">
        <v>1.1387</v>
      </c>
      <c r="R12" s="29"/>
      <c r="S12" s="24" t="s">
        <v>619</v>
      </c>
      <c r="T12" s="24" t="str">
        <f t="shared" si="2"/>
        <v>Technical failure</v>
      </c>
      <c r="U12" s="24" t="s">
        <v>44</v>
      </c>
      <c r="V12" s="24" t="str">
        <f t="shared" si="3"/>
        <v/>
      </c>
      <c r="W12" s="24" t="s">
        <v>620</v>
      </c>
      <c r="X12" s="23">
        <v>3.3000000000000002E-2</v>
      </c>
      <c r="Y12" s="23">
        <v>0.90110000000000001</v>
      </c>
      <c r="Z12" s="23"/>
      <c r="AA12" s="24" t="s">
        <v>618</v>
      </c>
      <c r="AB12" s="24" t="str">
        <f t="shared" si="4"/>
        <v>Upper censored</v>
      </c>
      <c r="AC12" s="23" t="s">
        <v>35</v>
      </c>
      <c r="AD12" s="23" t="s">
        <v>561</v>
      </c>
      <c r="AE12" s="23" t="str">
        <f t="shared" si="5"/>
        <v/>
      </c>
      <c r="AF12" s="23"/>
      <c r="AG12" s="23" t="str">
        <f t="shared" si="6"/>
        <v/>
      </c>
      <c r="AH12" s="24" t="s">
        <v>619</v>
      </c>
      <c r="AI12" s="23">
        <v>1.9450000000000001</v>
      </c>
      <c r="AJ12" s="23">
        <v>0.60329999999999995</v>
      </c>
      <c r="AK12" s="23"/>
      <c r="AL12" s="24" t="s">
        <v>618</v>
      </c>
      <c r="AM12" s="24">
        <v>210</v>
      </c>
      <c r="AN12" s="24">
        <v>0</v>
      </c>
      <c r="AO12" s="24">
        <f t="shared" si="7"/>
        <v>120</v>
      </c>
    </row>
    <row r="13" spans="1:41" x14ac:dyDescent="0.3">
      <c r="A13" s="24" t="s">
        <v>58</v>
      </c>
      <c r="B13" s="24" t="s">
        <v>614</v>
      </c>
      <c r="C13" s="30" t="s">
        <v>616</v>
      </c>
      <c r="D13" s="26">
        <v>18.600000000000001</v>
      </c>
      <c r="E13" s="34" t="s">
        <v>39</v>
      </c>
      <c r="F13" s="27" t="s">
        <v>617</v>
      </c>
      <c r="G13" s="28"/>
      <c r="H13" s="28"/>
      <c r="I13" s="24">
        <v>12</v>
      </c>
      <c r="J13" s="24" t="s">
        <v>33</v>
      </c>
      <c r="K13" s="24" t="s">
        <v>618</v>
      </c>
      <c r="L13" s="24" t="str">
        <f t="shared" si="0"/>
        <v>Normal</v>
      </c>
      <c r="M13" s="23">
        <v>0.36499999999999999</v>
      </c>
      <c r="N13" s="23">
        <f t="shared" si="1"/>
        <v>0.36499999999999999</v>
      </c>
      <c r="O13" s="24" t="s">
        <v>618</v>
      </c>
      <c r="P13" s="23">
        <v>5.1999999999999998E-2</v>
      </c>
      <c r="Q13" s="29">
        <v>8.3099999999999993E-2</v>
      </c>
      <c r="R13" s="29">
        <v>8.14E-2</v>
      </c>
      <c r="S13" s="24" t="s">
        <v>618</v>
      </c>
      <c r="T13" s="24" t="str">
        <f t="shared" si="2"/>
        <v>Upper censored</v>
      </c>
      <c r="U13" s="24" t="s">
        <v>35</v>
      </c>
      <c r="V13" s="24" t="str">
        <f t="shared" si="3"/>
        <v/>
      </c>
      <c r="W13" s="24" t="s">
        <v>619</v>
      </c>
      <c r="X13" s="23">
        <v>3.3759999999999999</v>
      </c>
      <c r="Y13" s="23">
        <v>0.1192</v>
      </c>
      <c r="Z13" s="23"/>
      <c r="AA13" s="24" t="s">
        <v>618</v>
      </c>
      <c r="AB13" s="24" t="str">
        <f t="shared" si="4"/>
        <v>Upper censored</v>
      </c>
      <c r="AC13" s="23" t="s">
        <v>35</v>
      </c>
      <c r="AD13" s="23" t="s">
        <v>561</v>
      </c>
      <c r="AE13" s="23" t="str">
        <f t="shared" si="5"/>
        <v/>
      </c>
      <c r="AF13" s="23"/>
      <c r="AG13" s="23" t="str">
        <f t="shared" si="6"/>
        <v/>
      </c>
      <c r="AH13" s="24" t="s">
        <v>619</v>
      </c>
      <c r="AI13" s="23">
        <v>2.3460000000000001</v>
      </c>
      <c r="AJ13" s="23">
        <v>2.2869000000000002</v>
      </c>
      <c r="AK13" s="23"/>
      <c r="AL13" s="24" t="s">
        <v>619</v>
      </c>
      <c r="AM13" s="24">
        <v>210</v>
      </c>
      <c r="AN13" s="24">
        <v>0</v>
      </c>
      <c r="AO13" s="24">
        <f t="shared" si="7"/>
        <v>120</v>
      </c>
    </row>
    <row r="14" spans="1:41" x14ac:dyDescent="0.3">
      <c r="A14" s="24" t="s">
        <v>60</v>
      </c>
      <c r="B14" s="24" t="s">
        <v>436</v>
      </c>
      <c r="C14" s="25" t="s">
        <v>615</v>
      </c>
      <c r="D14" s="26">
        <v>30.8</v>
      </c>
      <c r="E14" s="34" t="s">
        <v>47</v>
      </c>
      <c r="F14" s="27" t="s">
        <v>617</v>
      </c>
      <c r="G14" s="28"/>
      <c r="H14" s="28"/>
      <c r="I14" s="24">
        <v>15</v>
      </c>
      <c r="J14" s="24" t="s">
        <v>43</v>
      </c>
      <c r="K14" s="24" t="s">
        <v>618</v>
      </c>
      <c r="L14" s="24" t="str">
        <f t="shared" si="0"/>
        <v>Normal</v>
      </c>
      <c r="M14" s="23">
        <v>0.77669999999999995</v>
      </c>
      <c r="N14" s="23">
        <f t="shared" si="1"/>
        <v>0.77669999999999995</v>
      </c>
      <c r="O14" s="24" t="s">
        <v>618</v>
      </c>
      <c r="P14" s="23">
        <v>5.2999999999999999E-2</v>
      </c>
      <c r="Q14" s="29">
        <v>0.53700000000000003</v>
      </c>
      <c r="R14" s="29"/>
      <c r="S14" s="24" t="s">
        <v>618</v>
      </c>
      <c r="T14" s="24" t="str">
        <f t="shared" si="2"/>
        <v>Upper censored</v>
      </c>
      <c r="U14" s="24" t="s">
        <v>35</v>
      </c>
      <c r="V14" s="24" t="str">
        <f t="shared" si="3"/>
        <v/>
      </c>
      <c r="W14" s="24" t="s">
        <v>619</v>
      </c>
      <c r="X14" s="23">
        <v>1.131</v>
      </c>
      <c r="Y14" s="23">
        <v>7.0446</v>
      </c>
      <c r="Z14" s="23"/>
      <c r="AA14" s="24" t="s">
        <v>618</v>
      </c>
      <c r="AB14" s="24" t="str">
        <f t="shared" si="4"/>
        <v>Upper censored</v>
      </c>
      <c r="AC14" s="23" t="s">
        <v>35</v>
      </c>
      <c r="AD14" s="23" t="s">
        <v>561</v>
      </c>
      <c r="AE14" s="23" t="str">
        <f t="shared" si="5"/>
        <v/>
      </c>
      <c r="AF14" s="23"/>
      <c r="AG14" s="23" t="str">
        <f t="shared" si="6"/>
        <v/>
      </c>
      <c r="AH14" s="24" t="s">
        <v>619</v>
      </c>
      <c r="AI14" s="23">
        <v>0.73199999999999998</v>
      </c>
      <c r="AJ14" s="23">
        <v>1.6982999999999999</v>
      </c>
      <c r="AK14" s="23"/>
      <c r="AL14" s="24" t="s">
        <v>619</v>
      </c>
      <c r="AM14" s="24">
        <v>210</v>
      </c>
      <c r="AN14" s="24">
        <v>0</v>
      </c>
      <c r="AO14" s="24">
        <f t="shared" si="7"/>
        <v>120</v>
      </c>
    </row>
    <row r="15" spans="1:41" x14ac:dyDescent="0.3">
      <c r="A15" s="24" t="s">
        <v>61</v>
      </c>
      <c r="B15" s="24" t="s">
        <v>614</v>
      </c>
      <c r="C15" s="25" t="s">
        <v>616</v>
      </c>
      <c r="D15" s="26">
        <v>17.8</v>
      </c>
      <c r="E15" s="34" t="s">
        <v>39</v>
      </c>
      <c r="F15" s="27" t="s">
        <v>617</v>
      </c>
      <c r="G15" s="28"/>
      <c r="H15" s="28"/>
      <c r="I15" s="24">
        <v>12</v>
      </c>
      <c r="J15" s="24" t="s">
        <v>33</v>
      </c>
      <c r="K15" s="24" t="s">
        <v>618</v>
      </c>
      <c r="L15" s="24" t="str">
        <f t="shared" si="0"/>
        <v>Normal</v>
      </c>
      <c r="M15" s="23">
        <v>0.67549999999999999</v>
      </c>
      <c r="N15" s="23">
        <f t="shared" si="1"/>
        <v>0.67549999999999999</v>
      </c>
      <c r="O15" s="24" t="s">
        <v>618</v>
      </c>
      <c r="P15" s="23">
        <v>5.6000000000000001E-2</v>
      </c>
      <c r="Q15" s="29">
        <v>0.13320000000000001</v>
      </c>
      <c r="R15" s="29"/>
      <c r="S15" s="24" t="s">
        <v>618</v>
      </c>
      <c r="T15" s="24" t="str">
        <f t="shared" si="2"/>
        <v>Technical failure</v>
      </c>
      <c r="U15" s="24" t="s">
        <v>44</v>
      </c>
      <c r="V15" s="24" t="str">
        <f t="shared" si="3"/>
        <v/>
      </c>
      <c r="W15" s="24" t="s">
        <v>620</v>
      </c>
      <c r="X15" s="23">
        <v>0.90500000000000003</v>
      </c>
      <c r="Y15" s="23">
        <v>2.6568000000000001</v>
      </c>
      <c r="Z15" s="23"/>
      <c r="AA15" s="24" t="s">
        <v>619</v>
      </c>
      <c r="AB15" s="24" t="str">
        <f t="shared" si="4"/>
        <v>Not tested</v>
      </c>
      <c r="AC15" s="23" t="s">
        <v>44</v>
      </c>
      <c r="AD15" s="23" t="s">
        <v>561</v>
      </c>
      <c r="AE15" s="23" t="str">
        <f t="shared" si="5"/>
        <v/>
      </c>
      <c r="AF15" s="23"/>
      <c r="AG15" s="23" t="str">
        <f t="shared" si="6"/>
        <v/>
      </c>
      <c r="AH15" s="24" t="s">
        <v>620</v>
      </c>
      <c r="AI15" s="23">
        <v>3.5</v>
      </c>
      <c r="AJ15" s="23">
        <v>2.3841000000000001</v>
      </c>
      <c r="AK15" s="23"/>
      <c r="AL15" s="24" t="s">
        <v>619</v>
      </c>
      <c r="AM15" s="24">
        <v>210</v>
      </c>
      <c r="AN15" s="24">
        <v>0</v>
      </c>
      <c r="AO15" s="24" t="str">
        <f t="shared" si="7"/>
        <v/>
      </c>
    </row>
    <row r="16" spans="1:41" x14ac:dyDescent="0.3">
      <c r="A16" s="24" t="s">
        <v>62</v>
      </c>
      <c r="B16" s="24" t="s">
        <v>436</v>
      </c>
      <c r="C16" s="30" t="s">
        <v>616</v>
      </c>
      <c r="D16" s="26">
        <v>16.8</v>
      </c>
      <c r="E16" s="34" t="s">
        <v>39</v>
      </c>
      <c r="F16" s="27" t="s">
        <v>617</v>
      </c>
      <c r="G16" s="28"/>
      <c r="H16" s="28"/>
      <c r="I16" s="24">
        <v>15</v>
      </c>
      <c r="J16" s="24" t="s">
        <v>43</v>
      </c>
      <c r="K16" s="24" t="s">
        <v>618</v>
      </c>
      <c r="L16" s="24" t="str">
        <f t="shared" si="0"/>
        <v>Normal</v>
      </c>
      <c r="M16" s="23">
        <v>0.34310000000000002</v>
      </c>
      <c r="N16" s="23">
        <f t="shared" si="1"/>
        <v>0.34310000000000002</v>
      </c>
      <c r="O16" s="24" t="s">
        <v>618</v>
      </c>
      <c r="P16" s="23">
        <v>5.7000000000000002E-2</v>
      </c>
      <c r="Q16" s="29">
        <v>0.3231</v>
      </c>
      <c r="R16" s="29"/>
      <c r="S16" s="24" t="s">
        <v>618</v>
      </c>
      <c r="T16" s="24" t="str">
        <f t="shared" si="2"/>
        <v>Upper censored</v>
      </c>
      <c r="U16" s="24" t="s">
        <v>35</v>
      </c>
      <c r="V16" s="24" t="str">
        <f t="shared" si="3"/>
        <v/>
      </c>
      <c r="W16" s="24" t="s">
        <v>619</v>
      </c>
      <c r="X16" s="23">
        <v>4.1000000000000002E-2</v>
      </c>
      <c r="Y16" s="23">
        <v>5.6357999999999997</v>
      </c>
      <c r="Z16" s="23"/>
      <c r="AA16" s="24" t="s">
        <v>619</v>
      </c>
      <c r="AB16" s="24" t="str">
        <f t="shared" si="4"/>
        <v>Upper censored</v>
      </c>
      <c r="AC16" s="23" t="s">
        <v>35</v>
      </c>
      <c r="AD16" s="23" t="s">
        <v>561</v>
      </c>
      <c r="AE16" s="23" t="str">
        <f t="shared" si="5"/>
        <v/>
      </c>
      <c r="AF16" s="23"/>
      <c r="AG16" s="23" t="str">
        <f t="shared" si="6"/>
        <v/>
      </c>
      <c r="AH16" s="24" t="s">
        <v>619</v>
      </c>
      <c r="AI16" s="23">
        <v>3.5999999999999997E-2</v>
      </c>
      <c r="AJ16" s="23">
        <v>3.0552999999999999</v>
      </c>
      <c r="AK16" s="23"/>
      <c r="AL16" s="24" t="s">
        <v>619</v>
      </c>
      <c r="AM16" s="24">
        <v>210</v>
      </c>
      <c r="AN16" s="24">
        <v>0</v>
      </c>
      <c r="AO16" s="24">
        <f t="shared" si="7"/>
        <v>120</v>
      </c>
    </row>
    <row r="17" spans="1:41" x14ac:dyDescent="0.3">
      <c r="A17" s="24" t="s">
        <v>63</v>
      </c>
      <c r="B17" s="24" t="s">
        <v>436</v>
      </c>
      <c r="C17" s="25"/>
      <c r="D17" s="26">
        <v>16.600000000000001</v>
      </c>
      <c r="E17" s="34" t="s">
        <v>39</v>
      </c>
      <c r="F17" s="27" t="s">
        <v>617</v>
      </c>
      <c r="G17" s="28"/>
      <c r="H17" s="28"/>
      <c r="I17" s="24">
        <v>15</v>
      </c>
      <c r="J17" s="24" t="s">
        <v>43</v>
      </c>
      <c r="K17" s="24" t="s">
        <v>618</v>
      </c>
      <c r="L17" s="24" t="str">
        <f t="shared" si="0"/>
        <v>Normal</v>
      </c>
      <c r="M17" s="23">
        <v>1</v>
      </c>
      <c r="N17" s="23">
        <f t="shared" si="1"/>
        <v>1</v>
      </c>
      <c r="O17" s="24" t="s">
        <v>618</v>
      </c>
      <c r="P17" s="23">
        <v>6.3E-2</v>
      </c>
      <c r="Q17" s="29">
        <v>0.73599999999999999</v>
      </c>
      <c r="R17" s="29"/>
      <c r="S17" s="24" t="s">
        <v>618</v>
      </c>
      <c r="T17" s="24" t="str">
        <f t="shared" si="2"/>
        <v>Upper censored</v>
      </c>
      <c r="U17" s="24" t="s">
        <v>35</v>
      </c>
      <c r="V17" s="24" t="str">
        <f t="shared" si="3"/>
        <v/>
      </c>
      <c r="W17" s="24" t="s">
        <v>619</v>
      </c>
      <c r="X17" s="23">
        <v>0.86799999999999999</v>
      </c>
      <c r="Y17" s="23">
        <v>0.36609999999999998</v>
      </c>
      <c r="Z17" s="23"/>
      <c r="AA17" s="24" t="s">
        <v>618</v>
      </c>
      <c r="AB17" s="24" t="str">
        <f t="shared" si="4"/>
        <v>Upper censored</v>
      </c>
      <c r="AC17" s="23" t="s">
        <v>35</v>
      </c>
      <c r="AD17" s="23" t="s">
        <v>561</v>
      </c>
      <c r="AE17" s="23" t="str">
        <f t="shared" si="5"/>
        <v/>
      </c>
      <c r="AF17" s="23"/>
      <c r="AG17" s="23" t="str">
        <f t="shared" si="6"/>
        <v/>
      </c>
      <c r="AH17" s="24" t="s">
        <v>619</v>
      </c>
      <c r="AI17" s="23">
        <v>0.38900000000000001</v>
      </c>
      <c r="AJ17" s="23">
        <v>3.9965999999999999</v>
      </c>
      <c r="AK17" s="23"/>
      <c r="AL17" s="24" t="s">
        <v>619</v>
      </c>
      <c r="AM17" s="24">
        <v>210</v>
      </c>
      <c r="AN17" s="24">
        <v>0</v>
      </c>
      <c r="AO17" s="24">
        <f t="shared" si="7"/>
        <v>120</v>
      </c>
    </row>
    <row r="18" spans="1:41" x14ac:dyDescent="0.3">
      <c r="A18" s="24" t="s">
        <v>64</v>
      </c>
      <c r="B18" s="24" t="s">
        <v>436</v>
      </c>
      <c r="C18" s="30" t="s">
        <v>616</v>
      </c>
      <c r="D18" s="26">
        <v>19.3</v>
      </c>
      <c r="E18" s="34" t="s">
        <v>39</v>
      </c>
      <c r="F18" s="27" t="s">
        <v>617</v>
      </c>
      <c r="G18" s="28"/>
      <c r="H18" s="28"/>
      <c r="I18" s="24">
        <v>12</v>
      </c>
      <c r="J18" s="24" t="s">
        <v>33</v>
      </c>
      <c r="K18" s="24" t="s">
        <v>618</v>
      </c>
      <c r="L18" s="24" t="str">
        <f t="shared" si="0"/>
        <v>Normal</v>
      </c>
      <c r="M18" s="23">
        <v>0.43070000000000003</v>
      </c>
      <c r="N18" s="23">
        <f t="shared" si="1"/>
        <v>0.43070000000000003</v>
      </c>
      <c r="O18" s="24" t="s">
        <v>618</v>
      </c>
      <c r="P18" s="23">
        <v>6.4000000000000001E-2</v>
      </c>
      <c r="Q18" s="29">
        <v>0.43969999999999998</v>
      </c>
      <c r="R18" s="29">
        <v>0.4511</v>
      </c>
      <c r="S18" s="24" t="s">
        <v>618</v>
      </c>
      <c r="T18" s="24" t="str">
        <f t="shared" si="2"/>
        <v>Upper censored</v>
      </c>
      <c r="U18" s="24" t="s">
        <v>35</v>
      </c>
      <c r="V18" s="24" t="str">
        <f t="shared" si="3"/>
        <v/>
      </c>
      <c r="W18" s="24" t="s">
        <v>619</v>
      </c>
      <c r="X18" s="23">
        <v>0.128</v>
      </c>
      <c r="Y18" s="23">
        <v>0.34660000000000002</v>
      </c>
      <c r="Z18" s="23"/>
      <c r="AA18" s="24" t="s">
        <v>618</v>
      </c>
      <c r="AB18" s="24" t="str">
        <f t="shared" si="4"/>
        <v>Upper censored</v>
      </c>
      <c r="AC18" s="23" t="s">
        <v>35</v>
      </c>
      <c r="AD18" s="23" t="s">
        <v>561</v>
      </c>
      <c r="AE18" s="23" t="str">
        <f t="shared" si="5"/>
        <v/>
      </c>
      <c r="AF18" s="23"/>
      <c r="AG18" s="23" t="str">
        <f t="shared" si="6"/>
        <v/>
      </c>
      <c r="AH18" s="24" t="s">
        <v>619</v>
      </c>
      <c r="AI18" s="23">
        <v>0.14599999999999999</v>
      </c>
      <c r="AJ18" s="23">
        <v>4.1619000000000002</v>
      </c>
      <c r="AK18" s="23"/>
      <c r="AL18" s="24" t="s">
        <v>619</v>
      </c>
      <c r="AM18" s="24">
        <v>210</v>
      </c>
      <c r="AN18" s="24">
        <v>0</v>
      </c>
      <c r="AO18" s="24">
        <f t="shared" si="7"/>
        <v>120</v>
      </c>
    </row>
    <row r="19" spans="1:41" x14ac:dyDescent="0.3">
      <c r="A19" s="24" t="s">
        <v>66</v>
      </c>
      <c r="B19" s="24" t="s">
        <v>436</v>
      </c>
      <c r="C19" s="25"/>
      <c r="D19" s="26">
        <v>21.2</v>
      </c>
      <c r="E19" s="34" t="s">
        <v>39</v>
      </c>
      <c r="F19" s="27" t="s">
        <v>617</v>
      </c>
      <c r="G19" s="28"/>
      <c r="H19" s="28"/>
      <c r="I19" s="24">
        <v>12</v>
      </c>
      <c r="J19" s="24" t="s">
        <v>33</v>
      </c>
      <c r="K19" s="24" t="s">
        <v>618</v>
      </c>
      <c r="L19" s="24" t="str">
        <f t="shared" si="0"/>
        <v>Normal</v>
      </c>
      <c r="M19" s="23">
        <v>1.0447</v>
      </c>
      <c r="N19" s="23">
        <f t="shared" si="1"/>
        <v>1.0447</v>
      </c>
      <c r="O19" s="24" t="s">
        <v>618</v>
      </c>
      <c r="P19" s="23">
        <v>6.5000000000000002E-2</v>
      </c>
      <c r="Q19" s="29">
        <v>2.6629</v>
      </c>
      <c r="R19" s="29"/>
      <c r="S19" s="24" t="s">
        <v>619</v>
      </c>
      <c r="T19" s="24" t="str">
        <f t="shared" si="2"/>
        <v>Upper censored</v>
      </c>
      <c r="U19" s="24" t="s">
        <v>35</v>
      </c>
      <c r="V19" s="24" t="str">
        <f t="shared" si="3"/>
        <v/>
      </c>
      <c r="W19" s="24" t="s">
        <v>619</v>
      </c>
      <c r="X19" s="23">
        <v>0.26</v>
      </c>
      <c r="Y19" s="23">
        <v>5.6681999999999997</v>
      </c>
      <c r="Z19" s="23"/>
      <c r="AA19" s="24" t="s">
        <v>619</v>
      </c>
      <c r="AB19" s="24" t="str">
        <f t="shared" si="4"/>
        <v>Upper censored</v>
      </c>
      <c r="AC19" s="24" t="s">
        <v>35</v>
      </c>
      <c r="AD19" s="23" t="s">
        <v>561</v>
      </c>
      <c r="AE19" s="23" t="str">
        <f t="shared" si="5"/>
        <v/>
      </c>
      <c r="AF19" s="24"/>
      <c r="AG19" s="23" t="str">
        <f t="shared" si="6"/>
        <v/>
      </c>
      <c r="AH19" s="24" t="s">
        <v>619</v>
      </c>
      <c r="AI19" s="23">
        <v>0.19600000000000001</v>
      </c>
      <c r="AJ19" s="23">
        <v>3.5558000000000001</v>
      </c>
      <c r="AK19" s="23"/>
      <c r="AL19" s="24" t="s">
        <v>619</v>
      </c>
      <c r="AM19" s="24">
        <v>210</v>
      </c>
      <c r="AN19" s="24">
        <v>0</v>
      </c>
      <c r="AO19" s="24">
        <f t="shared" si="7"/>
        <v>120</v>
      </c>
    </row>
    <row r="20" spans="1:41" x14ac:dyDescent="0.3">
      <c r="A20" s="24" t="s">
        <v>67</v>
      </c>
      <c r="B20" s="24" t="s">
        <v>614</v>
      </c>
      <c r="C20" s="25"/>
      <c r="D20" s="26">
        <v>21.9</v>
      </c>
      <c r="E20" s="34" t="s">
        <v>31</v>
      </c>
      <c r="F20" s="27" t="s">
        <v>617</v>
      </c>
      <c r="G20" s="28"/>
      <c r="H20" s="28"/>
      <c r="I20" s="24">
        <v>12</v>
      </c>
      <c r="J20" s="24" t="s">
        <v>33</v>
      </c>
      <c r="K20" s="24" t="s">
        <v>618</v>
      </c>
      <c r="L20" s="24" t="str">
        <f t="shared" si="0"/>
        <v>Normal</v>
      </c>
      <c r="M20" s="23">
        <v>0.87019999999999997</v>
      </c>
      <c r="N20" s="23">
        <f t="shared" si="1"/>
        <v>0.87019999999999997</v>
      </c>
      <c r="O20" s="24" t="s">
        <v>618</v>
      </c>
      <c r="P20" s="23">
        <v>6.5000000000000002E-2</v>
      </c>
      <c r="Q20" s="29">
        <v>6.9900000000000004E-2</v>
      </c>
      <c r="R20" s="29"/>
      <c r="S20" s="24" t="s">
        <v>618</v>
      </c>
      <c r="T20" s="24" t="str">
        <f t="shared" si="2"/>
        <v>Normal</v>
      </c>
      <c r="U20" s="24">
        <v>17.030799999999999</v>
      </c>
      <c r="V20" s="24">
        <f t="shared" si="3"/>
        <v>17.030799999999999</v>
      </c>
      <c r="W20" s="24" t="s">
        <v>619</v>
      </c>
      <c r="X20" s="23">
        <v>0.60599999999999998</v>
      </c>
      <c r="Y20" s="23">
        <v>0.99580000000000002</v>
      </c>
      <c r="Z20" s="23"/>
      <c r="AA20" s="24" t="s">
        <v>618</v>
      </c>
      <c r="AB20" s="24" t="str">
        <f t="shared" si="4"/>
        <v>Not tested</v>
      </c>
      <c r="AC20" s="23" t="s">
        <v>44</v>
      </c>
      <c r="AD20" s="23" t="s">
        <v>561</v>
      </c>
      <c r="AE20" s="23" t="str">
        <f t="shared" si="5"/>
        <v/>
      </c>
      <c r="AF20" s="23"/>
      <c r="AG20" s="23" t="str">
        <f t="shared" si="6"/>
        <v/>
      </c>
      <c r="AH20" s="24" t="s">
        <v>620</v>
      </c>
      <c r="AI20" s="23">
        <v>0.50600000000000001</v>
      </c>
      <c r="AJ20" s="23">
        <v>0.52400000000000002</v>
      </c>
      <c r="AK20" s="23"/>
      <c r="AL20" s="24" t="s">
        <v>618</v>
      </c>
      <c r="AM20" s="24">
        <v>92</v>
      </c>
      <c r="AN20" s="24">
        <v>1</v>
      </c>
      <c r="AO20" s="24" t="str">
        <f t="shared" si="7"/>
        <v/>
      </c>
    </row>
    <row r="21" spans="1:41" x14ac:dyDescent="0.3">
      <c r="A21" s="24" t="s">
        <v>68</v>
      </c>
      <c r="B21" s="24" t="s">
        <v>436</v>
      </c>
      <c r="C21" s="30" t="s">
        <v>616</v>
      </c>
      <c r="D21" s="26">
        <v>25.9</v>
      </c>
      <c r="E21" s="34" t="s">
        <v>31</v>
      </c>
      <c r="F21" s="27" t="s">
        <v>617</v>
      </c>
      <c r="G21" s="28"/>
      <c r="H21" s="28"/>
      <c r="I21" s="24">
        <v>15</v>
      </c>
      <c r="J21" s="24" t="s">
        <v>43</v>
      </c>
      <c r="K21" s="24" t="s">
        <v>619</v>
      </c>
      <c r="L21" s="24" t="str">
        <f t="shared" si="0"/>
        <v>Normal</v>
      </c>
      <c r="M21" s="23">
        <v>0.51819999999999999</v>
      </c>
      <c r="N21" s="23">
        <f t="shared" si="1"/>
        <v>0.51819999999999999</v>
      </c>
      <c r="O21" s="24" t="s">
        <v>618</v>
      </c>
      <c r="P21" s="23">
        <v>6.5000000000000002E-2</v>
      </c>
      <c r="Q21" s="29">
        <v>0.25929999999999997</v>
      </c>
      <c r="R21" s="29"/>
      <c r="S21" s="24" t="s">
        <v>618</v>
      </c>
      <c r="T21" s="24" t="str">
        <f t="shared" si="2"/>
        <v>Upper censored</v>
      </c>
      <c r="U21" s="24" t="s">
        <v>35</v>
      </c>
      <c r="V21" s="24" t="str">
        <f t="shared" si="3"/>
        <v/>
      </c>
      <c r="W21" s="24" t="s">
        <v>619</v>
      </c>
      <c r="X21" s="23">
        <v>0.38400000000000001</v>
      </c>
      <c r="Y21" s="23">
        <v>0.1082</v>
      </c>
      <c r="Z21" s="23"/>
      <c r="AA21" s="24" t="s">
        <v>618</v>
      </c>
      <c r="AB21" s="24" t="str">
        <f t="shared" si="4"/>
        <v>Not tested</v>
      </c>
      <c r="AC21" s="23" t="s">
        <v>44</v>
      </c>
      <c r="AD21" s="23" t="s">
        <v>561</v>
      </c>
      <c r="AE21" s="23" t="str">
        <f t="shared" si="5"/>
        <v/>
      </c>
      <c r="AF21" s="23"/>
      <c r="AG21" s="23" t="str">
        <f t="shared" si="6"/>
        <v/>
      </c>
      <c r="AH21" s="24" t="s">
        <v>620</v>
      </c>
      <c r="AI21" s="23">
        <v>1.256</v>
      </c>
      <c r="AJ21" s="23">
        <v>3.0861000000000001</v>
      </c>
      <c r="AK21" s="23"/>
      <c r="AL21" s="24" t="s">
        <v>619</v>
      </c>
      <c r="AM21" s="24">
        <v>210</v>
      </c>
      <c r="AN21" s="24">
        <v>0</v>
      </c>
      <c r="AO21" s="24" t="str">
        <f t="shared" si="7"/>
        <v/>
      </c>
    </row>
    <row r="22" spans="1:41" x14ac:dyDescent="0.3">
      <c r="A22" s="24" t="s">
        <v>69</v>
      </c>
      <c r="B22" s="24" t="s">
        <v>436</v>
      </c>
      <c r="C22" s="30"/>
      <c r="D22" s="26">
        <v>17.100000000000001</v>
      </c>
      <c r="E22" s="34" t="s">
        <v>39</v>
      </c>
      <c r="F22" s="27" t="s">
        <v>617</v>
      </c>
      <c r="G22" s="28"/>
      <c r="H22" s="28"/>
      <c r="I22" s="24">
        <v>14</v>
      </c>
      <c r="J22" s="24" t="s">
        <v>43</v>
      </c>
      <c r="K22" s="24" t="s">
        <v>618</v>
      </c>
      <c r="L22" s="24" t="str">
        <f t="shared" si="0"/>
        <v>Normal</v>
      </c>
      <c r="M22" s="23">
        <v>0.60580000000000001</v>
      </c>
      <c r="N22" s="23">
        <f t="shared" si="1"/>
        <v>0.60580000000000001</v>
      </c>
      <c r="O22" s="24" t="s">
        <v>618</v>
      </c>
      <c r="P22" s="23">
        <v>6.7000000000000004E-2</v>
      </c>
      <c r="Q22" s="29">
        <v>0.39779999999999999</v>
      </c>
      <c r="R22" s="29"/>
      <c r="S22" s="24" t="s">
        <v>618</v>
      </c>
      <c r="T22" s="24" t="str">
        <f t="shared" si="2"/>
        <v>Upper censored</v>
      </c>
      <c r="U22" s="24" t="s">
        <v>35</v>
      </c>
      <c r="V22" s="24" t="str">
        <f t="shared" si="3"/>
        <v/>
      </c>
      <c r="W22" s="24" t="s">
        <v>619</v>
      </c>
      <c r="X22" s="23">
        <v>0.40300000000000002</v>
      </c>
      <c r="Y22" s="23">
        <v>8.6099999999999996E-2</v>
      </c>
      <c r="Z22" s="23"/>
      <c r="AA22" s="24" t="s">
        <v>618</v>
      </c>
      <c r="AB22" s="24" t="str">
        <f t="shared" si="4"/>
        <v>Not tested</v>
      </c>
      <c r="AC22" s="23" t="s">
        <v>44</v>
      </c>
      <c r="AD22" s="23" t="s">
        <v>561</v>
      </c>
      <c r="AE22" s="23" t="str">
        <f t="shared" si="5"/>
        <v/>
      </c>
      <c r="AF22" s="23"/>
      <c r="AG22" s="23" t="str">
        <f t="shared" si="6"/>
        <v/>
      </c>
      <c r="AH22" s="24" t="s">
        <v>620</v>
      </c>
      <c r="AI22" s="23">
        <v>0.47899999999999998</v>
      </c>
      <c r="AJ22" s="23">
        <v>1.9323999999999999</v>
      </c>
      <c r="AK22" s="23"/>
      <c r="AL22" s="24" t="s">
        <v>619</v>
      </c>
      <c r="AM22" s="24">
        <v>210</v>
      </c>
      <c r="AN22" s="24">
        <v>0</v>
      </c>
      <c r="AO22" s="24" t="str">
        <f t="shared" si="7"/>
        <v/>
      </c>
    </row>
    <row r="23" spans="1:41" x14ac:dyDescent="0.3">
      <c r="A23" s="24" t="s">
        <v>70</v>
      </c>
      <c r="B23" s="24" t="s">
        <v>436</v>
      </c>
      <c r="C23" s="30" t="s">
        <v>616</v>
      </c>
      <c r="D23" s="26">
        <v>34.200000000000003</v>
      </c>
      <c r="E23" s="34" t="s">
        <v>47</v>
      </c>
      <c r="F23" s="27" t="s">
        <v>617</v>
      </c>
      <c r="G23" s="28"/>
      <c r="H23" s="28"/>
      <c r="I23" s="24">
        <v>11</v>
      </c>
      <c r="J23" s="24" t="s">
        <v>33</v>
      </c>
      <c r="K23" s="24" t="s">
        <v>618</v>
      </c>
      <c r="L23" s="24" t="str">
        <f t="shared" si="0"/>
        <v>Normal</v>
      </c>
      <c r="M23" s="23">
        <v>1.0216000000000001</v>
      </c>
      <c r="N23" s="23">
        <f t="shared" si="1"/>
        <v>1.0216000000000001</v>
      </c>
      <c r="O23" s="24" t="s">
        <v>618</v>
      </c>
      <c r="P23" s="23">
        <v>7.1999999999999995E-2</v>
      </c>
      <c r="Q23" s="23">
        <v>0.1416</v>
      </c>
      <c r="R23" s="23"/>
      <c r="S23" s="23" t="s">
        <v>618</v>
      </c>
      <c r="T23" s="24" t="str">
        <f t="shared" si="2"/>
        <v>Technical failure</v>
      </c>
      <c r="U23" s="24" t="s">
        <v>44</v>
      </c>
      <c r="V23" s="24" t="str">
        <f t="shared" si="3"/>
        <v/>
      </c>
      <c r="W23" s="24" t="s">
        <v>620</v>
      </c>
      <c r="X23" s="23">
        <v>0.745</v>
      </c>
      <c r="Y23" s="23">
        <v>1.7825</v>
      </c>
      <c r="Z23" s="23"/>
      <c r="AA23" s="24" t="s">
        <v>619</v>
      </c>
      <c r="AB23" s="24" t="str">
        <f t="shared" si="4"/>
        <v>Not tested</v>
      </c>
      <c r="AC23" s="24" t="s">
        <v>44</v>
      </c>
      <c r="AD23" s="23" t="s">
        <v>561</v>
      </c>
      <c r="AE23" s="23" t="str">
        <f t="shared" si="5"/>
        <v/>
      </c>
      <c r="AF23" s="24"/>
      <c r="AG23" s="23" t="str">
        <f t="shared" si="6"/>
        <v/>
      </c>
      <c r="AH23" s="24" t="s">
        <v>620</v>
      </c>
      <c r="AI23" s="23">
        <v>2.6779999999999999</v>
      </c>
      <c r="AJ23" s="23">
        <v>6.2190000000000003</v>
      </c>
      <c r="AK23" s="23"/>
      <c r="AL23" s="24" t="s">
        <v>619</v>
      </c>
      <c r="AM23" s="24">
        <v>210</v>
      </c>
      <c r="AN23" s="24">
        <v>0</v>
      </c>
      <c r="AO23" s="24" t="str">
        <f t="shared" si="7"/>
        <v/>
      </c>
    </row>
    <row r="24" spans="1:41" x14ac:dyDescent="0.3">
      <c r="A24" s="24" t="s">
        <v>71</v>
      </c>
      <c r="B24" s="24" t="s">
        <v>436</v>
      </c>
      <c r="C24" s="25" t="s">
        <v>616</v>
      </c>
      <c r="D24" s="26">
        <v>22.3</v>
      </c>
      <c r="E24" s="34" t="s">
        <v>31</v>
      </c>
      <c r="F24" s="27" t="s">
        <v>617</v>
      </c>
      <c r="G24" s="28"/>
      <c r="H24" s="28"/>
      <c r="I24" s="24">
        <v>12</v>
      </c>
      <c r="J24" s="24" t="s">
        <v>33</v>
      </c>
      <c r="K24" s="24" t="s">
        <v>618</v>
      </c>
      <c r="L24" s="24" t="str">
        <f t="shared" si="0"/>
        <v>Normal</v>
      </c>
      <c r="M24" s="23">
        <v>0.90890000000000004</v>
      </c>
      <c r="N24" s="23">
        <f t="shared" si="1"/>
        <v>0.90890000000000004</v>
      </c>
      <c r="O24" s="24" t="s">
        <v>618</v>
      </c>
      <c r="P24" s="23">
        <v>7.2999999999999995E-2</v>
      </c>
      <c r="Q24" s="29">
        <v>1.6025</v>
      </c>
      <c r="R24" s="29"/>
      <c r="S24" s="24" t="s">
        <v>619</v>
      </c>
      <c r="T24" s="24" t="str">
        <f t="shared" si="2"/>
        <v>Upper censored</v>
      </c>
      <c r="U24" s="24" t="s">
        <v>35</v>
      </c>
      <c r="V24" s="24" t="str">
        <f t="shared" si="3"/>
        <v/>
      </c>
      <c r="W24" s="24" t="s">
        <v>619</v>
      </c>
      <c r="X24" s="23">
        <v>5.0999999999999997E-2</v>
      </c>
      <c r="Y24" s="23">
        <v>0.61380000000000001</v>
      </c>
      <c r="Z24" s="23"/>
      <c r="AA24" s="24" t="s">
        <v>618</v>
      </c>
      <c r="AB24" s="24" t="str">
        <f t="shared" si="4"/>
        <v>Upper censored</v>
      </c>
      <c r="AC24" s="23" t="s">
        <v>35</v>
      </c>
      <c r="AD24" s="23" t="s">
        <v>561</v>
      </c>
      <c r="AE24" s="23" t="str">
        <f t="shared" si="5"/>
        <v/>
      </c>
      <c r="AF24" s="23"/>
      <c r="AG24" s="23" t="str">
        <f t="shared" si="6"/>
        <v/>
      </c>
      <c r="AH24" s="24" t="s">
        <v>619</v>
      </c>
      <c r="AI24" s="23">
        <v>7.2999999999999995E-2</v>
      </c>
      <c r="AJ24" s="23">
        <v>0.25</v>
      </c>
      <c r="AK24" s="23"/>
      <c r="AL24" s="24" t="s">
        <v>618</v>
      </c>
      <c r="AM24" s="24">
        <v>210</v>
      </c>
      <c r="AN24" s="24">
        <v>0</v>
      </c>
      <c r="AO24" s="24">
        <f t="shared" si="7"/>
        <v>120</v>
      </c>
    </row>
    <row r="25" spans="1:41" x14ac:dyDescent="0.3">
      <c r="A25" s="24" t="s">
        <v>72</v>
      </c>
      <c r="B25" s="24" t="s">
        <v>614</v>
      </c>
      <c r="C25" s="25" t="s">
        <v>616</v>
      </c>
      <c r="D25" s="26">
        <v>28.6</v>
      </c>
      <c r="E25" s="34" t="s">
        <v>47</v>
      </c>
      <c r="F25" s="27" t="s">
        <v>617</v>
      </c>
      <c r="G25" s="28"/>
      <c r="H25" s="28"/>
      <c r="I25" s="24">
        <v>15</v>
      </c>
      <c r="J25" s="24" t="s">
        <v>43</v>
      </c>
      <c r="K25" s="24" t="s">
        <v>618</v>
      </c>
      <c r="L25" s="24" t="str">
        <f t="shared" si="0"/>
        <v>Normal</v>
      </c>
      <c r="M25" s="23">
        <v>1.1533</v>
      </c>
      <c r="N25" s="23">
        <f t="shared" si="1"/>
        <v>1.1533</v>
      </c>
      <c r="O25" s="24" t="s">
        <v>618</v>
      </c>
      <c r="P25" s="23">
        <v>7.3999999999999996E-2</v>
      </c>
      <c r="Q25" s="29">
        <v>0.45710000000000001</v>
      </c>
      <c r="R25" s="29"/>
      <c r="S25" s="24" t="s">
        <v>618</v>
      </c>
      <c r="T25" s="24" t="str">
        <f t="shared" si="2"/>
        <v>Technical failure</v>
      </c>
      <c r="U25" s="24" t="s">
        <v>44</v>
      </c>
      <c r="V25" s="24" t="str">
        <f t="shared" si="3"/>
        <v/>
      </c>
      <c r="W25" s="24" t="s">
        <v>620</v>
      </c>
      <c r="X25" s="23">
        <v>7.6999999999999999E-2</v>
      </c>
      <c r="Y25" s="23">
        <v>1.4790000000000001</v>
      </c>
      <c r="Z25" s="23"/>
      <c r="AA25" s="24" t="s">
        <v>619</v>
      </c>
      <c r="AB25" s="24" t="str">
        <f t="shared" si="4"/>
        <v>Not tested</v>
      </c>
      <c r="AC25" s="23" t="s">
        <v>44</v>
      </c>
      <c r="AD25" s="23" t="s">
        <v>561</v>
      </c>
      <c r="AE25" s="23" t="str">
        <f t="shared" si="5"/>
        <v/>
      </c>
      <c r="AF25" s="23"/>
      <c r="AG25" s="23" t="str">
        <f t="shared" si="6"/>
        <v/>
      </c>
      <c r="AH25" s="24" t="s">
        <v>620</v>
      </c>
      <c r="AI25" s="23">
        <v>1.246</v>
      </c>
      <c r="AJ25" s="23">
        <v>1.2029000000000001</v>
      </c>
      <c r="AK25" s="23"/>
      <c r="AL25" s="24" t="s">
        <v>619</v>
      </c>
      <c r="AM25" s="24">
        <v>210</v>
      </c>
      <c r="AN25" s="24">
        <v>0</v>
      </c>
      <c r="AO25" s="24" t="str">
        <f t="shared" si="7"/>
        <v/>
      </c>
    </row>
    <row r="26" spans="1:41" x14ac:dyDescent="0.3">
      <c r="A26" s="24" t="s">
        <v>73</v>
      </c>
      <c r="B26" s="24" t="s">
        <v>436</v>
      </c>
      <c r="C26" s="25" t="s">
        <v>616</v>
      </c>
      <c r="D26" s="26">
        <v>17.2</v>
      </c>
      <c r="E26" s="34" t="s">
        <v>39</v>
      </c>
      <c r="F26" s="27" t="s">
        <v>617</v>
      </c>
      <c r="G26" s="28"/>
      <c r="H26" s="28"/>
      <c r="I26" s="24">
        <v>12</v>
      </c>
      <c r="J26" s="24" t="s">
        <v>33</v>
      </c>
      <c r="K26" s="24" t="s">
        <v>618</v>
      </c>
      <c r="L26" s="24" t="str">
        <f t="shared" si="0"/>
        <v>Normal</v>
      </c>
      <c r="M26" s="23">
        <v>1.1533</v>
      </c>
      <c r="N26" s="23">
        <f t="shared" si="1"/>
        <v>1.1533</v>
      </c>
      <c r="O26" s="24" t="s">
        <v>618</v>
      </c>
      <c r="P26" s="23">
        <v>8.8999999999999996E-2</v>
      </c>
      <c r="Q26" s="29">
        <v>0.2923</v>
      </c>
      <c r="R26" s="29"/>
      <c r="S26" s="24" t="s">
        <v>618</v>
      </c>
      <c r="T26" s="24" t="str">
        <f t="shared" si="2"/>
        <v>Technical failure</v>
      </c>
      <c r="U26" s="24" t="s">
        <v>44</v>
      </c>
      <c r="V26" s="24" t="str">
        <f t="shared" si="3"/>
        <v/>
      </c>
      <c r="W26" s="24" t="s">
        <v>620</v>
      </c>
      <c r="X26" s="23">
        <v>0.68400000000000005</v>
      </c>
      <c r="Y26" s="23">
        <v>3.0044</v>
      </c>
      <c r="Z26" s="23"/>
      <c r="AA26" s="24" t="s">
        <v>619</v>
      </c>
      <c r="AB26" s="24" t="str">
        <f t="shared" si="4"/>
        <v>Not tested</v>
      </c>
      <c r="AC26" s="23" t="s">
        <v>44</v>
      </c>
      <c r="AD26" s="23" t="s">
        <v>561</v>
      </c>
      <c r="AE26" s="23" t="str">
        <f t="shared" si="5"/>
        <v/>
      </c>
      <c r="AF26" s="23"/>
      <c r="AG26" s="23" t="str">
        <f t="shared" si="6"/>
        <v/>
      </c>
      <c r="AH26" s="24" t="s">
        <v>620</v>
      </c>
      <c r="AI26" s="23">
        <v>0.36499999999999999</v>
      </c>
      <c r="AJ26" s="23">
        <v>1.3504</v>
      </c>
      <c r="AK26" s="23"/>
      <c r="AL26" s="24" t="s">
        <v>619</v>
      </c>
      <c r="AM26" s="24">
        <v>210</v>
      </c>
      <c r="AN26" s="24">
        <v>0</v>
      </c>
      <c r="AO26" s="24" t="str">
        <f t="shared" si="7"/>
        <v/>
      </c>
    </row>
    <row r="27" spans="1:41" x14ac:dyDescent="0.3">
      <c r="A27" s="24" t="s">
        <v>74</v>
      </c>
      <c r="B27" s="24" t="s">
        <v>436</v>
      </c>
      <c r="C27" s="30" t="s">
        <v>616</v>
      </c>
      <c r="D27" s="26">
        <v>27.2</v>
      </c>
      <c r="E27" s="34" t="s">
        <v>31</v>
      </c>
      <c r="F27" s="27" t="s">
        <v>617</v>
      </c>
      <c r="G27" s="28"/>
      <c r="H27" s="28"/>
      <c r="I27" s="24">
        <v>15</v>
      </c>
      <c r="J27" s="24" t="s">
        <v>43</v>
      </c>
      <c r="K27" s="24" t="s">
        <v>619</v>
      </c>
      <c r="L27" s="24" t="str">
        <f t="shared" si="0"/>
        <v>Normal</v>
      </c>
      <c r="M27" s="23">
        <v>1.3894</v>
      </c>
      <c r="N27" s="23">
        <f t="shared" si="1"/>
        <v>1.3894</v>
      </c>
      <c r="O27" s="24" t="s">
        <v>618</v>
      </c>
      <c r="P27" s="23">
        <v>8.8999999999999996E-2</v>
      </c>
      <c r="Q27" s="29">
        <v>5.8599999999999999E-2</v>
      </c>
      <c r="R27" s="29"/>
      <c r="S27" s="24" t="s">
        <v>618</v>
      </c>
      <c r="T27" s="24" t="str">
        <f t="shared" si="2"/>
        <v>Upper censored</v>
      </c>
      <c r="U27" s="24" t="s">
        <v>35</v>
      </c>
      <c r="V27" s="24" t="str">
        <f t="shared" si="3"/>
        <v/>
      </c>
      <c r="W27" s="24" t="s">
        <v>619</v>
      </c>
      <c r="X27" s="23">
        <v>3.5</v>
      </c>
      <c r="Y27" s="23">
        <v>5.0045000000000002</v>
      </c>
      <c r="Z27" s="23"/>
      <c r="AA27" s="24" t="s">
        <v>619</v>
      </c>
      <c r="AB27" s="24" t="str">
        <f t="shared" si="4"/>
        <v>Normal</v>
      </c>
      <c r="AC27" s="23">
        <v>600531</v>
      </c>
      <c r="AD27" s="23">
        <v>60.053100000000001</v>
      </c>
      <c r="AE27" s="23" t="str">
        <f t="shared" si="5"/>
        <v/>
      </c>
      <c r="AF27" s="23"/>
      <c r="AG27" s="23" t="str">
        <f t="shared" si="6"/>
        <v/>
      </c>
      <c r="AH27" s="24" t="s">
        <v>619</v>
      </c>
      <c r="AI27" s="23">
        <v>2.8130000000000002</v>
      </c>
      <c r="AJ27" s="23">
        <v>1.8802000000000001</v>
      </c>
      <c r="AK27" s="23"/>
      <c r="AL27" s="24" t="s">
        <v>619</v>
      </c>
      <c r="AM27" s="24"/>
      <c r="AN27" s="24"/>
      <c r="AO27" s="24" t="str">
        <f t="shared" si="7"/>
        <v/>
      </c>
    </row>
    <row r="28" spans="1:41" x14ac:dyDescent="0.3">
      <c r="A28" s="24" t="s">
        <v>75</v>
      </c>
      <c r="B28" s="24" t="s">
        <v>614</v>
      </c>
      <c r="C28" s="25"/>
      <c r="D28" s="26">
        <v>16.399999999999999</v>
      </c>
      <c r="E28" s="34" t="s">
        <v>39</v>
      </c>
      <c r="F28" s="27" t="s">
        <v>617</v>
      </c>
      <c r="G28" s="28"/>
      <c r="H28" s="28"/>
      <c r="I28" s="24">
        <v>12</v>
      </c>
      <c r="J28" s="24" t="s">
        <v>33</v>
      </c>
      <c r="K28" s="24" t="s">
        <v>619</v>
      </c>
      <c r="L28" s="24" t="str">
        <f t="shared" si="0"/>
        <v>Normal</v>
      </c>
      <c r="M28" s="23">
        <v>1.8263</v>
      </c>
      <c r="N28" s="23">
        <f t="shared" si="1"/>
        <v>1.8263</v>
      </c>
      <c r="O28" s="24" t="s">
        <v>618</v>
      </c>
      <c r="P28" s="23">
        <v>0.1</v>
      </c>
      <c r="Q28" s="29">
        <v>3.0590000000000002</v>
      </c>
      <c r="R28" s="29"/>
      <c r="S28" s="24" t="s">
        <v>619</v>
      </c>
      <c r="T28" s="24" t="str">
        <f t="shared" si="2"/>
        <v>Normal</v>
      </c>
      <c r="U28" s="24">
        <v>45.420099999999998</v>
      </c>
      <c r="V28" s="24">
        <f t="shared" si="3"/>
        <v>45.420099999999998</v>
      </c>
      <c r="W28" s="24" t="s">
        <v>619</v>
      </c>
      <c r="X28" s="23">
        <v>0.20699999999999999</v>
      </c>
      <c r="Y28" s="23">
        <v>1.6463000000000001</v>
      </c>
      <c r="Z28" s="23"/>
      <c r="AA28" s="24" t="s">
        <v>619</v>
      </c>
      <c r="AB28" s="24" t="str">
        <f t="shared" si="4"/>
        <v>Normal</v>
      </c>
      <c r="AC28" s="23">
        <v>979592</v>
      </c>
      <c r="AD28" s="23">
        <v>97.959199999999996</v>
      </c>
      <c r="AE28" s="23" t="str">
        <f t="shared" si="5"/>
        <v/>
      </c>
      <c r="AF28" s="23"/>
      <c r="AG28" s="23" t="str">
        <f t="shared" si="6"/>
        <v/>
      </c>
      <c r="AH28" s="24" t="s">
        <v>619</v>
      </c>
      <c r="AI28" s="23">
        <v>0.218</v>
      </c>
      <c r="AJ28" s="23">
        <v>5.7515999999999998</v>
      </c>
      <c r="AK28" s="23"/>
      <c r="AL28" s="24" t="s">
        <v>619</v>
      </c>
      <c r="AM28" s="24"/>
      <c r="AN28" s="24"/>
      <c r="AO28" s="24" t="str">
        <f t="shared" si="7"/>
        <v/>
      </c>
    </row>
    <row r="29" spans="1:41" x14ac:dyDescent="0.3">
      <c r="A29" s="24" t="s">
        <v>76</v>
      </c>
      <c r="B29" s="24" t="s">
        <v>614</v>
      </c>
      <c r="C29" s="25" t="s">
        <v>616</v>
      </c>
      <c r="D29" s="26">
        <v>16.8</v>
      </c>
      <c r="E29" s="34" t="s">
        <v>39</v>
      </c>
      <c r="F29" s="27" t="s">
        <v>617</v>
      </c>
      <c r="G29" s="28"/>
      <c r="H29" s="28"/>
      <c r="I29" s="24">
        <v>12</v>
      </c>
      <c r="J29" s="24" t="s">
        <v>33</v>
      </c>
      <c r="K29" s="24" t="s">
        <v>618</v>
      </c>
      <c r="L29" s="24" t="str">
        <f t="shared" si="0"/>
        <v>Normal</v>
      </c>
      <c r="M29" s="23">
        <v>1.1752</v>
      </c>
      <c r="N29" s="23">
        <f t="shared" si="1"/>
        <v>1.1752</v>
      </c>
      <c r="O29" s="24" t="s">
        <v>618</v>
      </c>
      <c r="P29" s="23">
        <v>0.10100000000000001</v>
      </c>
      <c r="Q29" s="29">
        <v>0.9143</v>
      </c>
      <c r="R29" s="29"/>
      <c r="S29" s="24" t="s">
        <v>618</v>
      </c>
      <c r="T29" s="24" t="str">
        <f t="shared" si="2"/>
        <v>Technical failure</v>
      </c>
      <c r="U29" s="24" t="s">
        <v>44</v>
      </c>
      <c r="V29" s="24" t="str">
        <f t="shared" si="3"/>
        <v/>
      </c>
      <c r="W29" s="24" t="s">
        <v>620</v>
      </c>
      <c r="X29" s="23">
        <v>1.45</v>
      </c>
      <c r="Y29" s="23">
        <v>0.58279999999999998</v>
      </c>
      <c r="Z29" s="23"/>
      <c r="AA29" s="24" t="s">
        <v>618</v>
      </c>
      <c r="AB29" s="24" t="str">
        <f t="shared" si="4"/>
        <v>Upper censored</v>
      </c>
      <c r="AC29" s="23" t="s">
        <v>35</v>
      </c>
      <c r="AD29" s="23" t="s">
        <v>561</v>
      </c>
      <c r="AE29" s="23" t="str">
        <f t="shared" si="5"/>
        <v/>
      </c>
      <c r="AF29" s="23"/>
      <c r="AG29" s="23" t="str">
        <f t="shared" si="6"/>
        <v/>
      </c>
      <c r="AH29" s="24" t="s">
        <v>619</v>
      </c>
      <c r="AI29" s="23">
        <v>0.97199999999999998</v>
      </c>
      <c r="AJ29" s="23">
        <v>0.41599999999999998</v>
      </c>
      <c r="AK29" s="23"/>
      <c r="AL29" s="24" t="s">
        <v>618</v>
      </c>
      <c r="AM29" s="24">
        <v>210</v>
      </c>
      <c r="AN29" s="24">
        <v>0</v>
      </c>
      <c r="AO29" s="24">
        <f t="shared" si="7"/>
        <v>120</v>
      </c>
    </row>
    <row r="30" spans="1:41" x14ac:dyDescent="0.3">
      <c r="A30" s="24" t="s">
        <v>77</v>
      </c>
      <c r="B30" s="24" t="s">
        <v>436</v>
      </c>
      <c r="C30" s="25"/>
      <c r="D30" s="26">
        <v>19.5</v>
      </c>
      <c r="E30" s="34" t="s">
        <v>39</v>
      </c>
      <c r="F30" s="27" t="s">
        <v>617</v>
      </c>
      <c r="G30" s="28"/>
      <c r="H30" s="28"/>
      <c r="I30" s="24">
        <v>15</v>
      </c>
      <c r="J30" s="24" t="s">
        <v>43</v>
      </c>
      <c r="K30" s="24" t="s">
        <v>618</v>
      </c>
      <c r="L30" s="24" t="str">
        <f t="shared" si="0"/>
        <v>Normal</v>
      </c>
      <c r="M30" s="23">
        <v>1.5474000000000001</v>
      </c>
      <c r="N30" s="23">
        <f t="shared" si="1"/>
        <v>1.5474000000000001</v>
      </c>
      <c r="O30" s="24" t="s">
        <v>618</v>
      </c>
      <c r="P30" s="23">
        <v>0.152</v>
      </c>
      <c r="Q30" s="29">
        <v>0.34949999999999998</v>
      </c>
      <c r="R30" s="29"/>
      <c r="S30" s="24" t="s">
        <v>618</v>
      </c>
      <c r="T30" s="24" t="str">
        <f t="shared" si="2"/>
        <v>Technical failure</v>
      </c>
      <c r="U30" s="24" t="s">
        <v>44</v>
      </c>
      <c r="V30" s="24" t="str">
        <f t="shared" si="3"/>
        <v/>
      </c>
      <c r="W30" s="24" t="s">
        <v>620</v>
      </c>
      <c r="X30" s="23">
        <v>0.114</v>
      </c>
      <c r="Y30" s="23">
        <v>2.0442</v>
      </c>
      <c r="Z30" s="23"/>
      <c r="AA30" s="24" t="s">
        <v>619</v>
      </c>
      <c r="AB30" s="24" t="str">
        <f t="shared" si="4"/>
        <v>Not tested</v>
      </c>
      <c r="AC30" s="23" t="s">
        <v>44</v>
      </c>
      <c r="AD30" s="23" t="s">
        <v>561</v>
      </c>
      <c r="AE30" s="23" t="str">
        <f t="shared" si="5"/>
        <v/>
      </c>
      <c r="AF30" s="23"/>
      <c r="AG30" s="23" t="str">
        <f t="shared" si="6"/>
        <v/>
      </c>
      <c r="AH30" s="24" t="s">
        <v>620</v>
      </c>
      <c r="AI30" s="23">
        <v>0.14199999999999999</v>
      </c>
      <c r="AJ30" s="23">
        <v>5.2397999999999998</v>
      </c>
      <c r="AK30" s="23"/>
      <c r="AL30" s="24" t="s">
        <v>619</v>
      </c>
      <c r="AM30" s="24">
        <v>210</v>
      </c>
      <c r="AN30" s="24">
        <v>0</v>
      </c>
      <c r="AO30" s="24" t="str">
        <f t="shared" si="7"/>
        <v/>
      </c>
    </row>
    <row r="31" spans="1:41" x14ac:dyDescent="0.3">
      <c r="A31" s="24" t="s">
        <v>78</v>
      </c>
      <c r="B31" s="24" t="s">
        <v>436</v>
      </c>
      <c r="C31" s="25" t="s">
        <v>615</v>
      </c>
      <c r="D31" s="26">
        <v>37.700000000000003</v>
      </c>
      <c r="E31" s="34" t="s">
        <v>47</v>
      </c>
      <c r="F31" s="27" t="s">
        <v>617</v>
      </c>
      <c r="G31" s="28"/>
      <c r="H31" s="28"/>
      <c r="I31" s="24">
        <v>15</v>
      </c>
      <c r="J31" s="24" t="s">
        <v>43</v>
      </c>
      <c r="K31" s="24" t="s">
        <v>619</v>
      </c>
      <c r="L31" s="24" t="str">
        <f t="shared" si="0"/>
        <v>Normal</v>
      </c>
      <c r="M31" s="23">
        <v>3.6057999999999999</v>
      </c>
      <c r="N31" s="23">
        <f t="shared" si="1"/>
        <v>3.6057999999999999</v>
      </c>
      <c r="O31" s="24" t="s">
        <v>618</v>
      </c>
      <c r="P31" s="23">
        <v>0.2</v>
      </c>
      <c r="Q31" s="29">
        <v>0.47249999999999998</v>
      </c>
      <c r="R31" s="29"/>
      <c r="S31" s="24" t="s">
        <v>618</v>
      </c>
      <c r="T31" s="24" t="str">
        <f t="shared" si="2"/>
        <v>Upper censored</v>
      </c>
      <c r="U31" s="24" t="s">
        <v>35</v>
      </c>
      <c r="V31" s="24" t="str">
        <f t="shared" si="3"/>
        <v/>
      </c>
      <c r="W31" s="24" t="s">
        <v>619</v>
      </c>
      <c r="X31" s="23">
        <v>2.5</v>
      </c>
      <c r="Y31" s="23">
        <v>0.4194</v>
      </c>
      <c r="Z31" s="23"/>
      <c r="AA31" s="24" t="s">
        <v>618</v>
      </c>
      <c r="AB31" s="24" t="str">
        <f t="shared" si="4"/>
        <v>Not tested</v>
      </c>
      <c r="AC31" s="23" t="s">
        <v>44</v>
      </c>
      <c r="AD31" s="23" t="s">
        <v>561</v>
      </c>
      <c r="AE31" s="23" t="str">
        <f t="shared" si="5"/>
        <v/>
      </c>
      <c r="AF31" s="23"/>
      <c r="AG31" s="23" t="str">
        <f t="shared" si="6"/>
        <v/>
      </c>
      <c r="AH31" s="24" t="s">
        <v>620</v>
      </c>
      <c r="AI31" s="23">
        <v>1.843</v>
      </c>
      <c r="AJ31" s="23">
        <v>1.2684</v>
      </c>
      <c r="AK31" s="23"/>
      <c r="AL31" s="24" t="s">
        <v>619</v>
      </c>
      <c r="AM31" s="24">
        <v>210</v>
      </c>
      <c r="AN31" s="24">
        <v>0</v>
      </c>
      <c r="AO31" s="24" t="str">
        <f t="shared" si="7"/>
        <v/>
      </c>
    </row>
    <row r="32" spans="1:41" x14ac:dyDescent="0.3">
      <c r="A32" s="24" t="s">
        <v>79</v>
      </c>
      <c r="B32" s="24" t="s">
        <v>436</v>
      </c>
      <c r="C32" s="25" t="s">
        <v>615</v>
      </c>
      <c r="D32" s="26">
        <v>20.5</v>
      </c>
      <c r="E32" s="34" t="s">
        <v>39</v>
      </c>
      <c r="F32" s="27" t="s">
        <v>617</v>
      </c>
      <c r="G32" s="28"/>
      <c r="H32" s="28"/>
      <c r="I32" s="24">
        <v>12</v>
      </c>
      <c r="J32" s="24" t="s">
        <v>33</v>
      </c>
      <c r="K32" s="24" t="s">
        <v>618</v>
      </c>
      <c r="L32" s="24" t="str">
        <f t="shared" si="0"/>
        <v>Normal</v>
      </c>
      <c r="M32" s="23">
        <v>4.1935000000000002</v>
      </c>
      <c r="N32" s="23">
        <f t="shared" si="1"/>
        <v>4.1935000000000002</v>
      </c>
      <c r="O32" s="24" t="s">
        <v>618</v>
      </c>
      <c r="P32" s="23">
        <v>0.20599999999999999</v>
      </c>
      <c r="Q32" s="29">
        <v>1.3844000000000001</v>
      </c>
      <c r="R32" s="29"/>
      <c r="S32" s="24" t="s">
        <v>619</v>
      </c>
      <c r="T32" s="24" t="str">
        <f t="shared" si="2"/>
        <v>Upper censored</v>
      </c>
      <c r="U32" s="24" t="s">
        <v>35</v>
      </c>
      <c r="V32" s="24" t="str">
        <f t="shared" si="3"/>
        <v/>
      </c>
      <c r="W32" s="24" t="s">
        <v>619</v>
      </c>
      <c r="X32" s="23">
        <v>6.8000000000000005E-2</v>
      </c>
      <c r="Y32" s="23">
        <v>1.2465999999999999</v>
      </c>
      <c r="Z32" s="23"/>
      <c r="AA32" s="24" t="s">
        <v>619</v>
      </c>
      <c r="AB32" s="24" t="str">
        <f t="shared" si="4"/>
        <v>Upper censored</v>
      </c>
      <c r="AC32" s="23" t="s">
        <v>35</v>
      </c>
      <c r="AD32" s="23" t="s">
        <v>561</v>
      </c>
      <c r="AE32" s="23" t="str">
        <f t="shared" si="5"/>
        <v/>
      </c>
      <c r="AF32" s="23"/>
      <c r="AG32" s="23" t="str">
        <f t="shared" si="6"/>
        <v/>
      </c>
      <c r="AH32" s="24" t="s">
        <v>619</v>
      </c>
      <c r="AI32" s="23">
        <v>6.7000000000000004E-2</v>
      </c>
      <c r="AJ32" s="23">
        <v>5.7789000000000001</v>
      </c>
      <c r="AK32" s="23"/>
      <c r="AL32" s="24" t="s">
        <v>619</v>
      </c>
      <c r="AM32" s="24">
        <v>210</v>
      </c>
      <c r="AN32" s="24">
        <v>0</v>
      </c>
      <c r="AO32" s="24">
        <f t="shared" si="7"/>
        <v>120</v>
      </c>
    </row>
    <row r="33" spans="1:41" x14ac:dyDescent="0.3">
      <c r="A33" s="24" t="s">
        <v>80</v>
      </c>
      <c r="B33" s="24" t="s">
        <v>436</v>
      </c>
      <c r="C33" s="25" t="s">
        <v>616</v>
      </c>
      <c r="D33" s="26">
        <v>18.8</v>
      </c>
      <c r="E33" s="34" t="s">
        <v>39</v>
      </c>
      <c r="F33" s="27" t="s">
        <v>617</v>
      </c>
      <c r="G33" s="28"/>
      <c r="H33" s="28"/>
      <c r="I33" s="24">
        <v>14</v>
      </c>
      <c r="J33" s="24" t="s">
        <v>43</v>
      </c>
      <c r="K33" s="24" t="s">
        <v>618</v>
      </c>
      <c r="L33" s="24" t="str">
        <f t="shared" si="0"/>
        <v>Normal</v>
      </c>
      <c r="M33" s="23">
        <v>4.7742000000000004</v>
      </c>
      <c r="N33" s="23">
        <f t="shared" si="1"/>
        <v>4.7742000000000004</v>
      </c>
      <c r="O33" s="24" t="s">
        <v>618</v>
      </c>
      <c r="P33" s="23">
        <v>0.23200000000000001</v>
      </c>
      <c r="Q33" s="29">
        <v>1.8153999999999999</v>
      </c>
      <c r="R33" s="29"/>
      <c r="S33" s="24" t="s">
        <v>619</v>
      </c>
      <c r="T33" s="24" t="str">
        <f t="shared" si="2"/>
        <v>Normal</v>
      </c>
      <c r="U33" s="24">
        <v>48.759099999999997</v>
      </c>
      <c r="V33" s="24">
        <f t="shared" si="3"/>
        <v>48.759099999999997</v>
      </c>
      <c r="W33" s="24" t="s">
        <v>619</v>
      </c>
      <c r="X33" s="23">
        <v>3.4209999999999998</v>
      </c>
      <c r="Y33" s="23">
        <v>1.5938000000000001</v>
      </c>
      <c r="Z33" s="23"/>
      <c r="AA33" s="24" t="s">
        <v>619</v>
      </c>
      <c r="AB33" s="24" t="str">
        <f t="shared" si="4"/>
        <v>Normal</v>
      </c>
      <c r="AC33" s="23">
        <v>378616</v>
      </c>
      <c r="AD33" s="23">
        <v>37.861600000000003</v>
      </c>
      <c r="AE33" s="23" t="str">
        <f t="shared" si="5"/>
        <v/>
      </c>
      <c r="AF33" s="23"/>
      <c r="AG33" s="23" t="str">
        <f t="shared" si="6"/>
        <v/>
      </c>
      <c r="AH33" s="23" t="s">
        <v>619</v>
      </c>
      <c r="AI33" s="23">
        <v>3.3969999999999998</v>
      </c>
      <c r="AJ33" s="23">
        <v>0.82930000000000004</v>
      </c>
      <c r="AK33" s="23"/>
      <c r="AL33" s="24" t="s">
        <v>618</v>
      </c>
      <c r="AM33" s="24"/>
      <c r="AN33" s="24"/>
      <c r="AO33" s="24" t="str">
        <f t="shared" si="7"/>
        <v/>
      </c>
    </row>
    <row r="34" spans="1:41" x14ac:dyDescent="0.3">
      <c r="A34" s="24" t="s">
        <v>81</v>
      </c>
      <c r="B34" s="24" t="s">
        <v>614</v>
      </c>
      <c r="C34" s="25" t="s">
        <v>616</v>
      </c>
      <c r="D34" s="26">
        <v>18.399999999999999</v>
      </c>
      <c r="E34" s="34" t="s">
        <v>39</v>
      </c>
      <c r="F34" s="27" t="s">
        <v>617</v>
      </c>
      <c r="G34" s="28"/>
      <c r="H34" s="28"/>
      <c r="I34" s="24">
        <v>15</v>
      </c>
      <c r="J34" s="24" t="s">
        <v>43</v>
      </c>
      <c r="K34" s="24" t="s">
        <v>618</v>
      </c>
      <c r="L34" s="24" t="str">
        <f t="shared" si="0"/>
        <v>Normal</v>
      </c>
      <c r="M34" s="23">
        <v>6.0145999999999997</v>
      </c>
      <c r="N34" s="23">
        <f t="shared" si="1"/>
        <v>6.0145999999999997</v>
      </c>
      <c r="O34" s="24" t="s">
        <v>618</v>
      </c>
      <c r="P34" s="23">
        <v>0.29199999999999998</v>
      </c>
      <c r="Q34" s="29">
        <v>0.2923</v>
      </c>
      <c r="R34" s="29"/>
      <c r="S34" s="24" t="s">
        <v>618</v>
      </c>
      <c r="T34" s="24" t="str">
        <f t="shared" si="2"/>
        <v>Normal</v>
      </c>
      <c r="U34" s="24">
        <v>22.6736</v>
      </c>
      <c r="V34" s="24">
        <f t="shared" si="3"/>
        <v>22.6736</v>
      </c>
      <c r="W34" s="24" t="s">
        <v>619</v>
      </c>
      <c r="X34" s="23">
        <v>0.38200000000000001</v>
      </c>
      <c r="Y34" s="23">
        <v>2.8168000000000002</v>
      </c>
      <c r="Z34" s="23"/>
      <c r="AA34" s="24" t="s">
        <v>619</v>
      </c>
      <c r="AB34" s="24" t="str">
        <f t="shared" si="4"/>
        <v>Normal</v>
      </c>
      <c r="AC34" s="23">
        <v>140227</v>
      </c>
      <c r="AD34" s="23">
        <v>14.0227</v>
      </c>
      <c r="AE34" s="23" t="str">
        <f t="shared" si="5"/>
        <v/>
      </c>
      <c r="AF34" s="23"/>
      <c r="AG34" s="23" t="str">
        <f t="shared" si="6"/>
        <v/>
      </c>
      <c r="AH34" s="24" t="s">
        <v>619</v>
      </c>
      <c r="AI34" s="23">
        <v>1.631</v>
      </c>
      <c r="AJ34" s="23">
        <v>1.1209</v>
      </c>
      <c r="AK34" s="23"/>
      <c r="AL34" s="24" t="s">
        <v>619</v>
      </c>
      <c r="AM34" s="24"/>
      <c r="AN34" s="24"/>
      <c r="AO34" s="24" t="str">
        <f t="shared" si="7"/>
        <v/>
      </c>
    </row>
    <row r="35" spans="1:41" x14ac:dyDescent="0.3">
      <c r="A35" s="24" t="s">
        <v>82</v>
      </c>
      <c r="B35" s="24" t="s">
        <v>436</v>
      </c>
      <c r="C35" s="25" t="s">
        <v>616</v>
      </c>
      <c r="D35" s="26">
        <v>17.2</v>
      </c>
      <c r="E35" s="34" t="s">
        <v>39</v>
      </c>
      <c r="F35" s="27" t="s">
        <v>617</v>
      </c>
      <c r="G35" s="28"/>
      <c r="H35" s="28"/>
      <c r="I35" s="24">
        <v>12</v>
      </c>
      <c r="J35" s="24" t="s">
        <v>33</v>
      </c>
      <c r="K35" s="24" t="s">
        <v>618</v>
      </c>
      <c r="L35" s="24" t="str">
        <f t="shared" si="0"/>
        <v>Normal</v>
      </c>
      <c r="M35" s="23">
        <v>7.0608000000000004</v>
      </c>
      <c r="N35" s="23">
        <f t="shared" si="1"/>
        <v>7.0608000000000004</v>
      </c>
      <c r="O35" s="24" t="s">
        <v>618</v>
      </c>
      <c r="P35" s="23">
        <v>0.34300000000000003</v>
      </c>
      <c r="Q35" s="29">
        <v>3.0045000000000002</v>
      </c>
      <c r="R35" s="29"/>
      <c r="S35" s="24" t="s">
        <v>619</v>
      </c>
      <c r="T35" s="24" t="str">
        <f t="shared" si="2"/>
        <v>Technical failure</v>
      </c>
      <c r="U35" s="24" t="s">
        <v>44</v>
      </c>
      <c r="V35" s="24" t="str">
        <f t="shared" si="3"/>
        <v/>
      </c>
      <c r="W35" s="24" t="s">
        <v>620</v>
      </c>
      <c r="X35" s="23">
        <v>0.25600000000000001</v>
      </c>
      <c r="Y35" s="23">
        <v>1.8033999999999999</v>
      </c>
      <c r="Z35" s="23"/>
      <c r="AA35" s="24" t="s">
        <v>619</v>
      </c>
      <c r="AB35" s="24" t="str">
        <f t="shared" si="4"/>
        <v>Not tested</v>
      </c>
      <c r="AC35" s="23" t="s">
        <v>44</v>
      </c>
      <c r="AD35" s="23" t="s">
        <v>561</v>
      </c>
      <c r="AE35" s="23" t="str">
        <f t="shared" si="5"/>
        <v/>
      </c>
      <c r="AF35" s="23"/>
      <c r="AG35" s="23" t="str">
        <f t="shared" si="6"/>
        <v/>
      </c>
      <c r="AH35" s="24" t="s">
        <v>620</v>
      </c>
      <c r="AI35" s="23">
        <v>2.6829999999999998</v>
      </c>
      <c r="AJ35" s="23">
        <v>6.8460000000000001</v>
      </c>
      <c r="AK35" s="23"/>
      <c r="AL35" s="24" t="s">
        <v>619</v>
      </c>
      <c r="AM35" s="24">
        <v>210</v>
      </c>
      <c r="AN35" s="24">
        <v>0</v>
      </c>
      <c r="AO35" s="24" t="str">
        <f t="shared" si="7"/>
        <v/>
      </c>
    </row>
    <row r="36" spans="1:41" x14ac:dyDescent="0.3">
      <c r="A36" s="24" t="s">
        <v>83</v>
      </c>
      <c r="B36" s="24" t="s">
        <v>436</v>
      </c>
      <c r="C36" s="30" t="s">
        <v>615</v>
      </c>
      <c r="D36" s="26">
        <v>18.100000000000001</v>
      </c>
      <c r="E36" s="34" t="s">
        <v>39</v>
      </c>
      <c r="F36" s="27" t="s">
        <v>617</v>
      </c>
      <c r="G36" s="28"/>
      <c r="H36" s="28"/>
      <c r="I36" s="24">
        <v>15</v>
      </c>
      <c r="J36" s="24" t="s">
        <v>43</v>
      </c>
      <c r="K36" s="24" t="s">
        <v>619</v>
      </c>
      <c r="L36" s="24" t="str">
        <f t="shared" si="0"/>
        <v>Normal</v>
      </c>
      <c r="M36" s="23">
        <v>7.7225999999999999</v>
      </c>
      <c r="N36" s="23">
        <f t="shared" si="1"/>
        <v>7.7225999999999999</v>
      </c>
      <c r="O36" s="24" t="s">
        <v>618</v>
      </c>
      <c r="P36" s="23">
        <v>0.36</v>
      </c>
      <c r="Q36" s="29">
        <v>0.67689999999999995</v>
      </c>
      <c r="R36" s="29"/>
      <c r="S36" s="24" t="s">
        <v>618</v>
      </c>
      <c r="T36" s="24" t="str">
        <f t="shared" si="2"/>
        <v>Normal</v>
      </c>
      <c r="U36" s="24">
        <v>7.5744999999999996</v>
      </c>
      <c r="V36" s="24">
        <f t="shared" si="3"/>
        <v>7.5744999999999996</v>
      </c>
      <c r="W36" s="24" t="s">
        <v>618</v>
      </c>
      <c r="X36" s="23">
        <v>0.38</v>
      </c>
      <c r="Y36" s="23">
        <v>0.4415</v>
      </c>
      <c r="Z36" s="23"/>
      <c r="AA36" s="24" t="s">
        <v>618</v>
      </c>
      <c r="AB36" s="24" t="str">
        <f t="shared" si="4"/>
        <v>Upper censored</v>
      </c>
      <c r="AC36" s="23" t="s">
        <v>35</v>
      </c>
      <c r="AD36" s="23" t="s">
        <v>561</v>
      </c>
      <c r="AE36" s="23" t="str">
        <f t="shared" si="5"/>
        <v/>
      </c>
      <c r="AF36" s="23"/>
      <c r="AG36" s="23" t="str">
        <f t="shared" si="6"/>
        <v/>
      </c>
      <c r="AH36" s="24" t="s">
        <v>619</v>
      </c>
      <c r="AI36" s="23">
        <v>3.0230000000000001</v>
      </c>
      <c r="AJ36" s="23">
        <v>6.5983999999999998</v>
      </c>
      <c r="AK36" s="23"/>
      <c r="AL36" s="24" t="s">
        <v>619</v>
      </c>
      <c r="AM36" s="24"/>
      <c r="AN36" s="24"/>
      <c r="AO36" s="24" t="str">
        <f t="shared" si="7"/>
        <v/>
      </c>
    </row>
    <row r="37" spans="1:41" x14ac:dyDescent="0.3">
      <c r="A37" s="24" t="s">
        <v>84</v>
      </c>
      <c r="B37" s="24" t="s">
        <v>614</v>
      </c>
      <c r="C37" s="25"/>
      <c r="D37" s="26">
        <v>21.7</v>
      </c>
      <c r="E37" s="34" t="s">
        <v>39</v>
      </c>
      <c r="F37" s="27" t="s">
        <v>617</v>
      </c>
      <c r="G37" s="28"/>
      <c r="H37" s="28"/>
      <c r="I37" s="24">
        <v>15</v>
      </c>
      <c r="J37" s="24" t="s">
        <v>43</v>
      </c>
      <c r="K37" s="24" t="s">
        <v>619</v>
      </c>
      <c r="L37" s="24" t="str">
        <f t="shared" si="0"/>
        <v>Normal</v>
      </c>
      <c r="M37" s="23">
        <v>8.9726999999999997</v>
      </c>
      <c r="N37" s="23">
        <f t="shared" si="1"/>
        <v>8.9726999999999997</v>
      </c>
      <c r="O37" t="s">
        <v>621</v>
      </c>
      <c r="P37" s="23">
        <v>0.42</v>
      </c>
      <c r="Q37" s="29">
        <v>1.2052</v>
      </c>
      <c r="R37" s="29"/>
      <c r="S37" s="24" t="s">
        <v>619</v>
      </c>
      <c r="T37" s="24" t="str">
        <f t="shared" si="2"/>
        <v>Upper censored</v>
      </c>
      <c r="U37" s="24" t="s">
        <v>35</v>
      </c>
      <c r="V37" s="24" t="str">
        <f t="shared" si="3"/>
        <v/>
      </c>
      <c r="W37" s="24" t="s">
        <v>619</v>
      </c>
      <c r="X37" s="23">
        <v>2.78</v>
      </c>
      <c r="Y37" s="23">
        <v>5.0761000000000003</v>
      </c>
      <c r="Z37" s="23"/>
      <c r="AA37" s="24" t="s">
        <v>619</v>
      </c>
      <c r="AB37" s="24" t="str">
        <f t="shared" si="4"/>
        <v>Upper censored</v>
      </c>
      <c r="AC37" s="23" t="s">
        <v>35</v>
      </c>
      <c r="AD37" s="23" t="s">
        <v>561</v>
      </c>
      <c r="AE37" s="23" t="str">
        <f t="shared" si="5"/>
        <v/>
      </c>
      <c r="AF37" s="23"/>
      <c r="AG37" s="23" t="str">
        <f t="shared" si="6"/>
        <v/>
      </c>
      <c r="AH37" s="24" t="s">
        <v>619</v>
      </c>
      <c r="AI37" s="23">
        <v>1.2210000000000001</v>
      </c>
      <c r="AJ37" s="23">
        <v>2.4363000000000001</v>
      </c>
      <c r="AK37" s="23"/>
      <c r="AL37" s="24" t="s">
        <v>619</v>
      </c>
      <c r="AM37" s="24">
        <v>210</v>
      </c>
      <c r="AN37" s="24">
        <v>0</v>
      </c>
      <c r="AO37" s="24">
        <f t="shared" si="7"/>
        <v>120</v>
      </c>
    </row>
    <row r="38" spans="1:41" x14ac:dyDescent="0.3">
      <c r="A38" s="24" t="s">
        <v>86</v>
      </c>
      <c r="B38" s="24" t="s">
        <v>436</v>
      </c>
      <c r="C38" s="30" t="s">
        <v>616</v>
      </c>
      <c r="D38" s="26">
        <v>18</v>
      </c>
      <c r="E38" s="34" t="s">
        <v>39</v>
      </c>
      <c r="F38" s="27" t="s">
        <v>617</v>
      </c>
      <c r="G38" s="28"/>
      <c r="H38" s="28"/>
      <c r="I38" s="24">
        <v>15</v>
      </c>
      <c r="J38" s="24" t="s">
        <v>43</v>
      </c>
      <c r="K38" s="24" t="s">
        <v>619</v>
      </c>
      <c r="L38" s="24" t="str">
        <f t="shared" si="0"/>
        <v>Normal</v>
      </c>
      <c r="M38" s="23">
        <v>9.5533000000000001</v>
      </c>
      <c r="N38" s="23">
        <f t="shared" si="1"/>
        <v>9.5533000000000001</v>
      </c>
      <c r="O38" t="s">
        <v>621</v>
      </c>
      <c r="P38" s="23">
        <v>0.44600000000000001</v>
      </c>
      <c r="Q38" s="29">
        <v>9.0899999999999995E-2</v>
      </c>
      <c r="R38" s="29"/>
      <c r="S38" s="24" t="s">
        <v>618</v>
      </c>
      <c r="T38" s="24" t="str">
        <f t="shared" si="2"/>
        <v>Upper censored</v>
      </c>
      <c r="U38" s="24" t="s">
        <v>35</v>
      </c>
      <c r="V38" s="24" t="str">
        <f t="shared" si="3"/>
        <v/>
      </c>
      <c r="W38" s="24" t="s">
        <v>619</v>
      </c>
      <c r="X38" s="23">
        <v>0.251</v>
      </c>
      <c r="Y38" s="23">
        <v>1.3080000000000001</v>
      </c>
      <c r="Z38" s="23"/>
      <c r="AA38" s="24" t="s">
        <v>618</v>
      </c>
      <c r="AB38" s="24" t="str">
        <f t="shared" si="4"/>
        <v>Normal</v>
      </c>
      <c r="AC38" s="23">
        <v>345493</v>
      </c>
      <c r="AD38" s="23">
        <v>34.549300000000002</v>
      </c>
      <c r="AE38" s="23" t="str">
        <f t="shared" si="5"/>
        <v/>
      </c>
      <c r="AF38" s="23"/>
      <c r="AG38" s="23" t="str">
        <f t="shared" si="6"/>
        <v/>
      </c>
      <c r="AH38" s="24" t="s">
        <v>619</v>
      </c>
      <c r="AI38" s="23">
        <v>1.774</v>
      </c>
      <c r="AJ38" s="23">
        <v>0.74139999999999995</v>
      </c>
      <c r="AK38" s="23"/>
      <c r="AL38" s="24" t="s">
        <v>618</v>
      </c>
      <c r="AM38" s="24"/>
      <c r="AN38" s="24"/>
      <c r="AO38" s="24" t="str">
        <f t="shared" si="7"/>
        <v/>
      </c>
    </row>
    <row r="39" spans="1:41" x14ac:dyDescent="0.3">
      <c r="A39" s="24" t="s">
        <v>87</v>
      </c>
      <c r="B39" s="24" t="s">
        <v>614</v>
      </c>
      <c r="C39" s="25" t="s">
        <v>616</v>
      </c>
      <c r="D39" s="26">
        <v>19.8</v>
      </c>
      <c r="E39" s="34" t="s">
        <v>39</v>
      </c>
      <c r="F39" s="27" t="s">
        <v>617</v>
      </c>
      <c r="G39" s="28"/>
      <c r="H39" s="28"/>
      <c r="I39" s="24">
        <v>12</v>
      </c>
      <c r="J39" s="24" t="s">
        <v>33</v>
      </c>
      <c r="K39" s="24" t="s">
        <v>618</v>
      </c>
      <c r="L39" s="24" t="str">
        <f t="shared" si="0"/>
        <v>Normal</v>
      </c>
      <c r="M39" s="23">
        <v>9.9123999999999999</v>
      </c>
      <c r="N39" s="23">
        <f t="shared" si="1"/>
        <v>9.9123999999999999</v>
      </c>
      <c r="O39" t="s">
        <v>621</v>
      </c>
      <c r="P39" s="23">
        <v>0.47</v>
      </c>
      <c r="Q39" s="29">
        <v>0.86350000000000005</v>
      </c>
      <c r="R39" s="29">
        <v>0.79420000000000002</v>
      </c>
      <c r="S39" s="24" t="s">
        <v>618</v>
      </c>
      <c r="T39" s="24" t="str">
        <f t="shared" si="2"/>
        <v>Upper censored</v>
      </c>
      <c r="U39" s="24" t="s">
        <v>35</v>
      </c>
      <c r="V39" s="24" t="str">
        <f t="shared" si="3"/>
        <v/>
      </c>
      <c r="W39" s="24" t="s">
        <v>619</v>
      </c>
      <c r="X39" s="23">
        <v>2.3220000000000001</v>
      </c>
      <c r="Y39" s="23">
        <v>2.8294999999999999</v>
      </c>
      <c r="Z39" s="23"/>
      <c r="AA39" s="24" t="s">
        <v>619</v>
      </c>
      <c r="AB39" s="24" t="str">
        <f t="shared" si="4"/>
        <v>Upper censored</v>
      </c>
      <c r="AC39" s="23" t="s">
        <v>35</v>
      </c>
      <c r="AD39" s="23" t="s">
        <v>561</v>
      </c>
      <c r="AE39" s="23" t="str">
        <f t="shared" si="5"/>
        <v/>
      </c>
      <c r="AF39" s="23"/>
      <c r="AG39" s="23" t="str">
        <f t="shared" si="6"/>
        <v/>
      </c>
      <c r="AH39" s="24" t="s">
        <v>619</v>
      </c>
      <c r="AI39" s="23">
        <v>1.4530000000000001</v>
      </c>
      <c r="AJ39" s="23">
        <v>0.56779999999999997</v>
      </c>
      <c r="AK39" s="23"/>
      <c r="AL39" s="24" t="s">
        <v>618</v>
      </c>
      <c r="AM39" s="24">
        <v>210</v>
      </c>
      <c r="AN39" s="24">
        <v>0</v>
      </c>
      <c r="AO39" s="24">
        <f t="shared" si="7"/>
        <v>120</v>
      </c>
    </row>
    <row r="40" spans="1:41" x14ac:dyDescent="0.3">
      <c r="A40" s="24" t="s">
        <v>89</v>
      </c>
      <c r="B40" s="24" t="s">
        <v>614</v>
      </c>
      <c r="C40" s="25" t="s">
        <v>616</v>
      </c>
      <c r="D40" s="26">
        <v>21.5</v>
      </c>
      <c r="E40" s="34" t="s">
        <v>39</v>
      </c>
      <c r="F40" s="27" t="s">
        <v>617</v>
      </c>
      <c r="G40" s="28"/>
      <c r="H40" s="28"/>
      <c r="I40" s="24">
        <v>14</v>
      </c>
      <c r="J40" s="24" t="s">
        <v>43</v>
      </c>
      <c r="K40" s="24" t="s">
        <v>619</v>
      </c>
      <c r="L40" s="24" t="str">
        <f t="shared" si="0"/>
        <v>Normal</v>
      </c>
      <c r="M40" s="23">
        <v>9.6495999999999995</v>
      </c>
      <c r="N40" s="23">
        <f t="shared" si="1"/>
        <v>9.6495999999999995</v>
      </c>
      <c r="O40" t="s">
        <v>621</v>
      </c>
      <c r="P40" s="23">
        <v>0.48599999999999999</v>
      </c>
      <c r="Q40" s="29">
        <v>0.32750000000000001</v>
      </c>
      <c r="R40" s="29"/>
      <c r="S40" s="24" t="s">
        <v>618</v>
      </c>
      <c r="T40" s="24" t="str">
        <f t="shared" si="2"/>
        <v>Upper censored</v>
      </c>
      <c r="U40" s="24" t="s">
        <v>35</v>
      </c>
      <c r="V40" s="24" t="str">
        <f t="shared" si="3"/>
        <v/>
      </c>
      <c r="W40" s="24" t="s">
        <v>619</v>
      </c>
      <c r="X40" s="23">
        <v>3.3740000000000001</v>
      </c>
      <c r="Y40" s="23">
        <v>0.16489999999999999</v>
      </c>
      <c r="Z40" s="23"/>
      <c r="AA40" s="24" t="s">
        <v>618</v>
      </c>
      <c r="AB40" s="24" t="str">
        <f t="shared" si="4"/>
        <v>Not tested</v>
      </c>
      <c r="AC40" s="23" t="s">
        <v>44</v>
      </c>
      <c r="AD40" s="23" t="s">
        <v>561</v>
      </c>
      <c r="AE40" s="23" t="str">
        <f t="shared" si="5"/>
        <v/>
      </c>
      <c r="AF40" s="23"/>
      <c r="AG40" s="23" t="str">
        <f t="shared" si="6"/>
        <v/>
      </c>
      <c r="AH40" s="24" t="s">
        <v>620</v>
      </c>
      <c r="AI40" s="23">
        <v>1.8979999999999999</v>
      </c>
      <c r="AJ40" s="23">
        <v>1.3340000000000001</v>
      </c>
      <c r="AK40" s="23"/>
      <c r="AL40" s="24" t="s">
        <v>619</v>
      </c>
      <c r="AM40" s="24">
        <v>210</v>
      </c>
      <c r="AN40" s="24">
        <v>0</v>
      </c>
      <c r="AO40" s="24" t="str">
        <f t="shared" si="7"/>
        <v/>
      </c>
    </row>
    <row r="41" spans="1:41" x14ac:dyDescent="0.3">
      <c r="A41" s="24" t="s">
        <v>90</v>
      </c>
      <c r="B41" s="24" t="s">
        <v>436</v>
      </c>
      <c r="C41" s="30" t="s">
        <v>616</v>
      </c>
      <c r="D41" s="26">
        <v>20.7</v>
      </c>
      <c r="E41" s="34" t="s">
        <v>39</v>
      </c>
      <c r="F41" s="27" t="s">
        <v>617</v>
      </c>
      <c r="G41" s="28"/>
      <c r="H41" s="28"/>
      <c r="I41" s="24">
        <v>12</v>
      </c>
      <c r="J41" s="24" t="s">
        <v>33</v>
      </c>
      <c r="K41" s="24" t="s">
        <v>618</v>
      </c>
      <c r="L41" s="24" t="str">
        <f t="shared" si="0"/>
        <v>Normal</v>
      </c>
      <c r="M41" s="23">
        <v>10.7494</v>
      </c>
      <c r="N41" s="23">
        <f t="shared" si="1"/>
        <v>10.7494</v>
      </c>
      <c r="O41" t="s">
        <v>621</v>
      </c>
      <c r="P41" s="23">
        <v>0.51600000000000001</v>
      </c>
      <c r="Q41" s="23">
        <v>0.1142</v>
      </c>
      <c r="R41" s="23">
        <v>0.1797</v>
      </c>
      <c r="S41" s="23" t="s">
        <v>618</v>
      </c>
      <c r="T41" s="24" t="str">
        <f t="shared" si="2"/>
        <v>Upper censored</v>
      </c>
      <c r="U41" s="24" t="s">
        <v>35</v>
      </c>
      <c r="V41" s="24" t="str">
        <f t="shared" si="3"/>
        <v/>
      </c>
      <c r="W41" s="24" t="s">
        <v>619</v>
      </c>
      <c r="X41" s="23">
        <v>2.8279999999999998</v>
      </c>
      <c r="Y41" s="23">
        <v>0.12559999999999999</v>
      </c>
      <c r="Z41" s="23"/>
      <c r="AA41" s="24" t="s">
        <v>618</v>
      </c>
      <c r="AB41" s="24" t="str">
        <f t="shared" si="4"/>
        <v>Normal</v>
      </c>
      <c r="AC41" s="31">
        <v>1071762</v>
      </c>
      <c r="AD41" s="23">
        <v>107.17619999999999</v>
      </c>
      <c r="AE41" s="23" t="str">
        <f t="shared" si="5"/>
        <v/>
      </c>
      <c r="AF41" s="24"/>
      <c r="AG41" s="23" t="str">
        <f t="shared" si="6"/>
        <v/>
      </c>
      <c r="AH41" s="24" t="s">
        <v>619</v>
      </c>
      <c r="AI41" s="23">
        <v>1.7050000000000001</v>
      </c>
      <c r="AJ41" s="23">
        <v>9.2999999999999999E-2</v>
      </c>
      <c r="AK41" s="23"/>
      <c r="AL41" s="24" t="s">
        <v>618</v>
      </c>
      <c r="AM41" s="24">
        <v>182</v>
      </c>
      <c r="AN41" s="24">
        <v>1</v>
      </c>
      <c r="AO41" s="24" t="str">
        <f t="shared" si="7"/>
        <v/>
      </c>
    </row>
    <row r="42" spans="1:41" x14ac:dyDescent="0.3">
      <c r="A42" s="24" t="s">
        <v>92</v>
      </c>
      <c r="B42" s="24" t="s">
        <v>436</v>
      </c>
      <c r="C42" s="25"/>
      <c r="D42" s="26">
        <v>22.2</v>
      </c>
      <c r="E42" s="34" t="s">
        <v>31</v>
      </c>
      <c r="F42" s="27" t="s">
        <v>617</v>
      </c>
      <c r="G42" s="28"/>
      <c r="H42" s="28"/>
      <c r="I42" s="24">
        <v>12</v>
      </c>
      <c r="J42" s="24" t="s">
        <v>33</v>
      </c>
      <c r="K42" s="24" t="s">
        <v>618</v>
      </c>
      <c r="L42" s="24" t="str">
        <f t="shared" si="0"/>
        <v>Normal</v>
      </c>
      <c r="M42" s="23">
        <v>0.71040000000000003</v>
      </c>
      <c r="N42" s="23">
        <f t="shared" si="1"/>
        <v>0.71040000000000003</v>
      </c>
      <c r="O42" s="24" t="s">
        <v>618</v>
      </c>
      <c r="P42" s="23">
        <v>0.55000000000000004</v>
      </c>
      <c r="Q42" s="29">
        <v>0.72929999999999995</v>
      </c>
      <c r="R42" s="29"/>
      <c r="S42" s="24" t="s">
        <v>618</v>
      </c>
      <c r="T42" s="24" t="str">
        <f t="shared" si="2"/>
        <v>Upper censored</v>
      </c>
      <c r="U42" s="24" t="s">
        <v>35</v>
      </c>
      <c r="V42" s="24" t="str">
        <f t="shared" si="3"/>
        <v/>
      </c>
      <c r="W42" s="24" t="s">
        <v>619</v>
      </c>
      <c r="X42" s="23">
        <v>5.2999999999999999E-2</v>
      </c>
      <c r="Y42" s="23">
        <v>0.44419999999999998</v>
      </c>
      <c r="Z42" s="23"/>
      <c r="AA42" s="24" t="s">
        <v>618</v>
      </c>
      <c r="AB42" s="24" t="str">
        <f t="shared" si="4"/>
        <v>Upper censored</v>
      </c>
      <c r="AC42" s="23" t="s">
        <v>35</v>
      </c>
      <c r="AD42" s="23" t="s">
        <v>561</v>
      </c>
      <c r="AE42" s="23" t="str">
        <f t="shared" si="5"/>
        <v/>
      </c>
      <c r="AF42" s="23"/>
      <c r="AG42" s="23" t="str">
        <f t="shared" si="6"/>
        <v/>
      </c>
      <c r="AH42" s="24" t="s">
        <v>619</v>
      </c>
      <c r="AI42" s="23">
        <v>4.3999999999999997E-2</v>
      </c>
      <c r="AJ42" s="23">
        <v>0.2276</v>
      </c>
      <c r="AK42" s="23"/>
      <c r="AL42" s="24" t="s">
        <v>618</v>
      </c>
      <c r="AM42" s="24">
        <v>210</v>
      </c>
      <c r="AN42" s="24">
        <v>0</v>
      </c>
      <c r="AO42" s="24">
        <f t="shared" si="7"/>
        <v>120</v>
      </c>
    </row>
    <row r="43" spans="1:41" x14ac:dyDescent="0.3">
      <c r="A43" s="24" t="s">
        <v>93</v>
      </c>
      <c r="B43" s="24" t="s">
        <v>436</v>
      </c>
      <c r="C43" s="25" t="s">
        <v>615</v>
      </c>
      <c r="D43" s="26">
        <v>18.8</v>
      </c>
      <c r="E43" s="34" t="s">
        <v>39</v>
      </c>
      <c r="F43" s="27" t="s">
        <v>617</v>
      </c>
      <c r="G43" s="28"/>
      <c r="H43" s="28"/>
      <c r="I43" s="24">
        <v>12</v>
      </c>
      <c r="J43" s="24" t="s">
        <v>33</v>
      </c>
      <c r="K43" s="24" t="s">
        <v>618</v>
      </c>
      <c r="L43" s="24" t="str">
        <f t="shared" si="0"/>
        <v>Normal</v>
      </c>
      <c r="M43" s="23">
        <v>13.458399999999999</v>
      </c>
      <c r="N43" s="23">
        <f t="shared" si="1"/>
        <v>13.458399999999999</v>
      </c>
      <c r="O43" s="24" t="s">
        <v>619</v>
      </c>
      <c r="P43" s="23">
        <v>0.57599999999999996</v>
      </c>
      <c r="Q43" s="29">
        <v>1.0515000000000001</v>
      </c>
      <c r="R43" s="29"/>
      <c r="S43" s="24" t="s">
        <v>618</v>
      </c>
      <c r="T43" s="24" t="str">
        <f t="shared" si="2"/>
        <v>Upper censored</v>
      </c>
      <c r="U43" s="24" t="s">
        <v>35</v>
      </c>
      <c r="V43" s="24" t="str">
        <f t="shared" si="3"/>
        <v/>
      </c>
      <c r="W43" s="24" t="s">
        <v>619</v>
      </c>
      <c r="X43" s="23">
        <v>0.56999999999999995</v>
      </c>
      <c r="Y43" s="23">
        <v>6.0571000000000002</v>
      </c>
      <c r="Z43" s="23"/>
      <c r="AA43" s="24" t="s">
        <v>619</v>
      </c>
      <c r="AB43" s="24" t="str">
        <f t="shared" si="4"/>
        <v>Upper censored</v>
      </c>
      <c r="AC43" s="23" t="s">
        <v>35</v>
      </c>
      <c r="AD43" s="23" t="s">
        <v>561</v>
      </c>
      <c r="AE43" s="23" t="str">
        <f t="shared" si="5"/>
        <v/>
      </c>
      <c r="AF43" s="23"/>
      <c r="AG43" s="23" t="str">
        <f t="shared" si="6"/>
        <v/>
      </c>
      <c r="AH43" s="24" t="s">
        <v>619</v>
      </c>
      <c r="AI43" s="23">
        <v>2.605</v>
      </c>
      <c r="AJ43" s="23">
        <v>3.0670000000000002</v>
      </c>
      <c r="AK43" s="23"/>
      <c r="AL43" s="24" t="s">
        <v>619</v>
      </c>
      <c r="AM43" s="24">
        <v>210</v>
      </c>
      <c r="AN43" s="24">
        <v>0</v>
      </c>
      <c r="AO43" s="24">
        <f t="shared" si="7"/>
        <v>120</v>
      </c>
    </row>
    <row r="44" spans="1:41" x14ac:dyDescent="0.3">
      <c r="A44" s="24" t="s">
        <v>94</v>
      </c>
      <c r="B44" s="24" t="s">
        <v>614</v>
      </c>
      <c r="C44" s="30" t="s">
        <v>616</v>
      </c>
      <c r="D44" s="26">
        <v>18.2</v>
      </c>
      <c r="E44" s="34" t="s">
        <v>39</v>
      </c>
      <c r="F44" s="27" t="s">
        <v>617</v>
      </c>
      <c r="G44" s="28"/>
      <c r="H44" s="28"/>
      <c r="I44" s="24">
        <v>15</v>
      </c>
      <c r="J44" s="24" t="s">
        <v>43</v>
      </c>
      <c r="K44" s="24" t="s">
        <v>619</v>
      </c>
      <c r="L44" s="24" t="str">
        <f t="shared" si="0"/>
        <v>Normal</v>
      </c>
      <c r="M44" s="23">
        <v>15.814</v>
      </c>
      <c r="N44" s="23">
        <f t="shared" si="1"/>
        <v>15.814</v>
      </c>
      <c r="O44" s="24" t="s">
        <v>619</v>
      </c>
      <c r="P44" s="23">
        <v>0.71199999999999997</v>
      </c>
      <c r="Q44" s="29">
        <v>0.4642</v>
      </c>
      <c r="R44" s="29"/>
      <c r="S44" s="24" t="s">
        <v>618</v>
      </c>
      <c r="T44" s="24" t="str">
        <f t="shared" si="2"/>
        <v>Technical failure</v>
      </c>
      <c r="U44" s="24" t="s">
        <v>44</v>
      </c>
      <c r="V44" s="24" t="str">
        <f t="shared" si="3"/>
        <v/>
      </c>
      <c r="W44" s="24" t="s">
        <v>620</v>
      </c>
      <c r="X44" s="23">
        <v>3.4620000000000002</v>
      </c>
      <c r="Y44" s="23">
        <v>0.54930000000000001</v>
      </c>
      <c r="Z44" s="23"/>
      <c r="AA44" s="24" t="s">
        <v>618</v>
      </c>
      <c r="AB44" s="24" t="str">
        <f t="shared" si="4"/>
        <v>Upper censored</v>
      </c>
      <c r="AC44" s="23" t="s">
        <v>35</v>
      </c>
      <c r="AD44" s="23" t="s">
        <v>561</v>
      </c>
      <c r="AE44" s="23" t="str">
        <f t="shared" si="5"/>
        <v/>
      </c>
      <c r="AF44" s="23"/>
      <c r="AG44" s="23" t="str">
        <f t="shared" si="6"/>
        <v/>
      </c>
      <c r="AH44" s="24" t="s">
        <v>619</v>
      </c>
      <c r="AI44" s="23">
        <v>2.835</v>
      </c>
      <c r="AJ44" s="23">
        <v>6.2375999999999996</v>
      </c>
      <c r="AK44" s="23"/>
      <c r="AL44" s="24" t="s">
        <v>619</v>
      </c>
      <c r="AM44" s="24">
        <v>210</v>
      </c>
      <c r="AN44" s="24">
        <v>0</v>
      </c>
      <c r="AO44" s="24">
        <f t="shared" si="7"/>
        <v>120</v>
      </c>
    </row>
    <row r="45" spans="1:41" x14ac:dyDescent="0.3">
      <c r="A45" s="24" t="s">
        <v>95</v>
      </c>
      <c r="B45" s="24" t="s">
        <v>614</v>
      </c>
      <c r="C45" s="25" t="s">
        <v>616</v>
      </c>
      <c r="D45" s="26">
        <v>15.9</v>
      </c>
      <c r="E45" s="34" t="s">
        <v>39</v>
      </c>
      <c r="F45" s="27" t="s">
        <v>617</v>
      </c>
      <c r="G45" s="28"/>
      <c r="H45" s="28"/>
      <c r="I45" s="24">
        <v>12</v>
      </c>
      <c r="J45" s="24" t="s">
        <v>33</v>
      </c>
      <c r="K45" s="24" t="s">
        <v>619</v>
      </c>
      <c r="L45" s="24" t="str">
        <f t="shared" si="0"/>
        <v>Normal</v>
      </c>
      <c r="M45" s="23">
        <v>16.281400000000001</v>
      </c>
      <c r="N45" s="23">
        <f t="shared" si="1"/>
        <v>16.281400000000001</v>
      </c>
      <c r="O45" s="24" t="s">
        <v>619</v>
      </c>
      <c r="P45" s="23">
        <v>0.71599999999999997</v>
      </c>
      <c r="Q45" s="29">
        <v>4.4161000000000001</v>
      </c>
      <c r="R45" s="29"/>
      <c r="S45" s="24" t="s">
        <v>619</v>
      </c>
      <c r="T45" s="24" t="str">
        <f t="shared" si="2"/>
        <v>Upper censored</v>
      </c>
      <c r="U45" s="24" t="s">
        <v>35</v>
      </c>
      <c r="V45" s="24" t="str">
        <f t="shared" si="3"/>
        <v/>
      </c>
      <c r="W45" s="24" t="s">
        <v>619</v>
      </c>
      <c r="X45" s="23">
        <v>2.6890000000000001</v>
      </c>
      <c r="Y45" s="23">
        <v>5.9366000000000003</v>
      </c>
      <c r="Z45" s="23"/>
      <c r="AA45" s="24" t="s">
        <v>619</v>
      </c>
      <c r="AB45" s="24" t="str">
        <f t="shared" si="4"/>
        <v>Upper censored</v>
      </c>
      <c r="AC45" s="23" t="s">
        <v>35</v>
      </c>
      <c r="AD45" s="23" t="s">
        <v>561</v>
      </c>
      <c r="AE45" s="23" t="str">
        <f t="shared" si="5"/>
        <v/>
      </c>
      <c r="AF45" s="23"/>
      <c r="AG45" s="23" t="str">
        <f t="shared" si="6"/>
        <v/>
      </c>
      <c r="AH45" s="24" t="s">
        <v>619</v>
      </c>
      <c r="AI45" s="23">
        <v>3.1549999999999998</v>
      </c>
      <c r="AJ45" s="23">
        <v>3.7700999999999998</v>
      </c>
      <c r="AK45" s="23"/>
      <c r="AL45" s="24" t="s">
        <v>619</v>
      </c>
      <c r="AM45" s="24"/>
      <c r="AN45" s="24"/>
      <c r="AO45" s="24" t="str">
        <f t="shared" si="7"/>
        <v/>
      </c>
    </row>
    <row r="46" spans="1:41" x14ac:dyDescent="0.3">
      <c r="A46" s="24" t="s">
        <v>96</v>
      </c>
      <c r="B46" s="24" t="s">
        <v>614</v>
      </c>
      <c r="C46" s="30"/>
      <c r="D46" s="26">
        <v>16.5</v>
      </c>
      <c r="E46" s="34" t="s">
        <v>39</v>
      </c>
      <c r="F46" s="27" t="s">
        <v>617</v>
      </c>
      <c r="G46" s="28"/>
      <c r="H46" s="28"/>
      <c r="I46" s="24">
        <v>12</v>
      </c>
      <c r="J46" s="24" t="s">
        <v>33</v>
      </c>
      <c r="K46" s="24" t="s">
        <v>619</v>
      </c>
      <c r="L46" s="24" t="str">
        <f t="shared" si="0"/>
        <v>Normal</v>
      </c>
      <c r="M46" s="23">
        <v>17.751899999999999</v>
      </c>
      <c r="N46" s="23">
        <f t="shared" si="1"/>
        <v>17.751899999999999</v>
      </c>
      <c r="O46" s="24" t="s">
        <v>619</v>
      </c>
      <c r="P46" s="23">
        <v>0.78700000000000003</v>
      </c>
      <c r="Q46" s="29">
        <v>0.60909999999999997</v>
      </c>
      <c r="R46" s="29"/>
      <c r="S46" s="24" t="s">
        <v>618</v>
      </c>
      <c r="T46" s="24" t="str">
        <f t="shared" si="2"/>
        <v>Upper censored</v>
      </c>
      <c r="U46" s="24" t="s">
        <v>35</v>
      </c>
      <c r="V46" s="24" t="str">
        <f t="shared" si="3"/>
        <v/>
      </c>
      <c r="W46" s="24" t="s">
        <v>619</v>
      </c>
      <c r="X46" s="23">
        <v>3.5</v>
      </c>
      <c r="Y46" s="23">
        <v>0.37219999999999998</v>
      </c>
      <c r="Z46" s="23"/>
      <c r="AA46" s="24" t="s">
        <v>618</v>
      </c>
      <c r="AB46" s="24" t="str">
        <f t="shared" si="4"/>
        <v>Upper censored</v>
      </c>
      <c r="AC46" s="23" t="s">
        <v>35</v>
      </c>
      <c r="AD46" s="23" t="s">
        <v>561</v>
      </c>
      <c r="AE46" s="23" t="str">
        <f t="shared" si="5"/>
        <v/>
      </c>
      <c r="AF46" s="23"/>
      <c r="AG46" s="23" t="str">
        <f t="shared" si="6"/>
        <v/>
      </c>
      <c r="AH46" s="24" t="s">
        <v>619</v>
      </c>
      <c r="AI46" s="23">
        <v>2.1179999999999999</v>
      </c>
      <c r="AJ46" s="23">
        <v>5.7107000000000001</v>
      </c>
      <c r="AK46" s="23"/>
      <c r="AL46" s="24" t="s">
        <v>618</v>
      </c>
      <c r="AM46" s="24">
        <v>210</v>
      </c>
      <c r="AN46" s="24">
        <v>0</v>
      </c>
      <c r="AO46" s="24">
        <f t="shared" si="7"/>
        <v>120</v>
      </c>
    </row>
    <row r="47" spans="1:41" x14ac:dyDescent="0.3">
      <c r="A47" s="24" t="s">
        <v>97</v>
      </c>
      <c r="B47" s="24" t="s">
        <v>614</v>
      </c>
      <c r="C47" s="25"/>
      <c r="D47" s="26">
        <v>21</v>
      </c>
      <c r="E47" s="34" t="s">
        <v>39</v>
      </c>
      <c r="F47" s="27" t="s">
        <v>617</v>
      </c>
      <c r="G47" s="28"/>
      <c r="H47" s="28"/>
      <c r="I47" s="24">
        <v>15</v>
      </c>
      <c r="J47" s="24" t="s">
        <v>43</v>
      </c>
      <c r="K47" s="24" t="s">
        <v>618</v>
      </c>
      <c r="L47" s="24" t="str">
        <f t="shared" si="0"/>
        <v>Normal</v>
      </c>
      <c r="M47" s="23">
        <v>18.718599999999999</v>
      </c>
      <c r="N47" s="23">
        <f t="shared" si="1"/>
        <v>18.718599999999999</v>
      </c>
      <c r="O47" s="24" t="s">
        <v>619</v>
      </c>
      <c r="P47" s="23">
        <v>0.81299999999999994</v>
      </c>
      <c r="Q47" s="29">
        <v>4.1943000000000001</v>
      </c>
      <c r="R47" s="29"/>
      <c r="S47" s="24" t="s">
        <v>619</v>
      </c>
      <c r="T47" s="24" t="str">
        <f t="shared" si="2"/>
        <v>Upper censored</v>
      </c>
      <c r="U47" s="24" t="s">
        <v>35</v>
      </c>
      <c r="V47" s="24" t="str">
        <f t="shared" si="3"/>
        <v/>
      </c>
      <c r="W47" s="24" t="s">
        <v>619</v>
      </c>
      <c r="X47" s="23">
        <v>2.7930000000000001</v>
      </c>
      <c r="Y47" s="23">
        <v>5.7367999999999997</v>
      </c>
      <c r="Z47" s="23"/>
      <c r="AA47" s="24" t="s">
        <v>619</v>
      </c>
      <c r="AB47" s="24" t="str">
        <f t="shared" si="4"/>
        <v>Not tested</v>
      </c>
      <c r="AC47" s="23" t="s">
        <v>44</v>
      </c>
      <c r="AD47" s="23" t="s">
        <v>561</v>
      </c>
      <c r="AE47" s="23" t="str">
        <f t="shared" si="5"/>
        <v/>
      </c>
      <c r="AF47" s="23"/>
      <c r="AG47" s="23" t="str">
        <f t="shared" si="6"/>
        <v/>
      </c>
      <c r="AH47" s="24" t="s">
        <v>620</v>
      </c>
      <c r="AI47" s="23">
        <v>1.61</v>
      </c>
      <c r="AJ47" s="23">
        <v>2.7349000000000001</v>
      </c>
      <c r="AK47" s="23"/>
      <c r="AL47" s="24" t="s">
        <v>619</v>
      </c>
      <c r="AM47" s="24">
        <v>210</v>
      </c>
      <c r="AN47" s="24">
        <v>0</v>
      </c>
      <c r="AO47" s="24" t="str">
        <f t="shared" si="7"/>
        <v/>
      </c>
    </row>
    <row r="48" spans="1:41" x14ac:dyDescent="0.3">
      <c r="A48" s="24" t="s">
        <v>98</v>
      </c>
      <c r="B48" s="24" t="s">
        <v>614</v>
      </c>
      <c r="C48" s="30" t="s">
        <v>616</v>
      </c>
      <c r="D48" s="26">
        <v>19.2</v>
      </c>
      <c r="E48" s="34" t="s">
        <v>39</v>
      </c>
      <c r="F48" s="27" t="s">
        <v>617</v>
      </c>
      <c r="G48" s="28"/>
      <c r="H48" s="28"/>
      <c r="I48" s="24">
        <v>12</v>
      </c>
      <c r="J48" s="24" t="s">
        <v>33</v>
      </c>
      <c r="K48" s="24" t="s">
        <v>619</v>
      </c>
      <c r="L48" s="24" t="str">
        <f t="shared" si="0"/>
        <v>Normal</v>
      </c>
      <c r="M48" s="23">
        <v>20.1524</v>
      </c>
      <c r="N48" s="23">
        <f t="shared" si="1"/>
        <v>20.1524</v>
      </c>
      <c r="O48" s="24" t="s">
        <v>619</v>
      </c>
      <c r="P48" s="23">
        <v>0.878</v>
      </c>
      <c r="Q48" s="29">
        <v>0.61070000000000002</v>
      </c>
      <c r="R48" s="29"/>
      <c r="S48" s="24" t="s">
        <v>618</v>
      </c>
      <c r="T48" s="24" t="str">
        <f t="shared" si="2"/>
        <v>Upper censored</v>
      </c>
      <c r="U48" s="24" t="s">
        <v>35</v>
      </c>
      <c r="V48" s="24" t="str">
        <f t="shared" si="3"/>
        <v/>
      </c>
      <c r="W48" s="24" t="s">
        <v>619</v>
      </c>
      <c r="X48" s="23">
        <v>7.3800000000000004E-2</v>
      </c>
      <c r="Y48" s="23">
        <v>6.2152000000000003</v>
      </c>
      <c r="Z48" s="23"/>
      <c r="AA48" s="24" t="s">
        <v>619</v>
      </c>
      <c r="AB48" s="24" t="str">
        <f t="shared" si="4"/>
        <v>Not tested</v>
      </c>
      <c r="AC48" s="24" t="s">
        <v>44</v>
      </c>
      <c r="AD48" s="23" t="s">
        <v>561</v>
      </c>
      <c r="AE48" s="23" t="str">
        <f t="shared" si="5"/>
        <v/>
      </c>
      <c r="AF48" s="24"/>
      <c r="AG48" s="23" t="str">
        <f t="shared" si="6"/>
        <v/>
      </c>
      <c r="AH48" s="24" t="s">
        <v>620</v>
      </c>
      <c r="AI48" s="23">
        <v>2.9790000000000001</v>
      </c>
      <c r="AJ48" s="23">
        <v>4.9855</v>
      </c>
      <c r="AK48" s="23"/>
      <c r="AL48" s="24" t="s">
        <v>619</v>
      </c>
      <c r="AM48" s="24">
        <v>210</v>
      </c>
      <c r="AN48" s="24">
        <v>0</v>
      </c>
      <c r="AO48" s="24" t="str">
        <f t="shared" si="7"/>
        <v/>
      </c>
    </row>
    <row r="49" spans="1:41" x14ac:dyDescent="0.3">
      <c r="A49" s="24" t="s">
        <v>99</v>
      </c>
      <c r="B49" s="24" t="s">
        <v>436</v>
      </c>
      <c r="C49" s="25" t="s">
        <v>616</v>
      </c>
      <c r="D49" s="26">
        <v>20.8</v>
      </c>
      <c r="E49" s="34" t="s">
        <v>39</v>
      </c>
      <c r="F49" s="27" t="s">
        <v>617</v>
      </c>
      <c r="G49" s="28"/>
      <c r="H49" s="28"/>
      <c r="I49" s="24">
        <v>15</v>
      </c>
      <c r="J49" s="24" t="s">
        <v>43</v>
      </c>
      <c r="K49" s="24" t="s">
        <v>619</v>
      </c>
      <c r="L49" s="24" t="str">
        <f t="shared" si="0"/>
        <v>Normal</v>
      </c>
      <c r="M49" s="23">
        <v>24.3443</v>
      </c>
      <c r="N49" s="23">
        <f t="shared" si="1"/>
        <v>24.3443</v>
      </c>
      <c r="O49" s="24" t="s">
        <v>619</v>
      </c>
      <c r="P49" s="23">
        <v>0.93400000000000005</v>
      </c>
      <c r="Q49" s="29">
        <v>0.21759999999999999</v>
      </c>
      <c r="R49" s="29">
        <v>0.25269999999999998</v>
      </c>
      <c r="S49" s="24" t="s">
        <v>618</v>
      </c>
      <c r="T49" s="24" t="str">
        <f t="shared" si="2"/>
        <v>Technical failure</v>
      </c>
      <c r="U49" s="24" t="s">
        <v>44</v>
      </c>
      <c r="V49" s="24" t="str">
        <f t="shared" si="3"/>
        <v/>
      </c>
      <c r="W49" s="24" t="s">
        <v>620</v>
      </c>
      <c r="X49" s="23">
        <v>2.4169999999999998</v>
      </c>
      <c r="Y49" s="23">
        <v>4.2184999999999997</v>
      </c>
      <c r="Z49" s="23"/>
      <c r="AA49" s="24" t="s">
        <v>619</v>
      </c>
      <c r="AB49" s="24" t="str">
        <f t="shared" si="4"/>
        <v>Upper censored</v>
      </c>
      <c r="AC49" s="23" t="s">
        <v>35</v>
      </c>
      <c r="AD49" s="23" t="s">
        <v>561</v>
      </c>
      <c r="AE49" s="23" t="str">
        <f t="shared" si="5"/>
        <v/>
      </c>
      <c r="AF49" s="23"/>
      <c r="AG49" s="23" t="str">
        <f t="shared" si="6"/>
        <v/>
      </c>
      <c r="AH49" s="24" t="s">
        <v>619</v>
      </c>
      <c r="AI49" s="23">
        <v>1.218</v>
      </c>
      <c r="AJ49" s="23">
        <v>1.3463000000000001</v>
      </c>
      <c r="AK49" s="23">
        <v>1.3073999999999999</v>
      </c>
      <c r="AL49" s="24" t="s">
        <v>619</v>
      </c>
      <c r="AM49" s="24">
        <v>210</v>
      </c>
      <c r="AN49" s="24">
        <v>0</v>
      </c>
      <c r="AO49" s="24">
        <f t="shared" si="7"/>
        <v>120</v>
      </c>
    </row>
    <row r="50" spans="1:41" x14ac:dyDescent="0.3">
      <c r="A50" s="24" t="s">
        <v>102</v>
      </c>
      <c r="B50" s="24" t="s">
        <v>614</v>
      </c>
      <c r="C50" s="25" t="s">
        <v>616</v>
      </c>
      <c r="D50" s="26">
        <v>21.6</v>
      </c>
      <c r="E50" s="34" t="s">
        <v>39</v>
      </c>
      <c r="F50" s="27" t="s">
        <v>617</v>
      </c>
      <c r="G50" s="28"/>
      <c r="H50" s="28"/>
      <c r="I50" s="24">
        <v>14</v>
      </c>
      <c r="J50" s="24" t="s">
        <v>43</v>
      </c>
      <c r="K50" s="24" t="s">
        <v>619</v>
      </c>
      <c r="L50" s="24" t="str">
        <f t="shared" si="0"/>
        <v>Normal</v>
      </c>
      <c r="M50" s="23">
        <v>26.8306</v>
      </c>
      <c r="N50" s="23">
        <f t="shared" si="1"/>
        <v>26.8306</v>
      </c>
      <c r="O50" s="24" t="s">
        <v>619</v>
      </c>
      <c r="P50" s="23">
        <v>1.04</v>
      </c>
      <c r="Q50" s="29">
        <v>0.3538</v>
      </c>
      <c r="R50" s="29"/>
      <c r="S50" s="24" t="s">
        <v>618</v>
      </c>
      <c r="T50" s="24" t="str">
        <f t="shared" si="2"/>
        <v>Normal</v>
      </c>
      <c r="U50" s="24">
        <v>19.379799999999999</v>
      </c>
      <c r="V50" s="24">
        <f t="shared" si="3"/>
        <v>19.379799999999999</v>
      </c>
      <c r="W50" s="24" t="s">
        <v>619</v>
      </c>
      <c r="X50" s="23">
        <v>2.9079999999999999</v>
      </c>
      <c r="Y50" s="23">
        <v>3.7195999999999998</v>
      </c>
      <c r="Z50" s="23"/>
      <c r="AA50" s="24" t="s">
        <v>619</v>
      </c>
      <c r="AB50" s="24" t="str">
        <f t="shared" si="4"/>
        <v>Normal</v>
      </c>
      <c r="AC50" s="23">
        <v>114731</v>
      </c>
      <c r="AD50" s="23">
        <v>11.473100000000001</v>
      </c>
      <c r="AE50" s="23" t="str">
        <f t="shared" si="5"/>
        <v/>
      </c>
      <c r="AF50" s="23"/>
      <c r="AG50" s="23" t="str">
        <f t="shared" si="6"/>
        <v/>
      </c>
      <c r="AH50" s="24" t="s">
        <v>619</v>
      </c>
      <c r="AI50" s="23">
        <v>2.2480000000000002</v>
      </c>
      <c r="AJ50" s="23">
        <v>1.3607</v>
      </c>
      <c r="AK50" s="23"/>
      <c r="AL50" s="24" t="s">
        <v>619</v>
      </c>
      <c r="AM50" s="24"/>
      <c r="AN50" s="24"/>
      <c r="AO50" s="24" t="str">
        <f t="shared" si="7"/>
        <v/>
      </c>
    </row>
    <row r="51" spans="1:41" x14ac:dyDescent="0.3">
      <c r="A51" s="24" t="s">
        <v>103</v>
      </c>
      <c r="B51" s="24" t="s">
        <v>614</v>
      </c>
      <c r="C51" s="25"/>
      <c r="D51" s="26">
        <v>24.2</v>
      </c>
      <c r="E51" s="34" t="s">
        <v>31</v>
      </c>
      <c r="F51" s="27" t="s">
        <v>617</v>
      </c>
      <c r="G51" s="28"/>
      <c r="H51" s="28"/>
      <c r="I51" s="24">
        <v>12</v>
      </c>
      <c r="J51" s="24" t="s">
        <v>33</v>
      </c>
      <c r="K51" s="24" t="s">
        <v>619</v>
      </c>
      <c r="L51" s="24" t="str">
        <f t="shared" si="0"/>
        <v>Normal</v>
      </c>
      <c r="M51" s="23">
        <v>31.6952</v>
      </c>
      <c r="N51" s="23">
        <f t="shared" si="1"/>
        <v>31.6952</v>
      </c>
      <c r="O51" s="24" t="s">
        <v>619</v>
      </c>
      <c r="P51" s="23">
        <v>1.181</v>
      </c>
      <c r="Q51" s="29">
        <v>9.7299999999999998E-2</v>
      </c>
      <c r="R51" s="29"/>
      <c r="S51" s="24" t="s">
        <v>618</v>
      </c>
      <c r="T51" s="24" t="str">
        <f t="shared" si="2"/>
        <v>Technical failure</v>
      </c>
      <c r="U51" s="24" t="s">
        <v>44</v>
      </c>
      <c r="V51" s="24" t="str">
        <f t="shared" si="3"/>
        <v/>
      </c>
      <c r="W51" s="24" t="s">
        <v>620</v>
      </c>
      <c r="X51" s="23">
        <v>3.3610000000000002</v>
      </c>
      <c r="Y51" s="23">
        <v>3.6427</v>
      </c>
      <c r="Z51" s="23"/>
      <c r="AA51" s="24" t="s">
        <v>619</v>
      </c>
      <c r="AB51" s="24" t="str">
        <f t="shared" si="4"/>
        <v>Upper censored</v>
      </c>
      <c r="AC51" s="23" t="s">
        <v>35</v>
      </c>
      <c r="AD51" s="23" t="s">
        <v>561</v>
      </c>
      <c r="AE51" s="23" t="str">
        <f t="shared" si="5"/>
        <v/>
      </c>
      <c r="AF51" s="23"/>
      <c r="AG51" s="23" t="str">
        <f t="shared" si="6"/>
        <v/>
      </c>
      <c r="AH51" s="23" t="s">
        <v>619</v>
      </c>
      <c r="AI51" s="23">
        <v>2.8079999999999998</v>
      </c>
      <c r="AJ51" s="23">
        <v>1.95</v>
      </c>
      <c r="AK51" s="23"/>
      <c r="AL51" s="23" t="s">
        <v>619</v>
      </c>
      <c r="AM51" s="24">
        <v>210</v>
      </c>
      <c r="AN51" s="24">
        <v>0</v>
      </c>
      <c r="AO51" s="24">
        <f t="shared" si="7"/>
        <v>120</v>
      </c>
    </row>
    <row r="52" spans="1:41" x14ac:dyDescent="0.3">
      <c r="A52" s="24" t="s">
        <v>104</v>
      </c>
      <c r="B52" s="24" t="s">
        <v>614</v>
      </c>
      <c r="C52" s="30"/>
      <c r="D52" s="26">
        <v>15.5</v>
      </c>
      <c r="E52" s="34" t="s">
        <v>39</v>
      </c>
      <c r="F52" s="27" t="s">
        <v>617</v>
      </c>
      <c r="G52" s="28"/>
      <c r="H52" s="28"/>
      <c r="I52" s="24">
        <v>11</v>
      </c>
      <c r="J52" s="24" t="s">
        <v>33</v>
      </c>
      <c r="K52" s="24" t="s">
        <v>619</v>
      </c>
      <c r="L52" s="24" t="str">
        <f t="shared" si="0"/>
        <v>Normal</v>
      </c>
      <c r="M52" s="23">
        <v>32.1524</v>
      </c>
      <c r="N52" s="23">
        <f t="shared" si="1"/>
        <v>32.1524</v>
      </c>
      <c r="O52" s="24" t="s">
        <v>619</v>
      </c>
      <c r="P52" s="23">
        <v>1.1930000000000001</v>
      </c>
      <c r="Q52" s="29">
        <v>0.1726</v>
      </c>
      <c r="R52" s="29"/>
      <c r="S52" s="24" t="s">
        <v>618</v>
      </c>
      <c r="T52" s="24" t="str">
        <f t="shared" si="2"/>
        <v>Technical failure</v>
      </c>
      <c r="U52" s="24" t="s">
        <v>44</v>
      </c>
      <c r="V52" s="24" t="str">
        <f t="shared" si="3"/>
        <v/>
      </c>
      <c r="W52" s="24" t="s">
        <v>620</v>
      </c>
      <c r="X52" s="23">
        <v>1.0920000000000001</v>
      </c>
      <c r="Y52" s="23">
        <v>3.5628000000000002</v>
      </c>
      <c r="Z52" s="23"/>
      <c r="AA52" s="24" t="s">
        <v>619</v>
      </c>
      <c r="AB52" s="24" t="str">
        <f t="shared" si="4"/>
        <v>Not tested</v>
      </c>
      <c r="AC52" s="24" t="s">
        <v>44</v>
      </c>
      <c r="AD52" s="23" t="s">
        <v>561</v>
      </c>
      <c r="AE52" s="23" t="str">
        <f t="shared" si="5"/>
        <v/>
      </c>
      <c r="AF52" s="24"/>
      <c r="AG52" s="23" t="str">
        <f t="shared" si="6"/>
        <v/>
      </c>
      <c r="AH52" s="24" t="s">
        <v>620</v>
      </c>
      <c r="AI52" s="23">
        <v>3.452</v>
      </c>
      <c r="AJ52" s="23">
        <v>1.2562</v>
      </c>
      <c r="AK52" s="23"/>
      <c r="AL52" s="24" t="s">
        <v>619</v>
      </c>
      <c r="AM52" s="24">
        <v>210</v>
      </c>
      <c r="AN52" s="24">
        <v>0</v>
      </c>
      <c r="AO52" s="24" t="str">
        <f t="shared" si="7"/>
        <v/>
      </c>
    </row>
    <row r="53" spans="1:41" x14ac:dyDescent="0.3">
      <c r="A53" s="24" t="s">
        <v>105</v>
      </c>
      <c r="B53" s="24" t="s">
        <v>436</v>
      </c>
      <c r="C53" s="25" t="s">
        <v>616</v>
      </c>
      <c r="D53" s="26">
        <v>15.9</v>
      </c>
      <c r="E53" s="34" t="s">
        <v>39</v>
      </c>
      <c r="F53" s="27" t="s">
        <v>617</v>
      </c>
      <c r="G53" s="28"/>
      <c r="H53" s="28"/>
      <c r="I53" s="24">
        <v>12</v>
      </c>
      <c r="J53" s="24" t="s">
        <v>33</v>
      </c>
      <c r="K53" s="24" t="s">
        <v>619</v>
      </c>
      <c r="L53" s="24" t="str">
        <f t="shared" si="0"/>
        <v>Normal</v>
      </c>
      <c r="M53" s="23">
        <v>28.619599999999998</v>
      </c>
      <c r="N53" s="23">
        <f t="shared" si="1"/>
        <v>28.619599999999998</v>
      </c>
      <c r="O53" s="24" t="s">
        <v>619</v>
      </c>
      <c r="P53" s="23">
        <v>1.196</v>
      </c>
      <c r="Q53" s="29">
        <v>6.3299999999999995E-2</v>
      </c>
      <c r="R53" s="29"/>
      <c r="S53" s="24" t="s">
        <v>618</v>
      </c>
      <c r="T53" s="24" t="str">
        <f t="shared" si="2"/>
        <v>Upper censored</v>
      </c>
      <c r="U53" s="24" t="s">
        <v>35</v>
      </c>
      <c r="V53" s="24" t="str">
        <f t="shared" si="3"/>
        <v/>
      </c>
      <c r="W53" s="24" t="s">
        <v>619</v>
      </c>
      <c r="X53" s="23">
        <v>3.3340000000000001</v>
      </c>
      <c r="Y53" s="23">
        <v>1.8589</v>
      </c>
      <c r="Z53" s="23"/>
      <c r="AA53" s="24" t="s">
        <v>619</v>
      </c>
      <c r="AB53" s="24" t="str">
        <f t="shared" si="4"/>
        <v>Upper censored</v>
      </c>
      <c r="AC53" s="23" t="s">
        <v>35</v>
      </c>
      <c r="AD53" s="23" t="s">
        <v>561</v>
      </c>
      <c r="AE53" s="23" t="str">
        <f t="shared" si="5"/>
        <v/>
      </c>
      <c r="AF53" s="23"/>
      <c r="AG53" s="23" t="str">
        <f t="shared" si="6"/>
        <v/>
      </c>
      <c r="AH53" s="24" t="s">
        <v>619</v>
      </c>
      <c r="AI53" s="23">
        <v>2.0750000000000002</v>
      </c>
      <c r="AJ53" s="23">
        <v>0.6472</v>
      </c>
      <c r="AK53" s="23"/>
      <c r="AL53" s="24" t="s">
        <v>618</v>
      </c>
      <c r="AM53" s="24">
        <v>210</v>
      </c>
      <c r="AN53" s="24">
        <v>0</v>
      </c>
      <c r="AO53" s="24">
        <f t="shared" si="7"/>
        <v>120</v>
      </c>
    </row>
    <row r="54" spans="1:41" x14ac:dyDescent="0.3">
      <c r="A54" s="24" t="s">
        <v>106</v>
      </c>
      <c r="B54" s="24" t="s">
        <v>436</v>
      </c>
      <c r="C54" s="30" t="s">
        <v>615</v>
      </c>
      <c r="D54" s="26">
        <v>18.2</v>
      </c>
      <c r="E54" s="34" t="s">
        <v>39</v>
      </c>
      <c r="F54" s="27" t="s">
        <v>617</v>
      </c>
      <c r="G54" s="28"/>
      <c r="H54" s="28"/>
      <c r="I54" s="24">
        <v>15</v>
      </c>
      <c r="J54" s="24" t="s">
        <v>43</v>
      </c>
      <c r="K54" s="24" t="s">
        <v>619</v>
      </c>
      <c r="L54" s="24" t="str">
        <f t="shared" si="0"/>
        <v>Normal</v>
      </c>
      <c r="M54" s="23">
        <v>33.295200000000001</v>
      </c>
      <c r="N54" s="23">
        <f t="shared" si="1"/>
        <v>33.295200000000001</v>
      </c>
      <c r="O54" s="24" t="s">
        <v>619</v>
      </c>
      <c r="P54" s="23">
        <v>1.2230000000000001</v>
      </c>
      <c r="Q54" s="29">
        <v>6.5100000000000005E-2</v>
      </c>
      <c r="R54" s="29"/>
      <c r="S54" s="24" t="s">
        <v>618</v>
      </c>
      <c r="T54" s="24" t="str">
        <f t="shared" si="2"/>
        <v>Technical failure</v>
      </c>
      <c r="U54" s="24" t="s">
        <v>44</v>
      </c>
      <c r="V54" s="24" t="str">
        <f t="shared" si="3"/>
        <v/>
      </c>
      <c r="W54" s="24" t="s">
        <v>620</v>
      </c>
      <c r="X54" s="23">
        <v>2.9809999999999999</v>
      </c>
      <c r="Y54" s="23">
        <v>0.96860000000000002</v>
      </c>
      <c r="Z54" s="23"/>
      <c r="AA54" s="24" t="s">
        <v>618</v>
      </c>
      <c r="AB54" s="24" t="str">
        <f t="shared" si="4"/>
        <v>Not tested</v>
      </c>
      <c r="AC54" s="23" t="s">
        <v>44</v>
      </c>
      <c r="AD54" s="23" t="s">
        <v>561</v>
      </c>
      <c r="AE54" s="23" t="str">
        <f t="shared" si="5"/>
        <v/>
      </c>
      <c r="AF54" s="23"/>
      <c r="AG54" s="23" t="str">
        <f t="shared" si="6"/>
        <v/>
      </c>
      <c r="AH54" s="24" t="s">
        <v>620</v>
      </c>
      <c r="AI54" s="23">
        <v>2.4689999999999999</v>
      </c>
      <c r="AJ54" s="23">
        <v>3.6941999999999999</v>
      </c>
      <c r="AK54" s="23"/>
      <c r="AL54" s="24" t="s">
        <v>619</v>
      </c>
      <c r="AM54" s="24">
        <v>210</v>
      </c>
      <c r="AN54" s="24">
        <v>0</v>
      </c>
      <c r="AO54" s="24" t="str">
        <f t="shared" si="7"/>
        <v/>
      </c>
    </row>
    <row r="55" spans="1:41" x14ac:dyDescent="0.3">
      <c r="A55" s="24" t="s">
        <v>107</v>
      </c>
      <c r="B55" s="24" t="s">
        <v>436</v>
      </c>
      <c r="C55" s="25"/>
      <c r="D55" s="26">
        <v>17.2</v>
      </c>
      <c r="E55" s="34" t="s">
        <v>39</v>
      </c>
      <c r="F55" s="27" t="s">
        <v>617</v>
      </c>
      <c r="G55" s="28"/>
      <c r="H55" s="28"/>
      <c r="I55" s="24">
        <v>12</v>
      </c>
      <c r="J55" s="24" t="s">
        <v>33</v>
      </c>
      <c r="K55" s="24" t="s">
        <v>618</v>
      </c>
      <c r="L55" s="24" t="str">
        <f t="shared" si="0"/>
        <v>Normal</v>
      </c>
      <c r="M55" s="23">
        <v>33.142099999999999</v>
      </c>
      <c r="N55" s="23">
        <f t="shared" si="1"/>
        <v>33.142099999999999</v>
      </c>
      <c r="O55" s="24" t="s">
        <v>619</v>
      </c>
      <c r="P55" s="23">
        <v>1.2829999999999999</v>
      </c>
      <c r="Q55" s="29">
        <v>0.56040000000000001</v>
      </c>
      <c r="R55" s="29"/>
      <c r="S55" s="24" t="s">
        <v>618</v>
      </c>
      <c r="T55" s="24" t="str">
        <f t="shared" si="2"/>
        <v>Technical failure</v>
      </c>
      <c r="U55" s="24" t="s">
        <v>44</v>
      </c>
      <c r="V55" s="24" t="str">
        <f t="shared" si="3"/>
        <v/>
      </c>
      <c r="W55" s="24" t="s">
        <v>620</v>
      </c>
      <c r="X55" s="23">
        <v>3.29</v>
      </c>
      <c r="Y55" s="23">
        <v>6.7725999999999997</v>
      </c>
      <c r="Z55" s="23"/>
      <c r="AA55" s="24" t="s">
        <v>619</v>
      </c>
      <c r="AB55" s="24" t="str">
        <f t="shared" si="4"/>
        <v>Upper censored</v>
      </c>
      <c r="AC55" s="23" t="s">
        <v>35</v>
      </c>
      <c r="AD55" s="23" t="s">
        <v>561</v>
      </c>
      <c r="AE55" s="23" t="str">
        <f t="shared" si="5"/>
        <v/>
      </c>
      <c r="AF55" s="23"/>
      <c r="AG55" s="23" t="str">
        <f t="shared" si="6"/>
        <v/>
      </c>
      <c r="AH55" s="24" t="s">
        <v>619</v>
      </c>
      <c r="AI55" s="23">
        <v>2.581</v>
      </c>
      <c r="AJ55" s="23">
        <v>3.6414</v>
      </c>
      <c r="AK55" s="23"/>
      <c r="AL55" s="24" t="s">
        <v>619</v>
      </c>
      <c r="AM55" s="24">
        <v>210</v>
      </c>
      <c r="AN55" s="24">
        <v>0</v>
      </c>
      <c r="AO55" s="24">
        <f t="shared" si="7"/>
        <v>120</v>
      </c>
    </row>
    <row r="56" spans="1:41" x14ac:dyDescent="0.3">
      <c r="A56" s="24" t="s">
        <v>108</v>
      </c>
      <c r="B56" s="24" t="s">
        <v>614</v>
      </c>
      <c r="C56" s="25" t="s">
        <v>616</v>
      </c>
      <c r="D56" s="26">
        <v>24.2</v>
      </c>
      <c r="E56" s="34" t="s">
        <v>31</v>
      </c>
      <c r="F56" s="27" t="s">
        <v>617</v>
      </c>
      <c r="G56" s="28"/>
      <c r="H56" s="28"/>
      <c r="I56" s="24">
        <v>12</v>
      </c>
      <c r="J56" s="24" t="s">
        <v>33</v>
      </c>
      <c r="K56" s="24" t="s">
        <v>618</v>
      </c>
      <c r="L56" s="24" t="str">
        <f t="shared" si="0"/>
        <v>Normal</v>
      </c>
      <c r="M56" s="23">
        <v>37.97</v>
      </c>
      <c r="N56" s="23">
        <f t="shared" si="1"/>
        <v>37.97</v>
      </c>
      <c r="O56" s="24" t="s">
        <v>619</v>
      </c>
      <c r="P56" s="23">
        <v>1.4039999999999999</v>
      </c>
      <c r="Q56" s="29">
        <v>1.3153999999999999</v>
      </c>
      <c r="R56" s="29"/>
      <c r="S56" s="24" t="s">
        <v>619</v>
      </c>
      <c r="T56" s="24" t="str">
        <f t="shared" si="2"/>
        <v>Upper censored</v>
      </c>
      <c r="U56" s="24" t="s">
        <v>35</v>
      </c>
      <c r="V56" s="24" t="str">
        <f t="shared" si="3"/>
        <v/>
      </c>
      <c r="W56" s="24" t="s">
        <v>619</v>
      </c>
      <c r="X56" s="23">
        <v>0.93400000000000005</v>
      </c>
      <c r="Y56" s="23">
        <v>5.5284000000000004</v>
      </c>
      <c r="Z56" s="23"/>
      <c r="AA56" s="24" t="s">
        <v>619</v>
      </c>
      <c r="AB56" s="24" t="str">
        <f t="shared" si="4"/>
        <v>Upper censored</v>
      </c>
      <c r="AC56" s="23" t="s">
        <v>35</v>
      </c>
      <c r="AD56" s="23" t="s">
        <v>561</v>
      </c>
      <c r="AE56" s="23" t="str">
        <f t="shared" si="5"/>
        <v/>
      </c>
      <c r="AF56" s="23"/>
      <c r="AG56" s="23" t="str">
        <f t="shared" si="6"/>
        <v/>
      </c>
      <c r="AH56" s="24" t="s">
        <v>619</v>
      </c>
      <c r="AI56" s="23">
        <v>3.379</v>
      </c>
      <c r="AJ56" s="23">
        <v>1.6347</v>
      </c>
      <c r="AK56" s="23"/>
      <c r="AL56" s="24" t="s">
        <v>619</v>
      </c>
      <c r="AM56" s="24">
        <v>210</v>
      </c>
      <c r="AN56" s="24">
        <v>0</v>
      </c>
      <c r="AO56" s="24">
        <f t="shared" si="7"/>
        <v>120</v>
      </c>
    </row>
    <row r="57" spans="1:41" x14ac:dyDescent="0.3">
      <c r="A57" s="24" t="s">
        <v>109</v>
      </c>
      <c r="B57" s="24" t="s">
        <v>436</v>
      </c>
      <c r="C57" s="25" t="s">
        <v>615</v>
      </c>
      <c r="D57" s="26">
        <v>16.3</v>
      </c>
      <c r="E57" s="34" t="s">
        <v>39</v>
      </c>
      <c r="F57" s="27" t="s">
        <v>617</v>
      </c>
      <c r="G57" s="28"/>
      <c r="H57" s="28"/>
      <c r="I57" s="24">
        <v>12</v>
      </c>
      <c r="J57" s="24" t="s">
        <v>33</v>
      </c>
      <c r="K57" s="24" t="s">
        <v>618</v>
      </c>
      <c r="L57" s="24" t="str">
        <f t="shared" si="0"/>
        <v>Normal</v>
      </c>
      <c r="M57" s="23">
        <v>41.012700000000002</v>
      </c>
      <c r="N57" s="23">
        <f t="shared" si="1"/>
        <v>41.012700000000002</v>
      </c>
      <c r="O57" s="24" t="s">
        <v>619</v>
      </c>
      <c r="P57" s="23">
        <v>1.466</v>
      </c>
      <c r="Q57" s="29">
        <v>0.8</v>
      </c>
      <c r="R57" s="29"/>
      <c r="S57" s="24" t="s">
        <v>618</v>
      </c>
      <c r="T57" s="24" t="str">
        <f t="shared" si="2"/>
        <v>Upper censored</v>
      </c>
      <c r="U57" s="24" t="s">
        <v>35</v>
      </c>
      <c r="V57" s="24" t="str">
        <f t="shared" si="3"/>
        <v/>
      </c>
      <c r="W57" s="24" t="s">
        <v>619</v>
      </c>
      <c r="X57" s="23">
        <v>1.63</v>
      </c>
      <c r="Y57" s="23">
        <v>0.6159</v>
      </c>
      <c r="Z57" s="23"/>
      <c r="AA57" s="24" t="s">
        <v>618</v>
      </c>
      <c r="AB57" s="24" t="str">
        <f t="shared" si="4"/>
        <v>Upper censored</v>
      </c>
      <c r="AC57" s="23" t="s">
        <v>35</v>
      </c>
      <c r="AD57" s="23" t="s">
        <v>561</v>
      </c>
      <c r="AE57" s="23" t="str">
        <f t="shared" si="5"/>
        <v/>
      </c>
      <c r="AF57" s="23"/>
      <c r="AG57" s="23" t="str">
        <f t="shared" si="6"/>
        <v/>
      </c>
      <c r="AH57" s="24" t="s">
        <v>619</v>
      </c>
      <c r="AI57" s="23">
        <v>1.2110000000000001</v>
      </c>
      <c r="AJ57" s="23">
        <v>0.22539999999999999</v>
      </c>
      <c r="AK57" s="23"/>
      <c r="AL57" s="24" t="s">
        <v>618</v>
      </c>
      <c r="AM57" s="24">
        <v>210</v>
      </c>
      <c r="AN57" s="24">
        <v>0</v>
      </c>
      <c r="AO57" s="24">
        <f t="shared" si="7"/>
        <v>120</v>
      </c>
    </row>
    <row r="58" spans="1:41" x14ac:dyDescent="0.3">
      <c r="A58" s="24" t="s">
        <v>110</v>
      </c>
      <c r="B58" s="24" t="s">
        <v>614</v>
      </c>
      <c r="C58" s="30" t="s">
        <v>616</v>
      </c>
      <c r="D58" s="26">
        <v>17.399999999999999</v>
      </c>
      <c r="E58" s="34" t="s">
        <v>39</v>
      </c>
      <c r="F58" s="27" t="s">
        <v>54</v>
      </c>
      <c r="G58" s="28">
        <v>44453</v>
      </c>
      <c r="H58" s="28">
        <v>44476</v>
      </c>
      <c r="I58" s="24">
        <v>15</v>
      </c>
      <c r="J58" s="24" t="s">
        <v>43</v>
      </c>
      <c r="K58" s="24" t="s">
        <v>618</v>
      </c>
      <c r="L58" s="24" t="str">
        <f t="shared" si="0"/>
        <v>Normal</v>
      </c>
      <c r="M58" s="23">
        <v>39.207700000000003</v>
      </c>
      <c r="N58" s="23">
        <f t="shared" si="1"/>
        <v>39.207700000000003</v>
      </c>
      <c r="O58" s="24" t="s">
        <v>619</v>
      </c>
      <c r="P58" s="23">
        <v>1.5580000000000001</v>
      </c>
      <c r="Q58" s="29">
        <v>0.2462</v>
      </c>
      <c r="R58" s="29"/>
      <c r="S58" s="24" t="s">
        <v>618</v>
      </c>
      <c r="T58" s="24" t="str">
        <f t="shared" si="2"/>
        <v>Normal</v>
      </c>
      <c r="U58" s="24">
        <v>8.0638000000000005</v>
      </c>
      <c r="V58" s="24">
        <f t="shared" si="3"/>
        <v>8.0638000000000005</v>
      </c>
      <c r="W58" t="s">
        <v>621</v>
      </c>
      <c r="X58" s="23">
        <v>3.5</v>
      </c>
      <c r="Y58" s="23">
        <v>1.0508</v>
      </c>
      <c r="Z58" s="23"/>
      <c r="AA58" s="24" t="s">
        <v>618</v>
      </c>
      <c r="AB58" s="24" t="str">
        <f t="shared" si="4"/>
        <v>Normal</v>
      </c>
      <c r="AC58" s="23">
        <v>109065</v>
      </c>
      <c r="AD58" s="23">
        <v>10.906499999999999</v>
      </c>
      <c r="AE58" s="23" t="str">
        <f t="shared" si="5"/>
        <v/>
      </c>
      <c r="AF58" s="23"/>
      <c r="AG58" s="23" t="str">
        <f t="shared" si="6"/>
        <v/>
      </c>
      <c r="AH58" t="s">
        <v>621</v>
      </c>
      <c r="AI58" s="23">
        <v>2.8359999999999999</v>
      </c>
      <c r="AJ58" s="23">
        <v>0.76429999999999998</v>
      </c>
      <c r="AK58" s="23"/>
      <c r="AL58" s="24" t="s">
        <v>618</v>
      </c>
      <c r="AM58" s="24"/>
      <c r="AN58" s="24"/>
      <c r="AO58" s="24" t="str">
        <f t="shared" si="7"/>
        <v/>
      </c>
    </row>
    <row r="59" spans="1:41" x14ac:dyDescent="0.3">
      <c r="A59" s="24" t="s">
        <v>111</v>
      </c>
      <c r="B59" s="24" t="s">
        <v>436</v>
      </c>
      <c r="C59" s="25" t="s">
        <v>616</v>
      </c>
      <c r="D59" s="26">
        <v>18</v>
      </c>
      <c r="E59" s="34" t="s">
        <v>39</v>
      </c>
      <c r="F59" s="27" t="s">
        <v>617</v>
      </c>
      <c r="G59" s="28"/>
      <c r="H59" s="28"/>
      <c r="I59" s="24">
        <v>12</v>
      </c>
      <c r="J59" s="24" t="s">
        <v>33</v>
      </c>
      <c r="K59" s="24" t="s">
        <v>618</v>
      </c>
      <c r="L59" s="24" t="str">
        <f t="shared" si="0"/>
        <v>Normal</v>
      </c>
      <c r="M59" s="23">
        <v>49.32</v>
      </c>
      <c r="N59" s="23">
        <f t="shared" si="1"/>
        <v>49.32</v>
      </c>
      <c r="O59" s="24" t="s">
        <v>619</v>
      </c>
      <c r="P59" s="23">
        <v>1.6739999999999999</v>
      </c>
      <c r="Q59" s="29">
        <v>1.5604</v>
      </c>
      <c r="R59" s="29"/>
      <c r="S59" s="24" t="s">
        <v>619</v>
      </c>
      <c r="T59" s="24" t="str">
        <f t="shared" si="2"/>
        <v>Technical failure</v>
      </c>
      <c r="U59" s="24" t="s">
        <v>44</v>
      </c>
      <c r="V59" s="24" t="str">
        <f t="shared" si="3"/>
        <v/>
      </c>
      <c r="W59" s="24" t="s">
        <v>620</v>
      </c>
      <c r="X59" s="23">
        <v>0.97099999999999997</v>
      </c>
      <c r="Y59" s="23">
        <v>2.0464000000000002</v>
      </c>
      <c r="Z59" s="23"/>
      <c r="AA59" s="24" t="s">
        <v>619</v>
      </c>
      <c r="AB59" s="24" t="str">
        <f t="shared" si="4"/>
        <v>Upper censored</v>
      </c>
      <c r="AC59" s="23" t="s">
        <v>35</v>
      </c>
      <c r="AD59" s="23" t="s">
        <v>561</v>
      </c>
      <c r="AE59" s="23" t="str">
        <f t="shared" si="5"/>
        <v/>
      </c>
      <c r="AF59" s="23"/>
      <c r="AG59" s="23" t="str">
        <f t="shared" si="6"/>
        <v/>
      </c>
      <c r="AH59" s="24" t="s">
        <v>619</v>
      </c>
      <c r="AI59" s="23">
        <v>0.74099999999999999</v>
      </c>
      <c r="AJ59" s="23">
        <v>1.6107</v>
      </c>
      <c r="AK59" s="23"/>
      <c r="AL59" s="24" t="s">
        <v>619</v>
      </c>
      <c r="AM59" s="24">
        <v>210</v>
      </c>
      <c r="AN59" s="24">
        <v>0</v>
      </c>
      <c r="AO59" s="24">
        <f t="shared" si="7"/>
        <v>120</v>
      </c>
    </row>
    <row r="60" spans="1:41" x14ac:dyDescent="0.3">
      <c r="A60" s="24" t="s">
        <v>112</v>
      </c>
      <c r="B60" s="24" t="s">
        <v>614</v>
      </c>
      <c r="C60" s="30" t="s">
        <v>616</v>
      </c>
      <c r="D60" s="26">
        <v>17.399999999999999</v>
      </c>
      <c r="E60" s="34" t="s">
        <v>39</v>
      </c>
      <c r="F60" s="27" t="s">
        <v>617</v>
      </c>
      <c r="G60" s="28"/>
      <c r="H60" s="28"/>
      <c r="I60" s="24">
        <v>15</v>
      </c>
      <c r="J60" s="24" t="s">
        <v>43</v>
      </c>
      <c r="K60" s="24" t="s">
        <v>618</v>
      </c>
      <c r="L60" s="24" t="str">
        <f t="shared" si="0"/>
        <v>Normal</v>
      </c>
      <c r="M60" s="23">
        <v>54.384900000000002</v>
      </c>
      <c r="N60" s="23">
        <f t="shared" si="1"/>
        <v>54.384900000000002</v>
      </c>
      <c r="O60" s="24" t="s">
        <v>619</v>
      </c>
      <c r="P60" s="23">
        <v>1.7410000000000001</v>
      </c>
      <c r="Q60" s="29">
        <v>9.6100000000000005E-2</v>
      </c>
      <c r="R60" s="29"/>
      <c r="S60" s="24" t="s">
        <v>618</v>
      </c>
      <c r="T60" s="24" t="str">
        <f t="shared" si="2"/>
        <v>Upper censored</v>
      </c>
      <c r="U60" s="24" t="s">
        <v>35</v>
      </c>
      <c r="V60" s="24" t="str">
        <f t="shared" si="3"/>
        <v/>
      </c>
      <c r="W60" s="24" t="s">
        <v>619</v>
      </c>
      <c r="X60" s="23">
        <v>1.2490000000000001</v>
      </c>
      <c r="Y60" s="23">
        <v>0.62329999999999997</v>
      </c>
      <c r="Z60" s="23"/>
      <c r="AA60" s="24" t="s">
        <v>618</v>
      </c>
      <c r="AB60" s="24" t="str">
        <f t="shared" si="4"/>
        <v>Upper censored</v>
      </c>
      <c r="AC60" s="23" t="s">
        <v>35</v>
      </c>
      <c r="AD60" s="23" t="s">
        <v>561</v>
      </c>
      <c r="AE60" s="23" t="str">
        <f t="shared" si="5"/>
        <v/>
      </c>
      <c r="AF60" s="23"/>
      <c r="AG60" s="23" t="str">
        <f t="shared" si="6"/>
        <v/>
      </c>
      <c r="AH60" s="24" t="s">
        <v>619</v>
      </c>
      <c r="AI60" s="23">
        <v>1.093</v>
      </c>
      <c r="AJ60" s="23">
        <v>0.56399999999999995</v>
      </c>
      <c r="AK60" s="23"/>
      <c r="AL60" s="24" t="s">
        <v>618</v>
      </c>
      <c r="AM60" s="24">
        <v>210</v>
      </c>
      <c r="AN60" s="24">
        <v>0</v>
      </c>
      <c r="AO60" s="24">
        <f t="shared" si="7"/>
        <v>120</v>
      </c>
    </row>
    <row r="61" spans="1:41" x14ac:dyDescent="0.3">
      <c r="A61" s="24" t="s">
        <v>113</v>
      </c>
      <c r="B61" s="24" t="s">
        <v>436</v>
      </c>
      <c r="C61" s="25" t="s">
        <v>616</v>
      </c>
      <c r="D61" s="26">
        <v>35.5</v>
      </c>
      <c r="E61" s="34" t="s">
        <v>47</v>
      </c>
      <c r="F61" s="27" t="s">
        <v>617</v>
      </c>
      <c r="G61" s="28"/>
      <c r="H61" s="28"/>
      <c r="I61" s="24">
        <v>14</v>
      </c>
      <c r="J61" s="24" t="s">
        <v>43</v>
      </c>
      <c r="K61" s="24" t="s">
        <v>618</v>
      </c>
      <c r="L61" s="24" t="str">
        <f t="shared" si="0"/>
        <v>Normal</v>
      </c>
      <c r="M61" s="23">
        <v>51.521700000000003</v>
      </c>
      <c r="N61" s="23">
        <f t="shared" si="1"/>
        <v>51.521700000000003</v>
      </c>
      <c r="O61" s="24" t="s">
        <v>619</v>
      </c>
      <c r="P61" s="23">
        <v>1.7789999999999999</v>
      </c>
      <c r="Q61" s="29">
        <v>0.42949999999999999</v>
      </c>
      <c r="R61" s="29"/>
      <c r="S61" s="24" t="s">
        <v>618</v>
      </c>
      <c r="T61" s="24" t="str">
        <f t="shared" si="2"/>
        <v>Upper censored</v>
      </c>
      <c r="U61" s="24" t="s">
        <v>35</v>
      </c>
      <c r="V61" s="24" t="str">
        <f t="shared" si="3"/>
        <v/>
      </c>
      <c r="W61" s="24" t="s">
        <v>619</v>
      </c>
      <c r="X61" s="23">
        <v>3.1019999999999999</v>
      </c>
      <c r="Y61" s="23">
        <v>0.36420000000000002</v>
      </c>
      <c r="Z61" s="23"/>
      <c r="AA61" s="24" t="s">
        <v>618</v>
      </c>
      <c r="AB61" s="24" t="str">
        <f t="shared" si="4"/>
        <v>Not tested</v>
      </c>
      <c r="AC61" s="23" t="s">
        <v>44</v>
      </c>
      <c r="AD61" s="23" t="s">
        <v>561</v>
      </c>
      <c r="AE61" s="23" t="str">
        <f t="shared" si="5"/>
        <v/>
      </c>
      <c r="AF61" s="23"/>
      <c r="AG61" s="23" t="str">
        <f t="shared" si="6"/>
        <v/>
      </c>
      <c r="AH61" s="24" t="s">
        <v>620</v>
      </c>
      <c r="AI61" s="23">
        <v>2.8069999999999999</v>
      </c>
      <c r="AJ61" s="23">
        <v>3.3653</v>
      </c>
      <c r="AK61" s="23"/>
      <c r="AL61" s="24" t="s">
        <v>619</v>
      </c>
      <c r="AM61" s="24">
        <v>210</v>
      </c>
      <c r="AN61" s="24">
        <v>0</v>
      </c>
      <c r="AO61" s="24" t="str">
        <f t="shared" si="7"/>
        <v/>
      </c>
    </row>
    <row r="62" spans="1:41" x14ac:dyDescent="0.3">
      <c r="A62" s="24" t="s">
        <v>114</v>
      </c>
      <c r="B62" s="24" t="s">
        <v>436</v>
      </c>
      <c r="C62" s="25" t="s">
        <v>616</v>
      </c>
      <c r="D62" s="26">
        <v>25.5</v>
      </c>
      <c r="E62" s="34" t="s">
        <v>31</v>
      </c>
      <c r="F62" s="27" t="s">
        <v>617</v>
      </c>
      <c r="G62" s="28"/>
      <c r="H62" s="28"/>
      <c r="I62" s="24">
        <v>12</v>
      </c>
      <c r="J62" s="24" t="s">
        <v>33</v>
      </c>
      <c r="K62" s="24" t="s">
        <v>619</v>
      </c>
      <c r="L62" s="24" t="str">
        <f t="shared" si="0"/>
        <v>Normal</v>
      </c>
      <c r="M62" s="23">
        <v>64.565200000000004</v>
      </c>
      <c r="N62" s="23">
        <f t="shared" si="1"/>
        <v>64.565200000000004</v>
      </c>
      <c r="O62" s="24" t="s">
        <v>619</v>
      </c>
      <c r="P62" s="23">
        <v>2.0190000000000001</v>
      </c>
      <c r="Q62" s="29">
        <v>0.1477</v>
      </c>
      <c r="R62" s="29"/>
      <c r="S62" s="24" t="s">
        <v>618</v>
      </c>
      <c r="T62" s="24" t="str">
        <f t="shared" si="2"/>
        <v>Technical failure</v>
      </c>
      <c r="U62" s="24" t="s">
        <v>44</v>
      </c>
      <c r="V62" s="24" t="str">
        <f t="shared" si="3"/>
        <v/>
      </c>
      <c r="W62" s="24" t="s">
        <v>620</v>
      </c>
      <c r="X62" s="23">
        <v>1.466</v>
      </c>
      <c r="Y62" s="23">
        <v>0.50319999999999998</v>
      </c>
      <c r="Z62" s="23"/>
      <c r="AA62" s="24" t="s">
        <v>618</v>
      </c>
      <c r="AB62" s="24" t="str">
        <f t="shared" si="4"/>
        <v>Upper censored</v>
      </c>
      <c r="AC62" s="23" t="s">
        <v>35</v>
      </c>
      <c r="AD62" s="23" t="s">
        <v>561</v>
      </c>
      <c r="AE62" s="23" t="str">
        <f t="shared" si="5"/>
        <v/>
      </c>
      <c r="AF62" s="23"/>
      <c r="AG62" s="23" t="str">
        <f t="shared" si="6"/>
        <v/>
      </c>
      <c r="AH62" s="24" t="s">
        <v>619</v>
      </c>
      <c r="AI62" s="23">
        <v>2.407</v>
      </c>
      <c r="AJ62" s="23">
        <v>0.62629999999999997</v>
      </c>
      <c r="AK62" s="23"/>
      <c r="AL62" s="24" t="s">
        <v>618</v>
      </c>
      <c r="AM62" s="24">
        <v>210</v>
      </c>
      <c r="AN62" s="24">
        <v>0</v>
      </c>
      <c r="AO62" s="24">
        <f t="shared" si="7"/>
        <v>120</v>
      </c>
    </row>
    <row r="63" spans="1:41" x14ac:dyDescent="0.3">
      <c r="A63" s="24" t="s">
        <v>115</v>
      </c>
      <c r="B63" s="24" t="s">
        <v>436</v>
      </c>
      <c r="C63" s="25"/>
      <c r="D63" s="26">
        <v>18.899999999999999</v>
      </c>
      <c r="E63" s="34" t="s">
        <v>39</v>
      </c>
      <c r="F63" s="27" t="s">
        <v>617</v>
      </c>
      <c r="G63" s="28"/>
      <c r="H63" s="28"/>
      <c r="I63" s="24">
        <v>12</v>
      </c>
      <c r="J63" s="24" t="s">
        <v>33</v>
      </c>
      <c r="K63" s="24" t="s">
        <v>618</v>
      </c>
      <c r="L63" s="24" t="str">
        <f t="shared" si="0"/>
        <v>Normal</v>
      </c>
      <c r="M63" s="23">
        <v>66.119900000000001</v>
      </c>
      <c r="N63" s="23">
        <f t="shared" si="1"/>
        <v>66.119900000000001</v>
      </c>
      <c r="O63" s="24" t="s">
        <v>619</v>
      </c>
      <c r="P63" s="23">
        <v>2.02</v>
      </c>
      <c r="Q63" s="29">
        <v>0.28170000000000001</v>
      </c>
      <c r="R63" s="29"/>
      <c r="S63" s="24" t="s">
        <v>618</v>
      </c>
      <c r="T63" s="24" t="str">
        <f t="shared" si="2"/>
        <v>Technical failure</v>
      </c>
      <c r="U63" s="24" t="s">
        <v>44</v>
      </c>
      <c r="V63" s="24" t="str">
        <f t="shared" si="3"/>
        <v/>
      </c>
      <c r="W63" s="24" t="s">
        <v>620</v>
      </c>
      <c r="X63" s="23">
        <v>3.5</v>
      </c>
      <c r="Y63" s="23">
        <v>0.32</v>
      </c>
      <c r="Z63" s="23"/>
      <c r="AA63" s="24" t="s">
        <v>618</v>
      </c>
      <c r="AB63" s="24" t="str">
        <f t="shared" si="4"/>
        <v>Upper censored</v>
      </c>
      <c r="AC63" s="23" t="s">
        <v>35</v>
      </c>
      <c r="AD63" s="23" t="s">
        <v>561</v>
      </c>
      <c r="AE63" s="23" t="str">
        <f t="shared" si="5"/>
        <v/>
      </c>
      <c r="AF63" s="23"/>
      <c r="AG63" s="23" t="str">
        <f t="shared" si="6"/>
        <v/>
      </c>
      <c r="AH63" s="24" t="s">
        <v>619</v>
      </c>
      <c r="AI63" s="23">
        <v>3.5</v>
      </c>
      <c r="AJ63" s="23">
        <v>0.25469999999999998</v>
      </c>
      <c r="AK63" s="23"/>
      <c r="AL63" s="24" t="s">
        <v>618</v>
      </c>
      <c r="AM63" s="24">
        <v>210</v>
      </c>
      <c r="AN63" s="24">
        <v>0</v>
      </c>
      <c r="AO63" s="24">
        <f t="shared" si="7"/>
        <v>120</v>
      </c>
    </row>
    <row r="64" spans="1:41" x14ac:dyDescent="0.3">
      <c r="A64" s="24" t="s">
        <v>116</v>
      </c>
      <c r="B64" s="24" t="s">
        <v>436</v>
      </c>
      <c r="C64" s="30" t="s">
        <v>615</v>
      </c>
      <c r="D64" s="26">
        <v>17.8</v>
      </c>
      <c r="E64" s="34" t="s">
        <v>39</v>
      </c>
      <c r="F64" s="27" t="s">
        <v>617</v>
      </c>
      <c r="G64" s="28"/>
      <c r="H64" s="28"/>
      <c r="I64" s="24">
        <v>11</v>
      </c>
      <c r="J64" s="24" t="s">
        <v>33</v>
      </c>
      <c r="K64" s="24" t="s">
        <v>619</v>
      </c>
      <c r="L64" s="24" t="str">
        <f t="shared" si="0"/>
        <v>Normal</v>
      </c>
      <c r="M64" s="23">
        <v>68.7697</v>
      </c>
      <c r="N64" s="23">
        <f t="shared" si="1"/>
        <v>68.7697</v>
      </c>
      <c r="O64" s="24" t="s">
        <v>619</v>
      </c>
      <c r="P64" s="23">
        <v>2.0830000000000002</v>
      </c>
      <c r="Q64" s="29">
        <v>0.158</v>
      </c>
      <c r="R64" s="29"/>
      <c r="S64" s="24" t="s">
        <v>618</v>
      </c>
      <c r="T64" s="24" t="str">
        <f t="shared" si="2"/>
        <v>Technical failure</v>
      </c>
      <c r="U64" s="24" t="s">
        <v>44</v>
      </c>
      <c r="V64" s="24" t="str">
        <f t="shared" si="3"/>
        <v/>
      </c>
      <c r="W64" s="24" t="s">
        <v>620</v>
      </c>
      <c r="X64" s="23">
        <v>1.405</v>
      </c>
      <c r="Y64" s="23">
        <v>1.5672999999999999</v>
      </c>
      <c r="Z64" s="23"/>
      <c r="AA64" s="24" t="s">
        <v>619</v>
      </c>
      <c r="AB64" s="24" t="str">
        <f t="shared" si="4"/>
        <v>Normal</v>
      </c>
      <c r="AC64" s="23">
        <v>118004</v>
      </c>
      <c r="AD64" s="23">
        <v>11.8004</v>
      </c>
      <c r="AE64" s="23" t="str">
        <f t="shared" si="5"/>
        <v/>
      </c>
      <c r="AF64" s="23"/>
      <c r="AG64" s="23" t="str">
        <f t="shared" si="6"/>
        <v/>
      </c>
      <c r="AH64" s="24" t="s">
        <v>619</v>
      </c>
      <c r="AI64" s="23">
        <v>1.0429999999999999</v>
      </c>
      <c r="AJ64" s="23">
        <v>0.86160000000000003</v>
      </c>
      <c r="AK64" s="23"/>
      <c r="AL64" s="24" t="s">
        <v>618</v>
      </c>
      <c r="AM64" s="24">
        <v>182</v>
      </c>
      <c r="AN64" s="24">
        <v>1</v>
      </c>
      <c r="AO64" s="24" t="str">
        <f t="shared" si="7"/>
        <v/>
      </c>
    </row>
    <row r="65" spans="1:41" x14ac:dyDescent="0.3">
      <c r="A65" s="24" t="s">
        <v>117</v>
      </c>
      <c r="B65" s="24" t="s">
        <v>436</v>
      </c>
      <c r="C65" s="30" t="s">
        <v>615</v>
      </c>
      <c r="D65" s="26">
        <v>20.2</v>
      </c>
      <c r="E65" s="34" t="s">
        <v>39</v>
      </c>
      <c r="F65" s="27" t="s">
        <v>617</v>
      </c>
      <c r="G65" s="28"/>
      <c r="H65" s="28"/>
      <c r="I65" s="24">
        <v>15</v>
      </c>
      <c r="J65" s="24" t="s">
        <v>43</v>
      </c>
      <c r="K65" s="24" t="s">
        <v>619</v>
      </c>
      <c r="L65" s="24" t="str">
        <f t="shared" si="0"/>
        <v>Normal</v>
      </c>
      <c r="M65" s="23">
        <v>102.3404</v>
      </c>
      <c r="N65" s="23">
        <f t="shared" si="1"/>
        <v>102.3404</v>
      </c>
      <c r="O65" s="24" t="s">
        <v>619</v>
      </c>
      <c r="P65" s="23">
        <v>2.4550000000000001</v>
      </c>
      <c r="Q65" s="29">
        <v>9.7699999999999995E-2</v>
      </c>
      <c r="R65" s="29"/>
      <c r="S65" s="24" t="s">
        <v>618</v>
      </c>
      <c r="T65" s="24" t="str">
        <f t="shared" si="2"/>
        <v>Upper censored</v>
      </c>
      <c r="U65" s="24" t="s">
        <v>35</v>
      </c>
      <c r="V65" s="24" t="str">
        <f t="shared" si="3"/>
        <v/>
      </c>
      <c r="W65" s="24" t="s">
        <v>619</v>
      </c>
      <c r="X65" s="23">
        <v>3.0619999999999998</v>
      </c>
      <c r="Y65" s="23">
        <v>3.9350000000000001</v>
      </c>
      <c r="Z65" s="23"/>
      <c r="AA65" s="24" t="s">
        <v>619</v>
      </c>
      <c r="AB65" s="24" t="str">
        <f t="shared" si="4"/>
        <v>Upper censored</v>
      </c>
      <c r="AC65" s="23" t="s">
        <v>35</v>
      </c>
      <c r="AD65" s="23" t="s">
        <v>561</v>
      </c>
      <c r="AE65" s="23" t="str">
        <f t="shared" si="5"/>
        <v/>
      </c>
      <c r="AF65" s="23"/>
      <c r="AG65" s="23" t="str">
        <f t="shared" si="6"/>
        <v/>
      </c>
      <c r="AH65" s="24" t="s">
        <v>619</v>
      </c>
      <c r="AI65" s="23">
        <v>3.5</v>
      </c>
      <c r="AJ65" s="23">
        <v>2.1301999999999999</v>
      </c>
      <c r="AK65" s="23"/>
      <c r="AL65" s="24" t="s">
        <v>619</v>
      </c>
      <c r="AM65" s="24">
        <v>210</v>
      </c>
      <c r="AN65" s="24">
        <v>0</v>
      </c>
      <c r="AO65" s="24">
        <f t="shared" si="7"/>
        <v>120</v>
      </c>
    </row>
    <row r="66" spans="1:41" x14ac:dyDescent="0.3">
      <c r="A66" s="24" t="s">
        <v>118</v>
      </c>
      <c r="B66" s="24" t="s">
        <v>436</v>
      </c>
      <c r="C66" s="25" t="s">
        <v>616</v>
      </c>
      <c r="D66" s="26">
        <v>17.899999999999999</v>
      </c>
      <c r="E66" s="34" t="s">
        <v>39</v>
      </c>
      <c r="F66" s="27" t="s">
        <v>54</v>
      </c>
      <c r="G66" s="28">
        <v>44453</v>
      </c>
      <c r="H66" s="28">
        <v>44476</v>
      </c>
      <c r="I66" s="24">
        <v>15</v>
      </c>
      <c r="J66" s="24" t="s">
        <v>43</v>
      </c>
      <c r="K66" s="24" t="s">
        <v>619</v>
      </c>
      <c r="L66" s="24" t="str">
        <f t="shared" si="0"/>
        <v>Normal</v>
      </c>
      <c r="M66" s="23">
        <v>95.032399999999996</v>
      </c>
      <c r="N66" s="23">
        <f t="shared" si="1"/>
        <v>95.032399999999996</v>
      </c>
      <c r="O66" s="24" t="s">
        <v>619</v>
      </c>
      <c r="P66" s="23">
        <v>2.536</v>
      </c>
      <c r="Q66" s="29">
        <v>1.6353</v>
      </c>
      <c r="R66" s="29">
        <v>1.6913</v>
      </c>
      <c r="S66" s="24" t="s">
        <v>619</v>
      </c>
      <c r="T66" s="24" t="str">
        <f t="shared" si="2"/>
        <v>Upper censored</v>
      </c>
      <c r="U66" s="24" t="s">
        <v>35</v>
      </c>
      <c r="V66" s="24" t="str">
        <f t="shared" si="3"/>
        <v/>
      </c>
      <c r="W66" s="24" t="s">
        <v>619</v>
      </c>
      <c r="X66" s="23">
        <v>2.899</v>
      </c>
      <c r="Y66" s="23">
        <v>5.6421000000000001</v>
      </c>
      <c r="Z66" s="23"/>
      <c r="AA66" s="24" t="s">
        <v>619</v>
      </c>
      <c r="AB66" s="24" t="str">
        <f t="shared" si="4"/>
        <v>Upper censored</v>
      </c>
      <c r="AC66" s="23" t="s">
        <v>35</v>
      </c>
      <c r="AD66" s="23" t="s">
        <v>561</v>
      </c>
      <c r="AE66" s="23" t="str">
        <f t="shared" si="5"/>
        <v/>
      </c>
      <c r="AF66" s="23"/>
      <c r="AG66" s="23" t="str">
        <f t="shared" si="6"/>
        <v/>
      </c>
      <c r="AH66" s="24" t="s">
        <v>619</v>
      </c>
      <c r="AI66" s="23">
        <v>2.2839999999999998</v>
      </c>
      <c r="AJ66" s="23">
        <v>2.3967000000000001</v>
      </c>
      <c r="AK66" s="23"/>
      <c r="AL66" s="24" t="s">
        <v>619</v>
      </c>
      <c r="AM66" s="24">
        <v>210</v>
      </c>
      <c r="AN66" s="24">
        <v>0</v>
      </c>
      <c r="AO66" s="24">
        <f t="shared" si="7"/>
        <v>120</v>
      </c>
    </row>
    <row r="67" spans="1:41" x14ac:dyDescent="0.3">
      <c r="A67" s="24" t="s">
        <v>120</v>
      </c>
      <c r="B67" s="24" t="s">
        <v>614</v>
      </c>
      <c r="C67" s="25" t="s">
        <v>615</v>
      </c>
      <c r="D67" s="26">
        <v>30.5</v>
      </c>
      <c r="E67" s="34" t="s">
        <v>47</v>
      </c>
      <c r="F67" s="27" t="s">
        <v>54</v>
      </c>
      <c r="G67" s="28">
        <v>44453</v>
      </c>
      <c r="H67" s="28">
        <v>44477</v>
      </c>
      <c r="I67" s="24">
        <v>12</v>
      </c>
      <c r="J67" s="24" t="s">
        <v>33</v>
      </c>
      <c r="K67" s="24" t="s">
        <v>618</v>
      </c>
      <c r="L67" s="24" t="str">
        <f t="shared" ref="L67:L130" si="8">IF(LEFT(M67,1)="&gt;","Upper censored",IF(M67="*****","Not tested","Normal"))</f>
        <v>Normal</v>
      </c>
      <c r="M67" s="23">
        <v>101.8575</v>
      </c>
      <c r="N67" s="23">
        <f t="shared" ref="N67:N130" si="9">IFERROR(VALUE(M67),"")</f>
        <v>101.8575</v>
      </c>
      <c r="O67" s="24" t="s">
        <v>619</v>
      </c>
      <c r="P67" s="23">
        <v>2.6150000000000002</v>
      </c>
      <c r="Q67" s="29">
        <v>2.2622</v>
      </c>
      <c r="R67" s="29"/>
      <c r="S67" s="24" t="s">
        <v>619</v>
      </c>
      <c r="T67" s="24" t="str">
        <f t="shared" ref="T67:T130" si="10">IF(LEFT(U67,1)="&gt;","Upper censored",IF(U67="*****","Technical failure","Normal"))</f>
        <v>Normal</v>
      </c>
      <c r="U67" s="24">
        <v>38.194400000000002</v>
      </c>
      <c r="V67" s="24">
        <f t="shared" ref="V67:V130" si="11">IFERROR(VALUE(U67),"")</f>
        <v>38.194400000000002</v>
      </c>
      <c r="W67" s="24" t="s">
        <v>619</v>
      </c>
      <c r="X67" s="23">
        <v>3.5</v>
      </c>
      <c r="Y67" s="23">
        <v>1.5475000000000001</v>
      </c>
      <c r="Z67" s="23"/>
      <c r="AA67" s="24" t="s">
        <v>619</v>
      </c>
      <c r="AB67" s="24" t="str">
        <f t="shared" ref="AB67:AB130" si="12">IF(LEFT(AC67,1)="&gt;","Upper censored",IF(AC67="*****","Not tested","Normal"))</f>
        <v>Normal</v>
      </c>
      <c r="AC67" s="23">
        <v>282991</v>
      </c>
      <c r="AD67" s="23">
        <v>28.299099999999999</v>
      </c>
      <c r="AE67" s="23" t="str">
        <f t="shared" ref="AE67:AE130" si="13">IF(ISBLANK(AF67),"",IF(LEFT(AF67,1)="&gt;","Upper censored",IF(AF67="*****","Not tested","Normal")))</f>
        <v/>
      </c>
      <c r="AF67" s="23"/>
      <c r="AG67" s="23" t="str">
        <f t="shared" ref="AG67:AG130" si="14">IF(ISBLANK(AF67),"",IFERROR(VALUE(AF67),""))</f>
        <v/>
      </c>
      <c r="AH67" s="24" t="s">
        <v>619</v>
      </c>
      <c r="AI67" s="23">
        <v>3.4169999999999998</v>
      </c>
      <c r="AJ67" s="23">
        <v>0.91120000000000001</v>
      </c>
      <c r="AK67" s="23">
        <v>0.88839999999999997</v>
      </c>
      <c r="AL67" s="24" t="s">
        <v>618</v>
      </c>
      <c r="AM67" s="24"/>
      <c r="AN67" s="24"/>
      <c r="AO67" s="24" t="str">
        <f t="shared" ref="AO67:AO130" si="15">IF(ISBLANK(AM67),"",IF(AM67=92,IF(T67="Upper censored",120,""),IF(AB67="Upper censored",120,"")))</f>
        <v/>
      </c>
    </row>
    <row r="68" spans="1:41" x14ac:dyDescent="0.3">
      <c r="A68" s="24" t="s">
        <v>122</v>
      </c>
      <c r="B68" s="24" t="s">
        <v>436</v>
      </c>
      <c r="C68" s="30"/>
      <c r="D68" s="26">
        <v>16.2</v>
      </c>
      <c r="E68" s="34" t="s">
        <v>39</v>
      </c>
      <c r="F68" s="27" t="s">
        <v>617</v>
      </c>
      <c r="G68" s="28"/>
      <c r="H68" s="28"/>
      <c r="I68" s="24">
        <v>12</v>
      </c>
      <c r="J68" s="24" t="s">
        <v>33</v>
      </c>
      <c r="K68" s="24" t="s">
        <v>618</v>
      </c>
      <c r="L68" s="24" t="str">
        <f t="shared" si="8"/>
        <v>Upper censored</v>
      </c>
      <c r="M68" s="23" t="s">
        <v>35</v>
      </c>
      <c r="N68" s="23" t="str">
        <f t="shared" si="9"/>
        <v/>
      </c>
      <c r="O68" s="24" t="s">
        <v>619</v>
      </c>
      <c r="P68" s="23">
        <v>2.69</v>
      </c>
      <c r="Q68" s="29">
        <v>6.3500000000000001E-2</v>
      </c>
      <c r="R68" s="29"/>
      <c r="S68" s="24" t="s">
        <v>618</v>
      </c>
      <c r="T68" s="24" t="str">
        <f t="shared" si="10"/>
        <v>Technical failure</v>
      </c>
      <c r="U68" s="24" t="s">
        <v>44</v>
      </c>
      <c r="V68" s="24" t="str">
        <f t="shared" si="11"/>
        <v/>
      </c>
      <c r="W68" s="24" t="s">
        <v>620</v>
      </c>
      <c r="X68" s="23">
        <v>3.3780000000000001</v>
      </c>
      <c r="Y68" s="23">
        <v>1.8250999999999999</v>
      </c>
      <c r="Z68" s="23"/>
      <c r="AA68" s="24" t="s">
        <v>619</v>
      </c>
      <c r="AB68" s="24" t="str">
        <f t="shared" si="12"/>
        <v>Upper censored</v>
      </c>
      <c r="AC68" s="24" t="s">
        <v>35</v>
      </c>
      <c r="AD68" s="23" t="s">
        <v>561</v>
      </c>
      <c r="AE68" s="23" t="str">
        <f t="shared" si="13"/>
        <v/>
      </c>
      <c r="AF68" s="24"/>
      <c r="AG68" s="23" t="str">
        <f t="shared" si="14"/>
        <v/>
      </c>
      <c r="AH68" s="24" t="s">
        <v>619</v>
      </c>
      <c r="AI68" s="23">
        <v>3.0169999999999999</v>
      </c>
      <c r="AJ68" s="23">
        <v>0.626</v>
      </c>
      <c r="AK68" s="23"/>
      <c r="AL68" s="24" t="s">
        <v>618</v>
      </c>
      <c r="AM68" s="24">
        <v>210</v>
      </c>
      <c r="AN68" s="24">
        <v>0</v>
      </c>
      <c r="AO68" s="24">
        <f t="shared" si="15"/>
        <v>120</v>
      </c>
    </row>
    <row r="69" spans="1:41" x14ac:dyDescent="0.3">
      <c r="A69" s="24" t="s">
        <v>123</v>
      </c>
      <c r="B69" s="24" t="s">
        <v>436</v>
      </c>
      <c r="C69" s="25"/>
      <c r="D69" s="26">
        <v>22.9</v>
      </c>
      <c r="E69" s="34" t="s">
        <v>39</v>
      </c>
      <c r="F69" s="27" t="s">
        <v>54</v>
      </c>
      <c r="G69" s="28">
        <v>44454</v>
      </c>
      <c r="H69" s="28">
        <v>44476</v>
      </c>
      <c r="I69" s="24">
        <v>15</v>
      </c>
      <c r="J69" s="24" t="s">
        <v>43</v>
      </c>
      <c r="K69" s="24" t="s">
        <v>618</v>
      </c>
      <c r="L69" s="24" t="str">
        <f t="shared" si="8"/>
        <v>Not tested</v>
      </c>
      <c r="M69" s="23" t="s">
        <v>44</v>
      </c>
      <c r="N69" s="23" t="str">
        <f t="shared" si="9"/>
        <v/>
      </c>
      <c r="O69" s="24" t="s">
        <v>620</v>
      </c>
      <c r="P69" s="23">
        <v>2.7789999999999999</v>
      </c>
      <c r="Q69" s="29">
        <v>0.1857</v>
      </c>
      <c r="R69" s="29"/>
      <c r="S69" s="24" t="s">
        <v>618</v>
      </c>
      <c r="T69" s="24" t="str">
        <f t="shared" si="10"/>
        <v>Upper censored</v>
      </c>
      <c r="U69" s="24" t="s">
        <v>35</v>
      </c>
      <c r="V69" s="24" t="str">
        <f t="shared" si="11"/>
        <v/>
      </c>
      <c r="W69" s="24" t="s">
        <v>619</v>
      </c>
      <c r="X69" s="23">
        <v>3.4929999999999999</v>
      </c>
      <c r="Y69" s="23">
        <v>1.6384000000000001</v>
      </c>
      <c r="Z69" s="23"/>
      <c r="AA69" s="24" t="s">
        <v>619</v>
      </c>
      <c r="AB69" s="24" t="str">
        <f t="shared" si="12"/>
        <v>Upper censored</v>
      </c>
      <c r="AC69" s="23" t="s">
        <v>35</v>
      </c>
      <c r="AD69" s="23" t="s">
        <v>561</v>
      </c>
      <c r="AE69" s="23" t="str">
        <f t="shared" si="13"/>
        <v/>
      </c>
      <c r="AF69" s="23"/>
      <c r="AG69" s="23" t="str">
        <f t="shared" si="14"/>
        <v/>
      </c>
      <c r="AH69" s="24" t="s">
        <v>619</v>
      </c>
      <c r="AI69" s="23">
        <v>3.0459999999999998</v>
      </c>
      <c r="AJ69" s="23">
        <v>0.95860000000000001</v>
      </c>
      <c r="AK69" s="23"/>
      <c r="AL69" s="24" t="s">
        <v>618</v>
      </c>
      <c r="AM69" s="24">
        <v>210</v>
      </c>
      <c r="AN69" s="24">
        <v>0</v>
      </c>
      <c r="AO69" s="24">
        <f t="shared" si="15"/>
        <v>120</v>
      </c>
    </row>
    <row r="70" spans="1:41" x14ac:dyDescent="0.3">
      <c r="A70" s="24" t="s">
        <v>124</v>
      </c>
      <c r="B70" s="24" t="s">
        <v>436</v>
      </c>
      <c r="C70" s="25"/>
      <c r="D70" s="26">
        <v>26.3</v>
      </c>
      <c r="E70" s="34" t="s">
        <v>47</v>
      </c>
      <c r="F70" s="27" t="s">
        <v>54</v>
      </c>
      <c r="G70" s="28">
        <v>44453</v>
      </c>
      <c r="H70" s="28">
        <v>44476</v>
      </c>
      <c r="I70" s="24">
        <v>12</v>
      </c>
      <c r="J70" s="24" t="s">
        <v>33</v>
      </c>
      <c r="K70" s="24" t="s">
        <v>618</v>
      </c>
      <c r="L70" s="24" t="str">
        <f t="shared" si="8"/>
        <v>Upper censored</v>
      </c>
      <c r="M70" s="23" t="s">
        <v>35</v>
      </c>
      <c r="N70" s="23" t="str">
        <f t="shared" si="9"/>
        <v/>
      </c>
      <c r="O70" s="24" t="s">
        <v>619</v>
      </c>
      <c r="P70" s="23">
        <v>2.9390000000000001</v>
      </c>
      <c r="Q70" s="29">
        <v>1.4672000000000001</v>
      </c>
      <c r="R70" s="29"/>
      <c r="S70" s="29" t="s">
        <v>619</v>
      </c>
      <c r="T70" s="24" t="str">
        <f t="shared" si="10"/>
        <v>Upper censored</v>
      </c>
      <c r="U70" s="24" t="s">
        <v>35</v>
      </c>
      <c r="V70" s="24" t="str">
        <f t="shared" si="11"/>
        <v/>
      </c>
      <c r="W70" s="24" t="s">
        <v>619</v>
      </c>
      <c r="X70" s="23">
        <v>2.9710000000000001</v>
      </c>
      <c r="Y70" s="23">
        <v>6.7209000000000003</v>
      </c>
      <c r="Z70" s="23"/>
      <c r="AA70" s="24" t="s">
        <v>619</v>
      </c>
      <c r="AB70" s="24" t="str">
        <f t="shared" si="12"/>
        <v>Upper censored</v>
      </c>
      <c r="AC70" s="23" t="s">
        <v>35</v>
      </c>
      <c r="AD70" s="23" t="s">
        <v>561</v>
      </c>
      <c r="AE70" s="23" t="str">
        <f t="shared" si="13"/>
        <v/>
      </c>
      <c r="AF70" s="23"/>
      <c r="AG70" s="23" t="str">
        <f t="shared" si="14"/>
        <v/>
      </c>
      <c r="AH70" s="24" t="s">
        <v>619</v>
      </c>
      <c r="AI70" s="23">
        <v>3.5</v>
      </c>
      <c r="AJ70" s="23">
        <v>3.9039999999999999</v>
      </c>
      <c r="AK70" s="23"/>
      <c r="AL70" s="24" t="s">
        <v>619</v>
      </c>
      <c r="AM70" s="24">
        <v>210</v>
      </c>
      <c r="AN70" s="24">
        <v>0</v>
      </c>
      <c r="AO70" s="24">
        <f t="shared" si="15"/>
        <v>120</v>
      </c>
    </row>
    <row r="71" spans="1:41" x14ac:dyDescent="0.3">
      <c r="A71" s="24" t="s">
        <v>125</v>
      </c>
      <c r="B71" s="24" t="s">
        <v>614</v>
      </c>
      <c r="C71" s="30" t="s">
        <v>616</v>
      </c>
      <c r="D71" s="26">
        <v>23.7</v>
      </c>
      <c r="E71" s="34" t="s">
        <v>31</v>
      </c>
      <c r="F71" s="27" t="s">
        <v>54</v>
      </c>
      <c r="G71" s="28">
        <v>44453</v>
      </c>
      <c r="H71" s="28">
        <v>44477</v>
      </c>
      <c r="I71" s="24">
        <v>12</v>
      </c>
      <c r="J71" s="24" t="s">
        <v>33</v>
      </c>
      <c r="K71" s="24" t="s">
        <v>619</v>
      </c>
      <c r="L71" s="24" t="str">
        <f t="shared" si="8"/>
        <v>Upper censored</v>
      </c>
      <c r="M71" s="23" t="s">
        <v>35</v>
      </c>
      <c r="N71" s="23" t="str">
        <f t="shared" si="9"/>
        <v/>
      </c>
      <c r="O71" s="24" t="s">
        <v>619</v>
      </c>
      <c r="P71" s="23">
        <v>2.96</v>
      </c>
      <c r="Q71" s="29">
        <v>0.114</v>
      </c>
      <c r="R71" s="29"/>
      <c r="S71" s="24" t="s">
        <v>618</v>
      </c>
      <c r="T71" s="24" t="str">
        <f t="shared" si="10"/>
        <v>Technical failure</v>
      </c>
      <c r="U71" s="24" t="s">
        <v>44</v>
      </c>
      <c r="V71" s="24" t="str">
        <f t="shared" si="11"/>
        <v/>
      </c>
      <c r="W71" s="24" t="s">
        <v>620</v>
      </c>
      <c r="X71" s="23">
        <v>3.5</v>
      </c>
      <c r="Y71" s="23">
        <v>2.2197</v>
      </c>
      <c r="Z71" s="23"/>
      <c r="AA71" s="24" t="s">
        <v>619</v>
      </c>
      <c r="AB71" s="24" t="str">
        <f t="shared" si="12"/>
        <v>Upper censored</v>
      </c>
      <c r="AC71" s="24" t="s">
        <v>35</v>
      </c>
      <c r="AD71" s="23" t="s">
        <v>561</v>
      </c>
      <c r="AE71" s="23" t="str">
        <f t="shared" si="13"/>
        <v/>
      </c>
      <c r="AF71" s="24"/>
      <c r="AG71" s="23" t="str">
        <f t="shared" si="14"/>
        <v/>
      </c>
      <c r="AH71" s="24" t="s">
        <v>619</v>
      </c>
      <c r="AI71" s="23">
        <v>3.5</v>
      </c>
      <c r="AJ71" s="23">
        <v>0.78720000000000001</v>
      </c>
      <c r="AK71" s="23"/>
      <c r="AL71" s="24" t="s">
        <v>618</v>
      </c>
      <c r="AM71" s="24">
        <v>210</v>
      </c>
      <c r="AN71" s="24">
        <v>0</v>
      </c>
      <c r="AO71" s="24">
        <f t="shared" si="15"/>
        <v>120</v>
      </c>
    </row>
    <row r="72" spans="1:41" x14ac:dyDescent="0.3">
      <c r="A72" s="24" t="s">
        <v>126</v>
      </c>
      <c r="B72" s="24" t="s">
        <v>614</v>
      </c>
      <c r="C72" s="30" t="s">
        <v>615</v>
      </c>
      <c r="D72" s="26">
        <v>16.2</v>
      </c>
      <c r="E72" s="34" t="s">
        <v>39</v>
      </c>
      <c r="F72" s="27" t="s">
        <v>54</v>
      </c>
      <c r="G72" s="28">
        <v>44453</v>
      </c>
      <c r="H72" s="28">
        <v>44480</v>
      </c>
      <c r="I72" s="24">
        <v>12</v>
      </c>
      <c r="J72" s="24" t="s">
        <v>33</v>
      </c>
      <c r="K72" s="24" t="s">
        <v>618</v>
      </c>
      <c r="L72" s="24" t="str">
        <f t="shared" si="8"/>
        <v>Upper censored</v>
      </c>
      <c r="M72" s="23" t="s">
        <v>35</v>
      </c>
      <c r="N72" s="23" t="str">
        <f t="shared" si="9"/>
        <v/>
      </c>
      <c r="O72" s="24" t="s">
        <v>619</v>
      </c>
      <c r="P72" s="23">
        <v>3.056</v>
      </c>
      <c r="Q72" s="29">
        <v>8.6300000000000002E-2</v>
      </c>
      <c r="R72" s="29"/>
      <c r="S72" s="24" t="s">
        <v>618</v>
      </c>
      <c r="T72" s="24" t="str">
        <f t="shared" si="10"/>
        <v>Upper censored</v>
      </c>
      <c r="U72" s="24" t="s">
        <v>35</v>
      </c>
      <c r="V72" s="24" t="str">
        <f t="shared" si="11"/>
        <v/>
      </c>
      <c r="W72" s="24" t="s">
        <v>619</v>
      </c>
      <c r="X72" s="23">
        <v>3.5</v>
      </c>
      <c r="Y72" s="23">
        <v>0.1457</v>
      </c>
      <c r="Z72" s="23"/>
      <c r="AA72" s="24" t="s">
        <v>618</v>
      </c>
      <c r="AB72" s="24" t="str">
        <f t="shared" si="12"/>
        <v>Not tested</v>
      </c>
      <c r="AC72" s="24" t="s">
        <v>44</v>
      </c>
      <c r="AD72" s="23" t="s">
        <v>561</v>
      </c>
      <c r="AE72" s="23" t="str">
        <f t="shared" si="13"/>
        <v/>
      </c>
      <c r="AF72" s="24"/>
      <c r="AG72" s="23" t="str">
        <f t="shared" si="14"/>
        <v/>
      </c>
      <c r="AH72" s="24" t="s">
        <v>620</v>
      </c>
      <c r="AI72" s="23">
        <v>2.9710000000000001</v>
      </c>
      <c r="AJ72" s="23">
        <v>1.4897</v>
      </c>
      <c r="AK72" s="23"/>
      <c r="AL72" s="24" t="s">
        <v>619</v>
      </c>
      <c r="AM72" s="24">
        <v>210</v>
      </c>
      <c r="AN72" s="24">
        <v>0</v>
      </c>
      <c r="AO72" s="24" t="str">
        <f t="shared" si="15"/>
        <v/>
      </c>
    </row>
    <row r="73" spans="1:41" x14ac:dyDescent="0.3">
      <c r="A73" s="24" t="s">
        <v>127</v>
      </c>
      <c r="B73" s="24" t="s">
        <v>436</v>
      </c>
      <c r="C73" s="25" t="s">
        <v>616</v>
      </c>
      <c r="D73" s="26">
        <v>42.2</v>
      </c>
      <c r="E73" s="34" t="s">
        <v>47</v>
      </c>
      <c r="F73" s="27" t="s">
        <v>617</v>
      </c>
      <c r="G73" s="28"/>
      <c r="H73" s="28"/>
      <c r="I73" s="24">
        <v>15</v>
      </c>
      <c r="J73" s="24" t="s">
        <v>43</v>
      </c>
      <c r="K73" s="24" t="s">
        <v>618</v>
      </c>
      <c r="L73" s="24" t="str">
        <f t="shared" si="8"/>
        <v>Normal</v>
      </c>
      <c r="M73" s="23">
        <v>3.7178</v>
      </c>
      <c r="N73" s="23">
        <f t="shared" si="9"/>
        <v>3.7178</v>
      </c>
      <c r="O73" s="24" t="s">
        <v>618</v>
      </c>
      <c r="P73" s="23">
        <v>3.0590000000000002</v>
      </c>
      <c r="Q73" s="29">
        <v>0.76729999999999998</v>
      </c>
      <c r="R73" s="29"/>
      <c r="S73" s="24" t="s">
        <v>618</v>
      </c>
      <c r="T73" s="24" t="str">
        <f t="shared" si="10"/>
        <v>Upper censored</v>
      </c>
      <c r="U73" s="24" t="s">
        <v>35</v>
      </c>
      <c r="V73" s="24" t="str">
        <f t="shared" si="11"/>
        <v/>
      </c>
      <c r="W73" s="24" t="s">
        <v>619</v>
      </c>
      <c r="X73" s="23">
        <v>2.3519999999999999</v>
      </c>
      <c r="Y73" s="23">
        <v>0.35520000000000002</v>
      </c>
      <c r="Z73" s="23"/>
      <c r="AA73" s="24" t="s">
        <v>618</v>
      </c>
      <c r="AB73" s="24" t="str">
        <f t="shared" si="12"/>
        <v>Upper censored</v>
      </c>
      <c r="AC73" s="23" t="s">
        <v>35</v>
      </c>
      <c r="AD73" s="23" t="s">
        <v>561</v>
      </c>
      <c r="AE73" s="23" t="str">
        <f t="shared" si="13"/>
        <v/>
      </c>
      <c r="AF73" s="23"/>
      <c r="AG73" s="23" t="str">
        <f t="shared" si="14"/>
        <v/>
      </c>
      <c r="AH73" s="24" t="s">
        <v>619</v>
      </c>
      <c r="AI73" s="23">
        <v>3.157</v>
      </c>
      <c r="AJ73" s="23">
        <v>5.8482000000000003</v>
      </c>
      <c r="AK73" s="23"/>
      <c r="AL73" s="24" t="s">
        <v>619</v>
      </c>
      <c r="AM73" s="24">
        <v>210</v>
      </c>
      <c r="AN73" s="24">
        <v>0</v>
      </c>
      <c r="AO73" s="24">
        <f t="shared" si="15"/>
        <v>120</v>
      </c>
    </row>
    <row r="74" spans="1:41" x14ac:dyDescent="0.3">
      <c r="A74" s="24" t="s">
        <v>128</v>
      </c>
      <c r="B74" s="24" t="s">
        <v>436</v>
      </c>
      <c r="C74" s="25"/>
      <c r="D74" s="26">
        <v>21.8</v>
      </c>
      <c r="E74" s="34" t="s">
        <v>39</v>
      </c>
      <c r="F74" s="27" t="s">
        <v>54</v>
      </c>
      <c r="G74" s="28">
        <v>44453</v>
      </c>
      <c r="H74" s="28">
        <v>44476</v>
      </c>
      <c r="I74" s="24">
        <v>14</v>
      </c>
      <c r="J74" s="24" t="s">
        <v>43</v>
      </c>
      <c r="K74" s="24" t="s">
        <v>618</v>
      </c>
      <c r="L74" s="24" t="str">
        <f t="shared" si="8"/>
        <v>Upper censored</v>
      </c>
      <c r="M74" s="23" t="s">
        <v>35</v>
      </c>
      <c r="N74" s="23" t="str">
        <f t="shared" si="9"/>
        <v/>
      </c>
      <c r="O74" s="24" t="s">
        <v>619</v>
      </c>
      <c r="P74" s="23">
        <v>3.0590000000000002</v>
      </c>
      <c r="Q74" s="29">
        <v>0.28860000000000002</v>
      </c>
      <c r="R74" s="29"/>
      <c r="S74" s="24" t="s">
        <v>618</v>
      </c>
      <c r="T74" s="24" t="str">
        <f t="shared" si="10"/>
        <v>Upper censored</v>
      </c>
      <c r="U74" s="24" t="s">
        <v>35</v>
      </c>
      <c r="V74" s="24" t="str">
        <f t="shared" si="11"/>
        <v/>
      </c>
      <c r="W74" s="24" t="s">
        <v>619</v>
      </c>
      <c r="X74" s="23">
        <v>3.5</v>
      </c>
      <c r="Y74" s="23">
        <v>3.7187999999999999</v>
      </c>
      <c r="Z74" s="23"/>
      <c r="AA74" s="24" t="s">
        <v>619</v>
      </c>
      <c r="AB74" s="24" t="str">
        <f t="shared" si="12"/>
        <v>Upper censored</v>
      </c>
      <c r="AC74" s="23" t="s">
        <v>35</v>
      </c>
      <c r="AD74" s="23" t="s">
        <v>561</v>
      </c>
      <c r="AE74" s="23" t="str">
        <f t="shared" si="13"/>
        <v/>
      </c>
      <c r="AF74" s="23"/>
      <c r="AG74" s="23" t="str">
        <f t="shared" si="14"/>
        <v/>
      </c>
      <c r="AH74" s="24" t="s">
        <v>619</v>
      </c>
      <c r="AI74" s="23">
        <v>3.411</v>
      </c>
      <c r="AJ74" s="23">
        <v>5.7098000000000004</v>
      </c>
      <c r="AK74" s="23"/>
      <c r="AL74" s="24" t="s">
        <v>619</v>
      </c>
      <c r="AM74" s="24"/>
      <c r="AN74" s="24"/>
      <c r="AO74" s="24" t="str">
        <f t="shared" si="15"/>
        <v/>
      </c>
    </row>
    <row r="75" spans="1:41" x14ac:dyDescent="0.3">
      <c r="A75" s="24" t="s">
        <v>129</v>
      </c>
      <c r="B75" s="24" t="s">
        <v>614</v>
      </c>
      <c r="C75" s="30"/>
      <c r="D75" s="26">
        <v>19.2</v>
      </c>
      <c r="E75" s="34" t="s">
        <v>39</v>
      </c>
      <c r="F75" s="27" t="s">
        <v>54</v>
      </c>
      <c r="G75" s="28">
        <v>44453</v>
      </c>
      <c r="H75" s="28">
        <v>44482</v>
      </c>
      <c r="I75" s="24">
        <v>15</v>
      </c>
      <c r="J75" s="24" t="s">
        <v>43</v>
      </c>
      <c r="K75" s="24" t="s">
        <v>618</v>
      </c>
      <c r="L75" s="24" t="str">
        <f t="shared" si="8"/>
        <v>Upper censored</v>
      </c>
      <c r="M75" s="23" t="s">
        <v>35</v>
      </c>
      <c r="N75" s="23" t="str">
        <f t="shared" si="9"/>
        <v/>
      </c>
      <c r="O75" s="24" t="s">
        <v>619</v>
      </c>
      <c r="P75" s="23">
        <v>3.0590000000000002</v>
      </c>
      <c r="Q75" s="29">
        <v>6.0299999999999999E-2</v>
      </c>
      <c r="R75" s="29"/>
      <c r="S75" s="24" t="s">
        <v>618</v>
      </c>
      <c r="T75" s="24" t="str">
        <f t="shared" si="10"/>
        <v>Technical failure</v>
      </c>
      <c r="U75" s="24" t="s">
        <v>44</v>
      </c>
      <c r="V75" s="24" t="str">
        <f t="shared" si="11"/>
        <v/>
      </c>
      <c r="W75" s="24" t="s">
        <v>620</v>
      </c>
      <c r="X75" s="23">
        <v>3.5</v>
      </c>
      <c r="Y75" s="23">
        <v>1.4978</v>
      </c>
      <c r="Z75" s="23"/>
      <c r="AA75" s="24" t="s">
        <v>619</v>
      </c>
      <c r="AB75" s="24" t="str">
        <f t="shared" si="12"/>
        <v>Not tested</v>
      </c>
      <c r="AC75" s="23" t="s">
        <v>44</v>
      </c>
      <c r="AD75" s="23" t="s">
        <v>561</v>
      </c>
      <c r="AE75" s="23" t="str">
        <f t="shared" si="13"/>
        <v/>
      </c>
      <c r="AF75" s="23"/>
      <c r="AG75" s="23" t="str">
        <f t="shared" si="14"/>
        <v/>
      </c>
      <c r="AH75" s="24" t="s">
        <v>620</v>
      </c>
      <c r="AI75" s="23">
        <v>3.5</v>
      </c>
      <c r="AJ75" s="23">
        <v>0.88639999999999997</v>
      </c>
      <c r="AK75" s="23"/>
      <c r="AL75" s="24" t="s">
        <v>618</v>
      </c>
      <c r="AM75" s="24">
        <v>210</v>
      </c>
      <c r="AN75" s="24">
        <v>0</v>
      </c>
      <c r="AO75" s="24" t="str">
        <f t="shared" si="15"/>
        <v/>
      </c>
    </row>
    <row r="76" spans="1:41" x14ac:dyDescent="0.3">
      <c r="A76" s="24" t="s">
        <v>130</v>
      </c>
      <c r="B76" s="24" t="s">
        <v>436</v>
      </c>
      <c r="C76" s="25"/>
      <c r="D76" s="26">
        <v>24.8</v>
      </c>
      <c r="E76" s="34" t="s">
        <v>31</v>
      </c>
      <c r="F76" s="27" t="s">
        <v>54</v>
      </c>
      <c r="G76" s="28">
        <v>44453</v>
      </c>
      <c r="H76" s="28">
        <v>44477</v>
      </c>
      <c r="I76" s="24">
        <v>12</v>
      </c>
      <c r="J76" s="24" t="s">
        <v>33</v>
      </c>
      <c r="K76" s="24" t="s">
        <v>618</v>
      </c>
      <c r="L76" s="24" t="str">
        <f t="shared" si="8"/>
        <v>Upper censored</v>
      </c>
      <c r="M76" s="23" t="s">
        <v>35</v>
      </c>
      <c r="N76" s="23" t="str">
        <f t="shared" si="9"/>
        <v/>
      </c>
      <c r="O76" s="24" t="s">
        <v>619</v>
      </c>
      <c r="P76" s="23">
        <v>3.0870000000000002</v>
      </c>
      <c r="Q76" s="29">
        <v>7.6399999999999996E-2</v>
      </c>
      <c r="R76" s="29"/>
      <c r="S76" s="24" t="s">
        <v>618</v>
      </c>
      <c r="T76" s="24" t="str">
        <f t="shared" si="10"/>
        <v>Upper censored</v>
      </c>
      <c r="U76" s="24" t="s">
        <v>35</v>
      </c>
      <c r="V76" s="24" t="str">
        <f t="shared" si="11"/>
        <v/>
      </c>
      <c r="W76" s="24" t="s">
        <v>619</v>
      </c>
      <c r="X76" s="23">
        <v>3.2530000000000001</v>
      </c>
      <c r="Y76" s="23">
        <v>8.2100000000000006E-2</v>
      </c>
      <c r="Z76" s="23"/>
      <c r="AA76" s="24" t="s">
        <v>618</v>
      </c>
      <c r="AB76" s="24" t="str">
        <f t="shared" si="12"/>
        <v>Upper censored</v>
      </c>
      <c r="AC76" s="23" t="s">
        <v>35</v>
      </c>
      <c r="AD76" s="23" t="s">
        <v>561</v>
      </c>
      <c r="AE76" s="23" t="str">
        <f t="shared" si="13"/>
        <v/>
      </c>
      <c r="AF76" s="23"/>
      <c r="AG76" s="23" t="str">
        <f t="shared" si="14"/>
        <v/>
      </c>
      <c r="AH76" s="24" t="s">
        <v>619</v>
      </c>
      <c r="AI76" s="23">
        <v>3.5</v>
      </c>
      <c r="AJ76" s="23">
        <v>1.4175</v>
      </c>
      <c r="AK76" s="23"/>
      <c r="AL76" s="24" t="s">
        <v>619</v>
      </c>
      <c r="AM76" s="24">
        <v>210</v>
      </c>
      <c r="AN76" s="24">
        <v>0</v>
      </c>
      <c r="AO76" s="24">
        <f t="shared" si="15"/>
        <v>120</v>
      </c>
    </row>
    <row r="77" spans="1:41" x14ac:dyDescent="0.3">
      <c r="A77" s="24" t="s">
        <v>131</v>
      </c>
      <c r="B77" s="24" t="s">
        <v>614</v>
      </c>
      <c r="C77" s="30"/>
      <c r="D77" s="26">
        <v>22</v>
      </c>
      <c r="E77" s="34" t="s">
        <v>31</v>
      </c>
      <c r="F77" s="27" t="s">
        <v>54</v>
      </c>
      <c r="G77" s="28">
        <v>44453</v>
      </c>
      <c r="H77" s="28">
        <v>44482</v>
      </c>
      <c r="I77" s="24">
        <v>12</v>
      </c>
      <c r="J77" s="24" t="s">
        <v>33</v>
      </c>
      <c r="K77" s="24" t="s">
        <v>618</v>
      </c>
      <c r="L77" s="24" t="str">
        <f t="shared" si="8"/>
        <v>Upper censored</v>
      </c>
      <c r="M77" s="23" t="s">
        <v>35</v>
      </c>
      <c r="N77" s="23" t="str">
        <f t="shared" si="9"/>
        <v/>
      </c>
      <c r="O77" s="24" t="s">
        <v>619</v>
      </c>
      <c r="P77" s="23">
        <v>3.089</v>
      </c>
      <c r="Q77" s="29">
        <v>0.2606</v>
      </c>
      <c r="R77" s="29">
        <v>0.25409999999999999</v>
      </c>
      <c r="S77" s="24" t="s">
        <v>618</v>
      </c>
      <c r="T77" s="24" t="str">
        <f t="shared" si="10"/>
        <v>Upper censored</v>
      </c>
      <c r="U77" s="24" t="s">
        <v>35</v>
      </c>
      <c r="V77" s="24" t="str">
        <f t="shared" si="11"/>
        <v/>
      </c>
      <c r="W77" s="24" t="s">
        <v>619</v>
      </c>
      <c r="X77" s="23">
        <v>3.1640000000000001</v>
      </c>
      <c r="Y77" s="23">
        <v>2.1324999999999998</v>
      </c>
      <c r="Z77" s="23"/>
      <c r="AA77" s="24" t="s">
        <v>619</v>
      </c>
      <c r="AB77" s="24" t="str">
        <f t="shared" si="12"/>
        <v>Upper censored</v>
      </c>
      <c r="AC77" s="23" t="s">
        <v>35</v>
      </c>
      <c r="AD77" s="23" t="s">
        <v>561</v>
      </c>
      <c r="AE77" s="23" t="str">
        <f t="shared" si="13"/>
        <v/>
      </c>
      <c r="AF77" s="23"/>
      <c r="AG77" s="23" t="str">
        <f t="shared" si="14"/>
        <v/>
      </c>
      <c r="AH77" s="24" t="s">
        <v>619</v>
      </c>
      <c r="AI77" s="23">
        <v>2.677</v>
      </c>
      <c r="AJ77" s="23">
        <v>0.84219999999999995</v>
      </c>
      <c r="AK77" s="23"/>
      <c r="AL77" s="24" t="s">
        <v>618</v>
      </c>
      <c r="AM77" s="24">
        <v>210</v>
      </c>
      <c r="AN77" s="24">
        <v>0</v>
      </c>
      <c r="AO77" s="24">
        <f t="shared" si="15"/>
        <v>120</v>
      </c>
    </row>
    <row r="78" spans="1:41" x14ac:dyDescent="0.3">
      <c r="A78" s="24" t="s">
        <v>133</v>
      </c>
      <c r="B78" s="24" t="s">
        <v>614</v>
      </c>
      <c r="C78" s="25" t="s">
        <v>616</v>
      </c>
      <c r="D78" s="26">
        <v>23.6</v>
      </c>
      <c r="E78" s="34" t="s">
        <v>39</v>
      </c>
      <c r="F78" s="27" t="s">
        <v>54</v>
      </c>
      <c r="G78" s="28">
        <v>44454</v>
      </c>
      <c r="H78" s="28">
        <v>44476</v>
      </c>
      <c r="I78" s="24">
        <v>15</v>
      </c>
      <c r="J78" s="24" t="s">
        <v>43</v>
      </c>
      <c r="K78" s="24" t="s">
        <v>618</v>
      </c>
      <c r="L78" s="24" t="str">
        <f t="shared" si="8"/>
        <v>Upper censored</v>
      </c>
      <c r="M78" s="23" t="s">
        <v>35</v>
      </c>
      <c r="N78" s="23" t="str">
        <f t="shared" si="9"/>
        <v/>
      </c>
      <c r="O78" s="24" t="s">
        <v>619</v>
      </c>
      <c r="P78" s="23">
        <v>3.089</v>
      </c>
      <c r="Q78" s="29">
        <v>9.2999999999999999E-2</v>
      </c>
      <c r="R78" s="29"/>
      <c r="S78" s="24" t="s">
        <v>618</v>
      </c>
      <c r="T78" s="24" t="str">
        <f t="shared" si="10"/>
        <v>Upper censored</v>
      </c>
      <c r="U78" s="24" t="s">
        <v>35</v>
      </c>
      <c r="V78" s="24" t="str">
        <f t="shared" si="11"/>
        <v/>
      </c>
      <c r="W78" s="24" t="s">
        <v>619</v>
      </c>
      <c r="X78" s="23">
        <v>3.5</v>
      </c>
      <c r="Y78" s="23">
        <v>1.7387999999999999</v>
      </c>
      <c r="Z78" s="23"/>
      <c r="AA78" s="24" t="s">
        <v>619</v>
      </c>
      <c r="AB78" s="24" t="str">
        <f t="shared" si="12"/>
        <v>Upper censored</v>
      </c>
      <c r="AC78" s="23" t="s">
        <v>35</v>
      </c>
      <c r="AD78" s="23" t="s">
        <v>561</v>
      </c>
      <c r="AE78" s="23" t="str">
        <f t="shared" si="13"/>
        <v/>
      </c>
      <c r="AF78" s="23"/>
      <c r="AG78" s="23" t="str">
        <f t="shared" si="14"/>
        <v/>
      </c>
      <c r="AH78" s="24" t="s">
        <v>619</v>
      </c>
      <c r="AI78" s="23">
        <v>3.3220000000000001</v>
      </c>
      <c r="AJ78" s="23">
        <v>0.96899999999999997</v>
      </c>
      <c r="AK78" s="23"/>
      <c r="AL78" s="24" t="s">
        <v>618</v>
      </c>
      <c r="AM78" s="24">
        <v>210</v>
      </c>
      <c r="AN78" s="24">
        <v>0</v>
      </c>
      <c r="AO78" s="24">
        <f t="shared" si="15"/>
        <v>120</v>
      </c>
    </row>
    <row r="79" spans="1:41" x14ac:dyDescent="0.3">
      <c r="A79" s="24" t="s">
        <v>134</v>
      </c>
      <c r="B79" s="24" t="s">
        <v>436</v>
      </c>
      <c r="C79" s="25"/>
      <c r="D79" s="26">
        <v>19.7</v>
      </c>
      <c r="E79" s="34" t="s">
        <v>39</v>
      </c>
      <c r="F79" s="27" t="s">
        <v>54</v>
      </c>
      <c r="G79" s="28">
        <v>44453</v>
      </c>
      <c r="H79" s="28">
        <v>44476</v>
      </c>
      <c r="I79" s="24">
        <v>14</v>
      </c>
      <c r="J79" s="24" t="s">
        <v>43</v>
      </c>
      <c r="K79" s="24" t="s">
        <v>618</v>
      </c>
      <c r="L79" s="24" t="str">
        <f t="shared" si="8"/>
        <v>Upper censored</v>
      </c>
      <c r="M79" s="23" t="s">
        <v>35</v>
      </c>
      <c r="N79" s="23" t="str">
        <f t="shared" si="9"/>
        <v/>
      </c>
      <c r="O79" s="24" t="s">
        <v>619</v>
      </c>
      <c r="P79" s="23">
        <v>3.113</v>
      </c>
      <c r="Q79" s="29">
        <v>0.48320000000000002</v>
      </c>
      <c r="R79" s="29"/>
      <c r="S79" s="24" t="s">
        <v>618</v>
      </c>
      <c r="T79" s="24" t="str">
        <f t="shared" si="10"/>
        <v>Upper censored</v>
      </c>
      <c r="U79" s="24" t="s">
        <v>35</v>
      </c>
      <c r="V79" s="24" t="str">
        <f t="shared" si="11"/>
        <v/>
      </c>
      <c r="W79" s="24" t="s">
        <v>619</v>
      </c>
      <c r="X79" s="23">
        <v>3.5</v>
      </c>
      <c r="Y79" s="23">
        <v>0.31469999999999998</v>
      </c>
      <c r="Z79" s="23"/>
      <c r="AA79" s="24" t="s">
        <v>618</v>
      </c>
      <c r="AB79" s="24" t="str">
        <f t="shared" si="12"/>
        <v>Upper censored</v>
      </c>
      <c r="AC79" s="23" t="s">
        <v>35</v>
      </c>
      <c r="AD79" s="23" t="s">
        <v>561</v>
      </c>
      <c r="AE79" s="23" t="str">
        <f t="shared" si="13"/>
        <v/>
      </c>
      <c r="AF79" s="23"/>
      <c r="AG79" s="23" t="str">
        <f t="shared" si="14"/>
        <v/>
      </c>
      <c r="AH79" s="24" t="s">
        <v>619</v>
      </c>
      <c r="AI79" s="23">
        <v>3.0059999999999998</v>
      </c>
      <c r="AJ79" s="23">
        <v>5.7568999999999999</v>
      </c>
      <c r="AK79" s="23"/>
      <c r="AL79" s="24" t="s">
        <v>619</v>
      </c>
      <c r="AM79" s="24">
        <v>210</v>
      </c>
      <c r="AN79" s="24">
        <v>0</v>
      </c>
      <c r="AO79" s="24">
        <f t="shared" si="15"/>
        <v>120</v>
      </c>
    </row>
    <row r="80" spans="1:41" x14ac:dyDescent="0.3">
      <c r="A80" s="24" t="s">
        <v>135</v>
      </c>
      <c r="B80" s="24" t="s">
        <v>436</v>
      </c>
      <c r="C80" s="25" t="s">
        <v>616</v>
      </c>
      <c r="D80" s="26">
        <v>13</v>
      </c>
      <c r="E80" s="34" t="s">
        <v>41</v>
      </c>
      <c r="F80" s="27" t="s">
        <v>54</v>
      </c>
      <c r="G80" s="28">
        <v>44453</v>
      </c>
      <c r="H80" s="28">
        <v>44477</v>
      </c>
      <c r="I80" s="24">
        <v>11</v>
      </c>
      <c r="J80" s="24" t="s">
        <v>33</v>
      </c>
      <c r="K80" s="24" t="s">
        <v>619</v>
      </c>
      <c r="L80" s="24" t="str">
        <f t="shared" si="8"/>
        <v>Upper censored</v>
      </c>
      <c r="M80" s="23" t="s">
        <v>35</v>
      </c>
      <c r="N80" s="23" t="str">
        <f t="shared" si="9"/>
        <v/>
      </c>
      <c r="O80" s="24" t="s">
        <v>619</v>
      </c>
      <c r="P80" s="23">
        <v>3.1139999999999999</v>
      </c>
      <c r="Q80" s="29">
        <v>1.6922999999999999</v>
      </c>
      <c r="R80" s="29"/>
      <c r="S80" s="24" t="s">
        <v>619</v>
      </c>
      <c r="T80" s="24" t="str">
        <f t="shared" si="10"/>
        <v>Upper censored</v>
      </c>
      <c r="U80" s="24" t="s">
        <v>35</v>
      </c>
      <c r="V80" s="24" t="str">
        <f t="shared" si="11"/>
        <v/>
      </c>
      <c r="W80" s="24" t="s">
        <v>619</v>
      </c>
      <c r="X80" s="23">
        <v>3.2549999999999999</v>
      </c>
      <c r="Y80" s="23">
        <v>1.1942999999999999</v>
      </c>
      <c r="Z80" s="23"/>
      <c r="AA80" s="24" t="s">
        <v>619</v>
      </c>
      <c r="AB80" s="24" t="str">
        <f t="shared" si="12"/>
        <v>Upper censored</v>
      </c>
      <c r="AC80" s="23" t="s">
        <v>35</v>
      </c>
      <c r="AD80" s="23" t="s">
        <v>561</v>
      </c>
      <c r="AE80" s="23" t="str">
        <f t="shared" si="13"/>
        <v/>
      </c>
      <c r="AF80" s="23"/>
      <c r="AG80" s="23" t="str">
        <f t="shared" si="14"/>
        <v/>
      </c>
      <c r="AH80" s="24" t="s">
        <v>619</v>
      </c>
      <c r="AI80" s="23">
        <v>3.238</v>
      </c>
      <c r="AJ80" s="23">
        <v>0.80530000000000002</v>
      </c>
      <c r="AK80" s="23"/>
      <c r="AL80" s="24" t="s">
        <v>618</v>
      </c>
      <c r="AM80" s="24">
        <v>210</v>
      </c>
      <c r="AN80" s="24">
        <v>0</v>
      </c>
      <c r="AO80" s="24">
        <f t="shared" si="15"/>
        <v>120</v>
      </c>
    </row>
    <row r="81" spans="1:41" x14ac:dyDescent="0.3">
      <c r="A81" s="24" t="s">
        <v>136</v>
      </c>
      <c r="B81" s="24" t="s">
        <v>614</v>
      </c>
      <c r="C81" s="25" t="s">
        <v>615</v>
      </c>
      <c r="D81" s="26">
        <v>21.2</v>
      </c>
      <c r="E81" s="34" t="s">
        <v>39</v>
      </c>
      <c r="F81" s="27" t="s">
        <v>54</v>
      </c>
      <c r="G81" s="28">
        <v>44454</v>
      </c>
      <c r="H81" s="28">
        <v>44476</v>
      </c>
      <c r="I81" s="24">
        <v>15</v>
      </c>
      <c r="J81" s="24" t="s">
        <v>43</v>
      </c>
      <c r="K81" s="24" t="s">
        <v>618</v>
      </c>
      <c r="L81" s="24" t="str">
        <f t="shared" si="8"/>
        <v>Upper censored</v>
      </c>
      <c r="M81" s="23" t="s">
        <v>35</v>
      </c>
      <c r="N81" s="23" t="str">
        <f t="shared" si="9"/>
        <v/>
      </c>
      <c r="O81" s="24" t="s">
        <v>619</v>
      </c>
      <c r="P81" s="23">
        <v>3.1269999999999998</v>
      </c>
      <c r="Q81" s="29">
        <v>0.70469999999999999</v>
      </c>
      <c r="R81" s="29"/>
      <c r="S81" s="24" t="s">
        <v>618</v>
      </c>
      <c r="T81" s="24" t="str">
        <f t="shared" si="10"/>
        <v>Upper censored</v>
      </c>
      <c r="U81" s="24" t="s">
        <v>35</v>
      </c>
      <c r="V81" s="24" t="str">
        <f t="shared" si="11"/>
        <v/>
      </c>
      <c r="W81" s="24" t="s">
        <v>619</v>
      </c>
      <c r="X81" s="23">
        <v>3.0630000000000002</v>
      </c>
      <c r="Y81" s="23">
        <v>1.7098</v>
      </c>
      <c r="Z81" s="23"/>
      <c r="AA81" s="24" t="s">
        <v>619</v>
      </c>
      <c r="AB81" s="24" t="str">
        <f t="shared" si="12"/>
        <v>Upper censored</v>
      </c>
      <c r="AC81" s="23" t="s">
        <v>35</v>
      </c>
      <c r="AD81" s="23" t="s">
        <v>561</v>
      </c>
      <c r="AE81" s="23" t="str">
        <f t="shared" si="13"/>
        <v>Upper censored</v>
      </c>
      <c r="AF81" s="23" t="s">
        <v>35</v>
      </c>
      <c r="AG81" s="23" t="str">
        <f t="shared" si="14"/>
        <v/>
      </c>
      <c r="AH81" s="24" t="s">
        <v>619</v>
      </c>
      <c r="AI81" s="23">
        <v>2.387</v>
      </c>
      <c r="AJ81" s="23">
        <v>1.0085999999999999</v>
      </c>
      <c r="AK81" s="23"/>
      <c r="AL81" s="24" t="s">
        <v>618</v>
      </c>
      <c r="AM81" s="24">
        <v>210</v>
      </c>
      <c r="AN81" s="24">
        <v>0</v>
      </c>
      <c r="AO81" s="24">
        <f t="shared" si="15"/>
        <v>120</v>
      </c>
    </row>
    <row r="82" spans="1:41" x14ac:dyDescent="0.3">
      <c r="A82" s="24" t="s">
        <v>138</v>
      </c>
      <c r="B82" s="24" t="s">
        <v>436</v>
      </c>
      <c r="C82" s="25" t="s">
        <v>616</v>
      </c>
      <c r="D82" s="26">
        <v>28.4</v>
      </c>
      <c r="E82" s="34" t="s">
        <v>47</v>
      </c>
      <c r="F82" s="27" t="s">
        <v>54</v>
      </c>
      <c r="G82" s="28">
        <v>44453</v>
      </c>
      <c r="H82" s="28">
        <v>44477</v>
      </c>
      <c r="I82" s="24">
        <v>14</v>
      </c>
      <c r="J82" s="24" t="s">
        <v>43</v>
      </c>
      <c r="K82" s="24" t="s">
        <v>618</v>
      </c>
      <c r="L82" s="24" t="str">
        <f t="shared" si="8"/>
        <v>Upper censored</v>
      </c>
      <c r="M82" s="23" t="s">
        <v>35</v>
      </c>
      <c r="N82" s="23" t="str">
        <f t="shared" si="9"/>
        <v/>
      </c>
      <c r="O82" s="24" t="s">
        <v>619</v>
      </c>
      <c r="P82" s="23">
        <v>3.14</v>
      </c>
      <c r="Q82" s="29">
        <v>0.18779999999999999</v>
      </c>
      <c r="R82" s="29"/>
      <c r="S82" s="24" t="s">
        <v>618</v>
      </c>
      <c r="T82" s="24" t="str">
        <f t="shared" si="10"/>
        <v>Upper censored</v>
      </c>
      <c r="U82" s="24" t="s">
        <v>35</v>
      </c>
      <c r="V82" s="24" t="str">
        <f t="shared" si="11"/>
        <v/>
      </c>
      <c r="W82" s="24" t="s">
        <v>619</v>
      </c>
      <c r="X82" s="23">
        <v>3.242</v>
      </c>
      <c r="Y82" s="23">
        <v>0.1749</v>
      </c>
      <c r="Z82" s="23"/>
      <c r="AA82" s="24" t="s">
        <v>618</v>
      </c>
      <c r="AB82" s="24" t="str">
        <f t="shared" si="12"/>
        <v>Not tested</v>
      </c>
      <c r="AC82" s="23" t="s">
        <v>44</v>
      </c>
      <c r="AD82" s="23" t="s">
        <v>561</v>
      </c>
      <c r="AE82" s="23" t="str">
        <f t="shared" si="13"/>
        <v/>
      </c>
      <c r="AF82" s="23"/>
      <c r="AG82" s="23" t="str">
        <f t="shared" si="14"/>
        <v/>
      </c>
      <c r="AH82" s="24" t="s">
        <v>620</v>
      </c>
      <c r="AI82" s="23">
        <v>3.0990000000000002</v>
      </c>
      <c r="AJ82" s="23">
        <v>0.95199999999999996</v>
      </c>
      <c r="AK82" s="23"/>
      <c r="AL82" s="24" t="s">
        <v>618</v>
      </c>
      <c r="AM82" s="24">
        <v>210</v>
      </c>
      <c r="AN82" s="24">
        <v>0</v>
      </c>
      <c r="AO82" s="24" t="str">
        <f t="shared" si="15"/>
        <v/>
      </c>
    </row>
    <row r="83" spans="1:41" x14ac:dyDescent="0.3">
      <c r="A83" s="24" t="s">
        <v>139</v>
      </c>
      <c r="B83" s="24" t="s">
        <v>614</v>
      </c>
      <c r="C83" s="30" t="s">
        <v>616</v>
      </c>
      <c r="D83" s="26">
        <v>18.399999999999999</v>
      </c>
      <c r="E83" s="34" t="s">
        <v>39</v>
      </c>
      <c r="F83" s="27" t="s">
        <v>54</v>
      </c>
      <c r="G83" s="28">
        <v>44453</v>
      </c>
      <c r="H83" s="28">
        <v>44477</v>
      </c>
      <c r="I83" s="24">
        <v>12</v>
      </c>
      <c r="J83" s="24" t="s">
        <v>33</v>
      </c>
      <c r="K83" s="24" t="s">
        <v>619</v>
      </c>
      <c r="L83" s="24" t="str">
        <f t="shared" si="8"/>
        <v>Upper censored</v>
      </c>
      <c r="M83" s="23" t="s">
        <v>35</v>
      </c>
      <c r="N83" s="23" t="str">
        <f t="shared" si="9"/>
        <v/>
      </c>
      <c r="O83" s="24" t="s">
        <v>619</v>
      </c>
      <c r="P83" s="23">
        <v>3.141</v>
      </c>
      <c r="Q83" s="29">
        <v>0.1759</v>
      </c>
      <c r="R83" s="29"/>
      <c r="S83" s="24" t="s">
        <v>618</v>
      </c>
      <c r="T83" s="24" t="str">
        <f t="shared" si="10"/>
        <v>Technical failure</v>
      </c>
      <c r="U83" s="24" t="s">
        <v>44</v>
      </c>
      <c r="V83" s="24" t="str">
        <f t="shared" si="11"/>
        <v/>
      </c>
      <c r="W83" s="24" t="s">
        <v>620</v>
      </c>
      <c r="X83" s="23">
        <v>3.5</v>
      </c>
      <c r="Y83" s="23">
        <v>1.9359999999999999</v>
      </c>
      <c r="Z83" s="23"/>
      <c r="AA83" s="24" t="s">
        <v>619</v>
      </c>
      <c r="AB83" s="24" t="str">
        <f t="shared" si="12"/>
        <v>Upper censored</v>
      </c>
      <c r="AC83" s="23" t="s">
        <v>35</v>
      </c>
      <c r="AD83" s="23" t="s">
        <v>561</v>
      </c>
      <c r="AE83" s="23" t="str">
        <f t="shared" si="13"/>
        <v/>
      </c>
      <c r="AF83" s="23"/>
      <c r="AG83" s="23" t="str">
        <f t="shared" si="14"/>
        <v/>
      </c>
      <c r="AH83" s="24" t="s">
        <v>619</v>
      </c>
      <c r="AI83" s="23">
        <v>3.4089999999999998</v>
      </c>
      <c r="AJ83" s="23">
        <v>1.1156999999999999</v>
      </c>
      <c r="AK83" s="23"/>
      <c r="AL83" s="24" t="s">
        <v>619</v>
      </c>
      <c r="AM83" s="24"/>
      <c r="AN83" s="24"/>
      <c r="AO83" s="24" t="str">
        <f t="shared" si="15"/>
        <v/>
      </c>
    </row>
    <row r="84" spans="1:41" x14ac:dyDescent="0.3">
      <c r="A84" s="24" t="s">
        <v>140</v>
      </c>
      <c r="B84" s="24" t="s">
        <v>436</v>
      </c>
      <c r="C84" s="25"/>
      <c r="D84" s="26">
        <v>15.5</v>
      </c>
      <c r="E84" s="34" t="s">
        <v>39</v>
      </c>
      <c r="F84" s="27" t="s">
        <v>54</v>
      </c>
      <c r="G84" s="28">
        <v>44453</v>
      </c>
      <c r="H84" s="28">
        <v>44477</v>
      </c>
      <c r="I84" s="24">
        <v>12</v>
      </c>
      <c r="J84" s="24" t="s">
        <v>33</v>
      </c>
      <c r="K84" s="24" t="s">
        <v>618</v>
      </c>
      <c r="L84" s="24" t="str">
        <f t="shared" si="8"/>
        <v>Not tested</v>
      </c>
      <c r="M84" s="23" t="s">
        <v>44</v>
      </c>
      <c r="N84" s="23" t="str">
        <f t="shared" si="9"/>
        <v/>
      </c>
      <c r="O84" s="23" t="s">
        <v>620</v>
      </c>
      <c r="P84" s="23">
        <v>3.1459999999999999</v>
      </c>
      <c r="Q84" s="29">
        <v>0.2555</v>
      </c>
      <c r="R84" s="29"/>
      <c r="S84" s="24" t="s">
        <v>618</v>
      </c>
      <c r="T84" s="24" t="str">
        <f t="shared" si="10"/>
        <v>Technical failure</v>
      </c>
      <c r="U84" s="24" t="s">
        <v>44</v>
      </c>
      <c r="V84" s="24" t="str">
        <f t="shared" si="11"/>
        <v/>
      </c>
      <c r="W84" s="24" t="s">
        <v>620</v>
      </c>
      <c r="X84" s="23">
        <v>3.5</v>
      </c>
      <c r="Y84" s="23">
        <v>5.4358000000000004</v>
      </c>
      <c r="Z84" s="23"/>
      <c r="AA84" s="24" t="s">
        <v>619</v>
      </c>
      <c r="AB84" s="24" t="str">
        <f t="shared" si="12"/>
        <v>Upper censored</v>
      </c>
      <c r="AC84" s="23" t="s">
        <v>35</v>
      </c>
      <c r="AD84" s="23" t="s">
        <v>561</v>
      </c>
      <c r="AE84" s="23" t="str">
        <f t="shared" si="13"/>
        <v/>
      </c>
      <c r="AF84" s="23"/>
      <c r="AG84" s="23" t="str">
        <f t="shared" si="14"/>
        <v/>
      </c>
      <c r="AH84" s="24" t="s">
        <v>619</v>
      </c>
      <c r="AI84" s="23">
        <v>3.5</v>
      </c>
      <c r="AJ84" s="23">
        <v>1.9039999999999999</v>
      </c>
      <c r="AK84" s="23"/>
      <c r="AL84" s="24" t="s">
        <v>619</v>
      </c>
      <c r="AM84" s="24">
        <v>210</v>
      </c>
      <c r="AN84" s="24">
        <v>0</v>
      </c>
      <c r="AO84" s="24">
        <f t="shared" si="15"/>
        <v>120</v>
      </c>
    </row>
    <row r="85" spans="1:41" x14ac:dyDescent="0.3">
      <c r="A85" s="24" t="s">
        <v>141</v>
      </c>
      <c r="B85" s="24" t="s">
        <v>436</v>
      </c>
      <c r="C85" s="25" t="s">
        <v>616</v>
      </c>
      <c r="D85" s="26">
        <v>15.7</v>
      </c>
      <c r="E85" s="34" t="s">
        <v>39</v>
      </c>
      <c r="F85" s="27" t="s">
        <v>54</v>
      </c>
      <c r="G85" s="28">
        <v>44453</v>
      </c>
      <c r="H85" s="28">
        <v>44477</v>
      </c>
      <c r="I85" s="24">
        <v>11</v>
      </c>
      <c r="J85" s="24" t="s">
        <v>33</v>
      </c>
      <c r="K85" s="24" t="s">
        <v>618</v>
      </c>
      <c r="L85" s="24" t="str">
        <f t="shared" si="8"/>
        <v>Upper censored</v>
      </c>
      <c r="M85" s="23" t="s">
        <v>35</v>
      </c>
      <c r="N85" s="23" t="str">
        <f t="shared" si="9"/>
        <v/>
      </c>
      <c r="O85" s="24" t="s">
        <v>619</v>
      </c>
      <c r="P85" s="23">
        <v>3.157</v>
      </c>
      <c r="Q85" s="29">
        <v>2.7589999999999999</v>
      </c>
      <c r="R85" s="29"/>
      <c r="S85" s="24" t="s">
        <v>619</v>
      </c>
      <c r="T85" s="24" t="str">
        <f t="shared" si="10"/>
        <v>Upper censored</v>
      </c>
      <c r="U85" s="24" t="s">
        <v>35</v>
      </c>
      <c r="V85" s="24" t="str">
        <f t="shared" si="11"/>
        <v/>
      </c>
      <c r="W85" s="24" t="s">
        <v>619</v>
      </c>
      <c r="X85" s="23">
        <v>3.3069999999999999</v>
      </c>
      <c r="Y85" s="23">
        <v>2.6413000000000002</v>
      </c>
      <c r="Z85" s="23">
        <v>2.5695000000000001</v>
      </c>
      <c r="AA85" s="24" t="s">
        <v>619</v>
      </c>
      <c r="AB85" s="24" t="str">
        <f t="shared" si="12"/>
        <v>Not tested</v>
      </c>
      <c r="AC85" s="23" t="s">
        <v>44</v>
      </c>
      <c r="AD85" s="23" t="s">
        <v>561</v>
      </c>
      <c r="AE85" s="23" t="str">
        <f t="shared" si="13"/>
        <v/>
      </c>
      <c r="AF85" s="23"/>
      <c r="AG85" s="23" t="str">
        <f t="shared" si="14"/>
        <v/>
      </c>
      <c r="AH85" s="24" t="s">
        <v>620</v>
      </c>
      <c r="AI85" s="23">
        <v>3.09</v>
      </c>
      <c r="AJ85" s="23">
        <v>5.8594999999999997</v>
      </c>
      <c r="AK85" s="23"/>
      <c r="AL85" s="24" t="s">
        <v>619</v>
      </c>
      <c r="AM85" s="24"/>
      <c r="AN85" s="24"/>
      <c r="AO85" s="24" t="str">
        <f t="shared" si="15"/>
        <v/>
      </c>
    </row>
    <row r="86" spans="1:41" x14ac:dyDescent="0.3">
      <c r="A86" s="24" t="s">
        <v>143</v>
      </c>
      <c r="B86" s="24" t="s">
        <v>436</v>
      </c>
      <c r="C86" s="30"/>
      <c r="D86" s="26">
        <v>31.4</v>
      </c>
      <c r="E86" s="34" t="s">
        <v>47</v>
      </c>
      <c r="F86" s="27" t="s">
        <v>54</v>
      </c>
      <c r="G86" s="28">
        <v>44453</v>
      </c>
      <c r="H86" s="28">
        <v>44477</v>
      </c>
      <c r="I86" s="24">
        <v>12</v>
      </c>
      <c r="J86" s="24" t="s">
        <v>33</v>
      </c>
      <c r="K86" s="24" t="s">
        <v>619</v>
      </c>
      <c r="L86" s="24" t="str">
        <f t="shared" si="8"/>
        <v>Upper censored</v>
      </c>
      <c r="M86" s="23" t="s">
        <v>35</v>
      </c>
      <c r="N86" s="23" t="str">
        <f t="shared" si="9"/>
        <v/>
      </c>
      <c r="O86" s="24" t="s">
        <v>619</v>
      </c>
      <c r="P86" s="23">
        <v>3.165</v>
      </c>
      <c r="Q86" s="29">
        <v>4.5600000000000002E-2</v>
      </c>
      <c r="R86" s="29"/>
      <c r="S86" s="24" t="s">
        <v>618</v>
      </c>
      <c r="T86" s="24" t="str">
        <f t="shared" si="10"/>
        <v>Upper censored</v>
      </c>
      <c r="U86" s="24" t="s">
        <v>35</v>
      </c>
      <c r="V86" s="24" t="str">
        <f t="shared" si="11"/>
        <v/>
      </c>
      <c r="W86" s="24" t="s">
        <v>619</v>
      </c>
      <c r="X86" s="23">
        <v>3.5</v>
      </c>
      <c r="Y86" s="23">
        <v>7.3999999999999996E-2</v>
      </c>
      <c r="Z86" s="23"/>
      <c r="AA86" s="24" t="s">
        <v>618</v>
      </c>
      <c r="AB86" s="24" t="str">
        <f t="shared" si="12"/>
        <v>Upper censored</v>
      </c>
      <c r="AC86" s="23" t="s">
        <v>35</v>
      </c>
      <c r="AD86" s="23" t="s">
        <v>561</v>
      </c>
      <c r="AE86" s="23" t="str">
        <f t="shared" si="13"/>
        <v/>
      </c>
      <c r="AF86" s="23"/>
      <c r="AG86" s="23" t="str">
        <f t="shared" si="14"/>
        <v/>
      </c>
      <c r="AH86" s="24" t="s">
        <v>619</v>
      </c>
      <c r="AI86" s="23">
        <v>3.351</v>
      </c>
      <c r="AJ86" s="23">
        <v>0.21690000000000001</v>
      </c>
      <c r="AK86" s="23"/>
      <c r="AL86" s="24" t="s">
        <v>618</v>
      </c>
      <c r="AM86" s="24">
        <v>210</v>
      </c>
      <c r="AN86" s="24">
        <v>0</v>
      </c>
      <c r="AO86" s="24">
        <f t="shared" si="15"/>
        <v>120</v>
      </c>
    </row>
    <row r="87" spans="1:41" x14ac:dyDescent="0.3">
      <c r="A87" s="24" t="s">
        <v>144</v>
      </c>
      <c r="B87" s="24" t="s">
        <v>436</v>
      </c>
      <c r="C87" s="25" t="s">
        <v>616</v>
      </c>
      <c r="D87" s="26">
        <v>21.7</v>
      </c>
      <c r="E87" s="34" t="s">
        <v>39</v>
      </c>
      <c r="F87" s="27" t="s">
        <v>54</v>
      </c>
      <c r="G87" s="28">
        <v>44453</v>
      </c>
      <c r="H87" s="28">
        <v>44477</v>
      </c>
      <c r="I87" s="24">
        <v>12</v>
      </c>
      <c r="J87" s="24" t="s">
        <v>33</v>
      </c>
      <c r="K87" s="24" t="s">
        <v>619</v>
      </c>
      <c r="L87" s="24" t="str">
        <f t="shared" si="8"/>
        <v>Upper censored</v>
      </c>
      <c r="M87" s="23" t="s">
        <v>35</v>
      </c>
      <c r="N87" s="23" t="str">
        <f t="shared" si="9"/>
        <v/>
      </c>
      <c r="O87" s="24" t="s">
        <v>619</v>
      </c>
      <c r="P87" s="23">
        <v>3.1829999999999998</v>
      </c>
      <c r="Q87" s="29">
        <v>1.5546</v>
      </c>
      <c r="R87" s="29"/>
      <c r="S87" s="24" t="s">
        <v>619</v>
      </c>
      <c r="T87" s="24" t="str">
        <f t="shared" si="10"/>
        <v>Upper censored</v>
      </c>
      <c r="U87" s="24" t="s">
        <v>35</v>
      </c>
      <c r="V87" s="24" t="str">
        <f t="shared" si="11"/>
        <v/>
      </c>
      <c r="W87" s="24" t="s">
        <v>619</v>
      </c>
      <c r="X87" s="23">
        <v>3.1960000000000002</v>
      </c>
      <c r="Y87" s="23">
        <v>0.64570000000000005</v>
      </c>
      <c r="Z87" s="23"/>
      <c r="AA87" s="24" t="s">
        <v>618</v>
      </c>
      <c r="AB87" s="24" t="str">
        <f t="shared" si="12"/>
        <v>Not tested</v>
      </c>
      <c r="AC87" s="23" t="s">
        <v>44</v>
      </c>
      <c r="AD87" s="23" t="s">
        <v>561</v>
      </c>
      <c r="AE87" s="23" t="str">
        <f t="shared" si="13"/>
        <v/>
      </c>
      <c r="AF87" s="23"/>
      <c r="AG87" s="23" t="str">
        <f t="shared" si="14"/>
        <v/>
      </c>
      <c r="AH87" s="24" t="s">
        <v>620</v>
      </c>
      <c r="AI87" s="23">
        <v>2.5990000000000002</v>
      </c>
      <c r="AJ87" s="23">
        <v>4.7828999999999997</v>
      </c>
      <c r="AK87" s="23"/>
      <c r="AL87" s="24" t="s">
        <v>619</v>
      </c>
      <c r="AM87" s="24">
        <v>210</v>
      </c>
      <c r="AN87" s="24">
        <v>0</v>
      </c>
      <c r="AO87" s="24" t="str">
        <f t="shared" si="15"/>
        <v/>
      </c>
    </row>
    <row r="88" spans="1:41" x14ac:dyDescent="0.3">
      <c r="A88" s="24" t="s">
        <v>145</v>
      </c>
      <c r="B88" s="24" t="s">
        <v>436</v>
      </c>
      <c r="C88" s="25"/>
      <c r="D88" s="26">
        <v>20.3</v>
      </c>
      <c r="E88" s="34" t="s">
        <v>39</v>
      </c>
      <c r="F88" s="27" t="s">
        <v>54</v>
      </c>
      <c r="G88" s="28">
        <v>44453</v>
      </c>
      <c r="H88" s="28">
        <v>44476</v>
      </c>
      <c r="I88" s="24">
        <v>15</v>
      </c>
      <c r="J88" s="24" t="s">
        <v>43</v>
      </c>
      <c r="K88" s="24" t="s">
        <v>619</v>
      </c>
      <c r="L88" s="24" t="str">
        <f t="shared" si="8"/>
        <v>Upper censored</v>
      </c>
      <c r="M88" s="23" t="s">
        <v>35</v>
      </c>
      <c r="N88" s="23" t="str">
        <f t="shared" si="9"/>
        <v/>
      </c>
      <c r="O88" s="24" t="s">
        <v>619</v>
      </c>
      <c r="P88" s="23">
        <v>3.1949999999999998</v>
      </c>
      <c r="Q88" s="29">
        <v>0.4637</v>
      </c>
      <c r="R88" s="29"/>
      <c r="S88" s="24" t="s">
        <v>618</v>
      </c>
      <c r="T88" s="24" t="str">
        <f t="shared" si="10"/>
        <v>Normal</v>
      </c>
      <c r="U88" s="24">
        <v>14.909599999999999</v>
      </c>
      <c r="V88" s="24">
        <f t="shared" si="11"/>
        <v>14.909599999999999</v>
      </c>
      <c r="W88" s="24" t="s">
        <v>619</v>
      </c>
      <c r="X88" s="23">
        <v>3.5</v>
      </c>
      <c r="Y88" s="23">
        <v>2.5341999999999998</v>
      </c>
      <c r="Z88" s="23"/>
      <c r="AA88" s="24" t="s">
        <v>619</v>
      </c>
      <c r="AB88" s="24" t="str">
        <f t="shared" si="12"/>
        <v>Normal</v>
      </c>
      <c r="AC88" s="23">
        <v>80372</v>
      </c>
      <c r="AD88" s="23">
        <v>8.0372000000000003</v>
      </c>
      <c r="AE88" s="23" t="str">
        <f t="shared" si="13"/>
        <v/>
      </c>
      <c r="AF88" s="23"/>
      <c r="AG88" s="23" t="str">
        <f t="shared" si="14"/>
        <v/>
      </c>
      <c r="AH88" t="s">
        <v>621</v>
      </c>
      <c r="AI88" s="23">
        <v>2.9940000000000002</v>
      </c>
      <c r="AJ88" s="23">
        <v>0.91800000000000004</v>
      </c>
      <c r="AK88" s="23"/>
      <c r="AL88" s="24" t="s">
        <v>618</v>
      </c>
      <c r="AM88" s="24"/>
      <c r="AN88" s="24"/>
      <c r="AO88" s="24" t="str">
        <f t="shared" si="15"/>
        <v/>
      </c>
    </row>
    <row r="89" spans="1:41" x14ac:dyDescent="0.3">
      <c r="A89" s="24" t="s">
        <v>146</v>
      </c>
      <c r="B89" s="24" t="s">
        <v>436</v>
      </c>
      <c r="C89" s="25" t="s">
        <v>616</v>
      </c>
      <c r="D89" s="26">
        <v>15.1</v>
      </c>
      <c r="E89" s="34" t="s">
        <v>39</v>
      </c>
      <c r="F89" s="27" t="s">
        <v>54</v>
      </c>
      <c r="G89" s="28">
        <v>44453</v>
      </c>
      <c r="H89" s="28">
        <v>44477</v>
      </c>
      <c r="I89" s="24">
        <v>12</v>
      </c>
      <c r="J89" s="24" t="s">
        <v>33</v>
      </c>
      <c r="K89" s="24" t="s">
        <v>618</v>
      </c>
      <c r="L89" s="24" t="str">
        <f t="shared" si="8"/>
        <v>Upper censored</v>
      </c>
      <c r="M89" s="23" t="s">
        <v>35</v>
      </c>
      <c r="N89" s="23" t="str">
        <f t="shared" si="9"/>
        <v/>
      </c>
      <c r="O89" s="24" t="s">
        <v>619</v>
      </c>
      <c r="P89" s="23">
        <v>3.2050000000000001</v>
      </c>
      <c r="Q89" s="29">
        <v>1.1581999999999999</v>
      </c>
      <c r="R89" s="29"/>
      <c r="S89" s="24" t="s">
        <v>619</v>
      </c>
      <c r="T89" s="24" t="str">
        <f t="shared" si="10"/>
        <v>Normal</v>
      </c>
      <c r="U89" s="24">
        <v>84.845100000000002</v>
      </c>
      <c r="V89" s="24">
        <f t="shared" si="11"/>
        <v>84.845100000000002</v>
      </c>
      <c r="W89" s="24" t="s">
        <v>619</v>
      </c>
      <c r="X89" s="23">
        <v>3.5</v>
      </c>
      <c r="Y89" s="23">
        <v>5.1192000000000002</v>
      </c>
      <c r="Z89" s="23"/>
      <c r="AA89" s="24" t="s">
        <v>619</v>
      </c>
      <c r="AB89" s="24" t="str">
        <f t="shared" si="12"/>
        <v>Normal</v>
      </c>
      <c r="AC89" s="23">
        <v>48724</v>
      </c>
      <c r="AD89" s="23">
        <v>4.8723999999999998</v>
      </c>
      <c r="AE89" s="23" t="str">
        <f t="shared" si="13"/>
        <v/>
      </c>
      <c r="AF89" s="23"/>
      <c r="AG89" s="23" t="str">
        <f t="shared" si="14"/>
        <v/>
      </c>
      <c r="AH89" s="24" t="s">
        <v>619</v>
      </c>
      <c r="AI89" s="23">
        <v>3.0310000000000001</v>
      </c>
      <c r="AJ89" s="23">
        <v>2.1414</v>
      </c>
      <c r="AK89" s="23"/>
      <c r="AL89" s="24" t="s">
        <v>619</v>
      </c>
      <c r="AM89" s="24"/>
      <c r="AN89" s="24"/>
      <c r="AO89" s="24" t="str">
        <f t="shared" si="15"/>
        <v/>
      </c>
    </row>
    <row r="90" spans="1:41" x14ac:dyDescent="0.3">
      <c r="A90" s="24" t="s">
        <v>147</v>
      </c>
      <c r="B90" s="24" t="s">
        <v>614</v>
      </c>
      <c r="C90" s="30" t="s">
        <v>616</v>
      </c>
      <c r="D90" s="26">
        <v>20.5</v>
      </c>
      <c r="E90" s="34" t="s">
        <v>39</v>
      </c>
      <c r="F90" s="27" t="s">
        <v>54</v>
      </c>
      <c r="G90" s="28">
        <v>44453</v>
      </c>
      <c r="H90" s="28">
        <v>44476</v>
      </c>
      <c r="I90" s="24">
        <v>14</v>
      </c>
      <c r="J90" s="24" t="s">
        <v>43</v>
      </c>
      <c r="K90" s="24" t="s">
        <v>618</v>
      </c>
      <c r="L90" s="24" t="str">
        <f t="shared" si="8"/>
        <v>Upper censored</v>
      </c>
      <c r="M90" s="23" t="s">
        <v>35</v>
      </c>
      <c r="N90" s="23" t="str">
        <f t="shared" si="9"/>
        <v/>
      </c>
      <c r="O90" s="24" t="s">
        <v>619</v>
      </c>
      <c r="P90" s="23">
        <v>3.2170000000000001</v>
      </c>
      <c r="Q90" s="29">
        <v>0.60660000000000003</v>
      </c>
      <c r="R90" s="29"/>
      <c r="S90" s="24" t="s">
        <v>618</v>
      </c>
      <c r="T90" s="24" t="str">
        <f t="shared" si="10"/>
        <v>Upper censored</v>
      </c>
      <c r="U90" s="24" t="s">
        <v>35</v>
      </c>
      <c r="V90" s="24" t="str">
        <f t="shared" si="11"/>
        <v/>
      </c>
      <c r="W90" s="24" t="s">
        <v>619</v>
      </c>
      <c r="X90" s="23">
        <v>3.1280000000000001</v>
      </c>
      <c r="Y90" s="23">
        <v>0.36420000000000002</v>
      </c>
      <c r="Z90" s="23"/>
      <c r="AA90" s="24" t="s">
        <v>618</v>
      </c>
      <c r="AB90" s="24" t="str">
        <f t="shared" si="12"/>
        <v>Upper censored</v>
      </c>
      <c r="AC90" s="23" t="s">
        <v>35</v>
      </c>
      <c r="AD90" s="23" t="s">
        <v>561</v>
      </c>
      <c r="AE90" s="23" t="str">
        <f t="shared" si="13"/>
        <v/>
      </c>
      <c r="AF90" s="23"/>
      <c r="AG90" s="23" t="str">
        <f t="shared" si="14"/>
        <v/>
      </c>
      <c r="AH90" s="24" t="s">
        <v>619</v>
      </c>
      <c r="AI90" s="23">
        <v>3.3759999999999999</v>
      </c>
      <c r="AJ90" s="23">
        <v>4.7089999999999996</v>
      </c>
      <c r="AK90" s="23"/>
      <c r="AL90" s="24" t="s">
        <v>619</v>
      </c>
      <c r="AM90" s="24">
        <v>210</v>
      </c>
      <c r="AN90" s="24">
        <v>0</v>
      </c>
      <c r="AO90" s="24">
        <f t="shared" si="15"/>
        <v>120</v>
      </c>
    </row>
    <row r="91" spans="1:41" x14ac:dyDescent="0.3">
      <c r="A91" s="24" t="s">
        <v>148</v>
      </c>
      <c r="B91" s="24" t="s">
        <v>614</v>
      </c>
      <c r="C91" s="25"/>
      <c r="D91" s="26">
        <v>25.6</v>
      </c>
      <c r="E91" s="34" t="s">
        <v>47</v>
      </c>
      <c r="F91" s="27" t="s">
        <v>54</v>
      </c>
      <c r="G91" s="28">
        <v>44453</v>
      </c>
      <c r="H91" s="28">
        <v>44477</v>
      </c>
      <c r="I91" s="24">
        <v>12</v>
      </c>
      <c r="J91" s="24" t="s">
        <v>33</v>
      </c>
      <c r="K91" s="24" t="s">
        <v>618</v>
      </c>
      <c r="L91" s="24" t="str">
        <f t="shared" si="8"/>
        <v>Upper censored</v>
      </c>
      <c r="M91" s="23" t="s">
        <v>35</v>
      </c>
      <c r="N91" s="23" t="str">
        <f t="shared" si="9"/>
        <v/>
      </c>
      <c r="O91" s="24" t="s">
        <v>619</v>
      </c>
      <c r="P91" s="23">
        <v>3.2229999999999999</v>
      </c>
      <c r="Q91" s="29">
        <v>0.54069999999999996</v>
      </c>
      <c r="R91" s="29"/>
      <c r="S91" s="24" t="s">
        <v>618</v>
      </c>
      <c r="T91" s="24" t="str">
        <f t="shared" si="10"/>
        <v>Normal</v>
      </c>
      <c r="U91" s="24">
        <v>1.1276999999999999</v>
      </c>
      <c r="V91" s="24">
        <f t="shared" si="11"/>
        <v>1.1276999999999999</v>
      </c>
      <c r="W91" s="24" t="s">
        <v>618</v>
      </c>
      <c r="X91" s="23">
        <v>3.1179999999999999</v>
      </c>
      <c r="Y91" s="23">
        <v>0.19650000000000001</v>
      </c>
      <c r="Z91" s="23"/>
      <c r="AA91" s="24" t="s">
        <v>618</v>
      </c>
      <c r="AB91" s="24" t="str">
        <f t="shared" si="12"/>
        <v>Normal</v>
      </c>
      <c r="AC91" s="23">
        <v>376285</v>
      </c>
      <c r="AD91" s="23">
        <v>37.628500000000003</v>
      </c>
      <c r="AE91" s="23" t="str">
        <f t="shared" si="13"/>
        <v/>
      </c>
      <c r="AF91" s="23"/>
      <c r="AG91" s="23" t="str">
        <f t="shared" si="14"/>
        <v/>
      </c>
      <c r="AH91" s="24" t="s">
        <v>619</v>
      </c>
      <c r="AI91" s="23">
        <v>3.0230000000000001</v>
      </c>
      <c r="AJ91" s="23">
        <v>3.3176000000000001</v>
      </c>
      <c r="AK91" s="23"/>
      <c r="AL91" s="24" t="s">
        <v>619</v>
      </c>
      <c r="AM91" s="24"/>
      <c r="AN91" s="24"/>
      <c r="AO91" s="24" t="str">
        <f t="shared" si="15"/>
        <v/>
      </c>
    </row>
    <row r="92" spans="1:41" x14ac:dyDescent="0.3">
      <c r="A92" s="24" t="s">
        <v>149</v>
      </c>
      <c r="B92" s="24" t="s">
        <v>436</v>
      </c>
      <c r="C92" s="25"/>
      <c r="D92" s="26">
        <v>14.7</v>
      </c>
      <c r="E92" s="34" t="s">
        <v>41</v>
      </c>
      <c r="F92" s="27" t="s">
        <v>54</v>
      </c>
      <c r="G92" s="28">
        <v>44466</v>
      </c>
      <c r="H92" s="28">
        <v>44487</v>
      </c>
      <c r="I92" s="24">
        <v>11</v>
      </c>
      <c r="J92" s="24" t="s">
        <v>33</v>
      </c>
      <c r="K92" s="24" t="s">
        <v>618</v>
      </c>
      <c r="L92" s="24" t="str">
        <f t="shared" si="8"/>
        <v>Upper censored</v>
      </c>
      <c r="M92" s="23" t="s">
        <v>35</v>
      </c>
      <c r="N92" s="23" t="str">
        <f t="shared" si="9"/>
        <v/>
      </c>
      <c r="O92" s="24" t="s">
        <v>619</v>
      </c>
      <c r="P92" s="23">
        <v>3.2650000000000001</v>
      </c>
      <c r="Q92" s="29">
        <v>1.0329999999999999</v>
      </c>
      <c r="R92" s="29"/>
      <c r="S92" s="24" t="s">
        <v>618</v>
      </c>
      <c r="T92" s="24" t="str">
        <f t="shared" si="10"/>
        <v>Upper censored</v>
      </c>
      <c r="U92" s="24" t="s">
        <v>35</v>
      </c>
      <c r="V92" s="24" t="str">
        <f t="shared" si="11"/>
        <v/>
      </c>
      <c r="W92" s="24" t="s">
        <v>619</v>
      </c>
      <c r="X92" s="23">
        <v>3.0640000000000001</v>
      </c>
      <c r="Y92" s="23">
        <v>5.7061000000000002</v>
      </c>
      <c r="Z92" s="23"/>
      <c r="AA92" s="24" t="s">
        <v>619</v>
      </c>
      <c r="AB92" s="24" t="str">
        <f t="shared" si="12"/>
        <v>Normal</v>
      </c>
      <c r="AC92" s="23">
        <v>713687</v>
      </c>
      <c r="AD92" s="23">
        <v>71.368700000000004</v>
      </c>
      <c r="AE92" s="23" t="str">
        <f t="shared" si="13"/>
        <v/>
      </c>
      <c r="AF92" s="23"/>
      <c r="AG92" s="23" t="str">
        <f t="shared" si="14"/>
        <v/>
      </c>
      <c r="AH92" s="24" t="s">
        <v>619</v>
      </c>
      <c r="AI92" s="23">
        <v>3.5</v>
      </c>
      <c r="AJ92" s="23">
        <v>1.3154999999999999</v>
      </c>
      <c r="AK92" s="23"/>
      <c r="AL92" s="24" t="s">
        <v>619</v>
      </c>
      <c r="AM92" s="24"/>
      <c r="AN92" s="24"/>
      <c r="AO92" s="24" t="str">
        <f t="shared" si="15"/>
        <v/>
      </c>
    </row>
    <row r="93" spans="1:41" x14ac:dyDescent="0.3">
      <c r="A93" s="24" t="s">
        <v>150</v>
      </c>
      <c r="B93" s="24" t="s">
        <v>614</v>
      </c>
      <c r="C93" s="25"/>
      <c r="D93" s="26">
        <v>23.7</v>
      </c>
      <c r="E93" s="34" t="s">
        <v>39</v>
      </c>
      <c r="F93" s="27" t="s">
        <v>54</v>
      </c>
      <c r="G93" s="28">
        <v>44454</v>
      </c>
      <c r="H93" s="28">
        <v>44476</v>
      </c>
      <c r="I93" s="24">
        <v>15</v>
      </c>
      <c r="J93" s="24" t="s">
        <v>43</v>
      </c>
      <c r="K93" s="24" t="s">
        <v>618</v>
      </c>
      <c r="L93" s="24" t="str">
        <f t="shared" si="8"/>
        <v>Upper censored</v>
      </c>
      <c r="M93" s="23" t="s">
        <v>35</v>
      </c>
      <c r="N93" s="23" t="str">
        <f t="shared" si="9"/>
        <v/>
      </c>
      <c r="O93" s="24" t="s">
        <v>619</v>
      </c>
      <c r="P93" s="23">
        <v>3.31</v>
      </c>
      <c r="Q93" s="29">
        <v>1.5855999999999999</v>
      </c>
      <c r="R93" s="29"/>
      <c r="S93" s="24" t="s">
        <v>619</v>
      </c>
      <c r="T93" s="24" t="str">
        <f t="shared" si="10"/>
        <v>Technical failure</v>
      </c>
      <c r="U93" s="24" t="s">
        <v>44</v>
      </c>
      <c r="V93" s="24" t="str">
        <f t="shared" si="11"/>
        <v/>
      </c>
      <c r="W93" s="24" t="s">
        <v>620</v>
      </c>
      <c r="X93" s="23">
        <v>3.335</v>
      </c>
      <c r="Y93" s="23">
        <v>5.6496000000000004</v>
      </c>
      <c r="Z93" s="23"/>
      <c r="AA93" s="24" t="s">
        <v>619</v>
      </c>
      <c r="AB93" s="24" t="str">
        <f t="shared" si="12"/>
        <v>Upper censored</v>
      </c>
      <c r="AC93" s="23" t="s">
        <v>35</v>
      </c>
      <c r="AD93" s="23" t="s">
        <v>561</v>
      </c>
      <c r="AE93" s="23" t="str">
        <f t="shared" si="13"/>
        <v/>
      </c>
      <c r="AF93" s="23"/>
      <c r="AG93" s="23" t="str">
        <f t="shared" si="14"/>
        <v/>
      </c>
      <c r="AH93" s="24" t="s">
        <v>619</v>
      </c>
      <c r="AI93" s="23">
        <v>3.5</v>
      </c>
      <c r="AJ93" s="23">
        <v>1.4552</v>
      </c>
      <c r="AK93" s="23"/>
      <c r="AL93" s="24" t="s">
        <v>619</v>
      </c>
      <c r="AM93" s="24">
        <v>210</v>
      </c>
      <c r="AN93" s="24">
        <v>0</v>
      </c>
      <c r="AO93" s="24">
        <f t="shared" si="15"/>
        <v>120</v>
      </c>
    </row>
    <row r="94" spans="1:41" x14ac:dyDescent="0.3">
      <c r="A94" s="24" t="s">
        <v>151</v>
      </c>
      <c r="B94" s="24" t="s">
        <v>614</v>
      </c>
      <c r="C94" s="25" t="s">
        <v>616</v>
      </c>
      <c r="D94" s="26">
        <v>14.6</v>
      </c>
      <c r="E94" s="34" t="s">
        <v>41</v>
      </c>
      <c r="F94" s="27" t="s">
        <v>54</v>
      </c>
      <c r="G94" s="28">
        <v>44453</v>
      </c>
      <c r="H94" s="28">
        <v>44476</v>
      </c>
      <c r="I94" s="24">
        <v>12</v>
      </c>
      <c r="J94" s="24" t="s">
        <v>33</v>
      </c>
      <c r="K94" s="24" t="s">
        <v>618</v>
      </c>
      <c r="L94" s="24" t="str">
        <f t="shared" si="8"/>
        <v>Upper censored</v>
      </c>
      <c r="M94" s="23" t="s">
        <v>35</v>
      </c>
      <c r="N94" s="23" t="str">
        <f t="shared" si="9"/>
        <v/>
      </c>
      <c r="O94" s="24" t="s">
        <v>619</v>
      </c>
      <c r="P94" s="23">
        <v>3.355</v>
      </c>
      <c r="Q94" s="29">
        <v>1.302</v>
      </c>
      <c r="R94" s="29"/>
      <c r="S94" s="24" t="s">
        <v>619</v>
      </c>
      <c r="T94" s="24" t="str">
        <f t="shared" si="10"/>
        <v>Upper censored</v>
      </c>
      <c r="U94" s="24" t="s">
        <v>35</v>
      </c>
      <c r="V94" s="24" t="str">
        <f t="shared" si="11"/>
        <v/>
      </c>
      <c r="W94" s="24" t="s">
        <v>619</v>
      </c>
      <c r="X94" s="23">
        <v>3.5</v>
      </c>
      <c r="Y94" s="23">
        <v>0.57140000000000002</v>
      </c>
      <c r="Z94" s="23">
        <v>0.55800000000000005</v>
      </c>
      <c r="AA94" s="24" t="s">
        <v>618</v>
      </c>
      <c r="AB94" s="24" t="str">
        <f t="shared" si="12"/>
        <v>Upper censored</v>
      </c>
      <c r="AC94" s="23" t="s">
        <v>35</v>
      </c>
      <c r="AD94" s="23" t="s">
        <v>561</v>
      </c>
      <c r="AE94" s="23" t="str">
        <f t="shared" si="13"/>
        <v/>
      </c>
      <c r="AF94" s="23"/>
      <c r="AG94" s="23" t="str">
        <f t="shared" si="14"/>
        <v/>
      </c>
      <c r="AH94" s="24" t="s">
        <v>619</v>
      </c>
      <c r="AI94" s="23">
        <v>3.0259999999999998</v>
      </c>
      <c r="AJ94" s="23">
        <v>0.42409999999999998</v>
      </c>
      <c r="AK94" s="23"/>
      <c r="AL94" s="24" t="s">
        <v>618</v>
      </c>
      <c r="AM94" s="24">
        <v>210</v>
      </c>
      <c r="AN94" s="24">
        <v>0</v>
      </c>
      <c r="AO94" s="24">
        <f t="shared" si="15"/>
        <v>120</v>
      </c>
    </row>
    <row r="95" spans="1:41" x14ac:dyDescent="0.3">
      <c r="A95" s="24" t="s">
        <v>153</v>
      </c>
      <c r="B95" s="24" t="s">
        <v>614</v>
      </c>
      <c r="C95" s="30" t="s">
        <v>615</v>
      </c>
      <c r="D95" s="26">
        <v>16.600000000000001</v>
      </c>
      <c r="E95" s="34" t="s">
        <v>39</v>
      </c>
      <c r="F95" s="27" t="s">
        <v>54</v>
      </c>
      <c r="G95" s="28">
        <v>44453</v>
      </c>
      <c r="H95" s="28">
        <v>44477</v>
      </c>
      <c r="I95" s="24">
        <v>12</v>
      </c>
      <c r="J95" s="24" t="s">
        <v>33</v>
      </c>
      <c r="K95" s="24" t="s">
        <v>619</v>
      </c>
      <c r="L95" s="24" t="str">
        <f t="shared" si="8"/>
        <v>Upper censored</v>
      </c>
      <c r="M95" s="23" t="s">
        <v>35</v>
      </c>
      <c r="N95" s="23" t="str">
        <f t="shared" si="9"/>
        <v/>
      </c>
      <c r="O95" s="24" t="s">
        <v>619</v>
      </c>
      <c r="P95" s="23">
        <v>3.3759999999999999</v>
      </c>
      <c r="Q95" s="29">
        <v>8.3099999999999993E-2</v>
      </c>
      <c r="R95" s="29"/>
      <c r="S95" s="24" t="s">
        <v>618</v>
      </c>
      <c r="T95" s="24" t="str">
        <f t="shared" si="10"/>
        <v>Normal</v>
      </c>
      <c r="U95" s="24">
        <v>14.121</v>
      </c>
      <c r="V95" s="24">
        <f t="shared" si="11"/>
        <v>14.121</v>
      </c>
      <c r="W95" s="24" t="s">
        <v>619</v>
      </c>
      <c r="X95" s="23">
        <v>3.1539999999999999</v>
      </c>
      <c r="Y95" s="23">
        <v>3.1322999999999999</v>
      </c>
      <c r="Z95" s="23"/>
      <c r="AA95" s="24" t="s">
        <v>619</v>
      </c>
      <c r="AB95" s="24" t="str">
        <f t="shared" si="12"/>
        <v>Normal</v>
      </c>
      <c r="AC95" s="31">
        <v>113462</v>
      </c>
      <c r="AD95" s="23">
        <v>11.3462</v>
      </c>
      <c r="AE95" s="23" t="str">
        <f t="shared" si="13"/>
        <v/>
      </c>
      <c r="AF95" s="24"/>
      <c r="AG95" s="23" t="str">
        <f t="shared" si="14"/>
        <v/>
      </c>
      <c r="AH95" s="24" t="s">
        <v>619</v>
      </c>
      <c r="AI95" s="23">
        <v>2.9409999999999998</v>
      </c>
      <c r="AJ95" s="23">
        <v>1.0847</v>
      </c>
      <c r="AK95" s="23"/>
      <c r="AL95" s="24" t="s">
        <v>618</v>
      </c>
      <c r="AM95" s="24"/>
      <c r="AN95" s="24"/>
      <c r="AO95" s="24" t="str">
        <f t="shared" si="15"/>
        <v/>
      </c>
    </row>
    <row r="96" spans="1:41" x14ac:dyDescent="0.3">
      <c r="A96" s="24" t="s">
        <v>154</v>
      </c>
      <c r="B96" s="24" t="s">
        <v>614</v>
      </c>
      <c r="C96" s="30" t="s">
        <v>615</v>
      </c>
      <c r="D96" s="26">
        <v>20.3</v>
      </c>
      <c r="E96" s="34" t="s">
        <v>39</v>
      </c>
      <c r="F96" s="27" t="s">
        <v>54</v>
      </c>
      <c r="G96" s="28">
        <v>44453</v>
      </c>
      <c r="H96" s="28">
        <v>44476</v>
      </c>
      <c r="I96" s="24">
        <v>14</v>
      </c>
      <c r="J96" s="24" t="s">
        <v>43</v>
      </c>
      <c r="K96" s="24" t="s">
        <v>618</v>
      </c>
      <c r="L96" s="24" t="str">
        <f t="shared" si="8"/>
        <v>Upper censored</v>
      </c>
      <c r="M96" s="23" t="s">
        <v>35</v>
      </c>
      <c r="N96" s="23" t="str">
        <f t="shared" si="9"/>
        <v/>
      </c>
      <c r="O96" s="24" t="s">
        <v>619</v>
      </c>
      <c r="P96" s="23">
        <v>3.3980000000000001</v>
      </c>
      <c r="Q96" s="29">
        <v>0.10589999999999999</v>
      </c>
      <c r="R96" s="29"/>
      <c r="S96" s="24" t="s">
        <v>618</v>
      </c>
      <c r="T96" s="24" t="str">
        <f t="shared" si="10"/>
        <v>Technical failure</v>
      </c>
      <c r="U96" s="24" t="s">
        <v>44</v>
      </c>
      <c r="V96" s="24" t="str">
        <f t="shared" si="11"/>
        <v/>
      </c>
      <c r="W96" s="24" t="s">
        <v>620</v>
      </c>
      <c r="X96" s="23">
        <v>3.081</v>
      </c>
      <c r="Y96" s="23">
        <v>2.9462000000000002</v>
      </c>
      <c r="Z96" s="23"/>
      <c r="AA96" s="24" t="s">
        <v>619</v>
      </c>
      <c r="AB96" s="24" t="str">
        <f t="shared" si="12"/>
        <v>Upper censored</v>
      </c>
      <c r="AC96" s="23" t="s">
        <v>35</v>
      </c>
      <c r="AD96" s="23" t="s">
        <v>561</v>
      </c>
      <c r="AE96" s="23" t="str">
        <f t="shared" si="13"/>
        <v/>
      </c>
      <c r="AF96" s="23"/>
      <c r="AG96" s="23" t="str">
        <f t="shared" si="14"/>
        <v/>
      </c>
      <c r="AH96" s="24" t="s">
        <v>619</v>
      </c>
      <c r="AI96" s="23">
        <v>3.5</v>
      </c>
      <c r="AJ96" s="23">
        <v>0.89670000000000005</v>
      </c>
      <c r="AK96" s="23"/>
      <c r="AL96" s="24" t="s">
        <v>618</v>
      </c>
      <c r="AM96" s="24">
        <v>210</v>
      </c>
      <c r="AN96" s="24">
        <v>0</v>
      </c>
      <c r="AO96" s="24">
        <f t="shared" si="15"/>
        <v>120</v>
      </c>
    </row>
    <row r="97" spans="1:41" x14ac:dyDescent="0.3">
      <c r="A97" s="24" t="s">
        <v>155</v>
      </c>
      <c r="B97" s="24" t="s">
        <v>436</v>
      </c>
      <c r="C97" s="25"/>
      <c r="D97" s="26">
        <v>19.600000000000001</v>
      </c>
      <c r="E97" s="34" t="s">
        <v>39</v>
      </c>
      <c r="F97" s="27" t="s">
        <v>54</v>
      </c>
      <c r="G97" s="28">
        <v>44453</v>
      </c>
      <c r="H97" s="28">
        <v>44477</v>
      </c>
      <c r="I97" s="24">
        <v>12</v>
      </c>
      <c r="J97" s="24" t="s">
        <v>33</v>
      </c>
      <c r="K97" s="24" t="s">
        <v>618</v>
      </c>
      <c r="L97" s="24" t="str">
        <f t="shared" si="8"/>
        <v>Upper censored</v>
      </c>
      <c r="M97" s="23" t="s">
        <v>35</v>
      </c>
      <c r="N97" s="23" t="str">
        <f t="shared" si="9"/>
        <v/>
      </c>
      <c r="O97" s="24" t="s">
        <v>619</v>
      </c>
      <c r="P97" s="23">
        <v>3.4049999999999998</v>
      </c>
      <c r="Q97" s="29">
        <v>8.0799999999999997E-2</v>
      </c>
      <c r="R97" s="29"/>
      <c r="S97" s="24" t="s">
        <v>618</v>
      </c>
      <c r="T97" s="24" t="str">
        <f t="shared" si="10"/>
        <v>Upper censored</v>
      </c>
      <c r="U97" s="24" t="s">
        <v>35</v>
      </c>
      <c r="V97" s="24" t="str">
        <f t="shared" si="11"/>
        <v/>
      </c>
      <c r="W97" s="24" t="s">
        <v>619</v>
      </c>
      <c r="X97" s="23">
        <v>3.5</v>
      </c>
      <c r="Y97" s="23">
        <v>8.8400000000000006E-2</v>
      </c>
      <c r="Z97" s="23"/>
      <c r="AA97" s="24" t="s">
        <v>618</v>
      </c>
      <c r="AB97" s="24" t="str">
        <f t="shared" si="12"/>
        <v>Upper censored</v>
      </c>
      <c r="AC97" s="23" t="s">
        <v>35</v>
      </c>
      <c r="AD97" s="23" t="s">
        <v>561</v>
      </c>
      <c r="AE97" s="23" t="str">
        <f t="shared" si="13"/>
        <v/>
      </c>
      <c r="AF97" s="23"/>
      <c r="AG97" s="23" t="str">
        <f t="shared" si="14"/>
        <v/>
      </c>
      <c r="AH97" s="24" t="s">
        <v>619</v>
      </c>
      <c r="AI97" s="23">
        <v>3.5</v>
      </c>
      <c r="AJ97" s="23">
        <v>7.3099999999999998E-2</v>
      </c>
      <c r="AK97" s="23"/>
      <c r="AL97" s="24" t="s">
        <v>618</v>
      </c>
      <c r="AM97" s="24">
        <v>210</v>
      </c>
      <c r="AN97" s="24">
        <v>0</v>
      </c>
      <c r="AO97" s="24">
        <f t="shared" si="15"/>
        <v>120</v>
      </c>
    </row>
    <row r="98" spans="1:41" x14ac:dyDescent="0.3">
      <c r="A98" s="24" t="s">
        <v>156</v>
      </c>
      <c r="B98" s="24" t="s">
        <v>436</v>
      </c>
      <c r="C98" s="25"/>
      <c r="D98" s="26">
        <v>29.1</v>
      </c>
      <c r="E98" s="34" t="s">
        <v>47</v>
      </c>
      <c r="F98" s="27" t="s">
        <v>54</v>
      </c>
      <c r="G98" s="28">
        <v>44453</v>
      </c>
      <c r="H98" s="28">
        <v>44477</v>
      </c>
      <c r="I98" s="24">
        <v>15</v>
      </c>
      <c r="J98" s="24" t="s">
        <v>43</v>
      </c>
      <c r="K98" s="24" t="s">
        <v>618</v>
      </c>
      <c r="L98" s="24" t="str">
        <f t="shared" si="8"/>
        <v>Upper censored</v>
      </c>
      <c r="M98" s="23" t="s">
        <v>35</v>
      </c>
      <c r="N98" s="23" t="str">
        <f t="shared" si="9"/>
        <v/>
      </c>
      <c r="O98" s="24" t="s">
        <v>619</v>
      </c>
      <c r="P98" s="23">
        <v>3.4159999999999999</v>
      </c>
      <c r="Q98" s="29">
        <v>0.58389999999999997</v>
      </c>
      <c r="R98" s="29"/>
      <c r="S98" s="24" t="s">
        <v>618</v>
      </c>
      <c r="T98" s="24" t="str">
        <f t="shared" si="10"/>
        <v>Upper censored</v>
      </c>
      <c r="U98" s="24" t="s">
        <v>35</v>
      </c>
      <c r="V98" s="24" t="str">
        <f t="shared" si="11"/>
        <v/>
      </c>
      <c r="W98" s="24" t="s">
        <v>619</v>
      </c>
      <c r="X98" s="23">
        <v>3.5</v>
      </c>
      <c r="Y98" s="23">
        <v>2.0737000000000001</v>
      </c>
      <c r="Z98" s="23"/>
      <c r="AA98" s="24" t="s">
        <v>619</v>
      </c>
      <c r="AB98" s="24" t="str">
        <f t="shared" si="12"/>
        <v>Upper censored</v>
      </c>
      <c r="AC98" s="23" t="s">
        <v>35</v>
      </c>
      <c r="AD98" s="23" t="s">
        <v>561</v>
      </c>
      <c r="AE98" s="23" t="str">
        <f t="shared" si="13"/>
        <v/>
      </c>
      <c r="AF98" s="23"/>
      <c r="AG98" s="23" t="str">
        <f t="shared" si="14"/>
        <v/>
      </c>
      <c r="AH98" s="24" t="s">
        <v>619</v>
      </c>
      <c r="AI98" s="23">
        <v>3.5</v>
      </c>
      <c r="AJ98" s="23">
        <v>1.2923</v>
      </c>
      <c r="AK98" s="23"/>
      <c r="AL98" s="24" t="s">
        <v>619</v>
      </c>
      <c r="AM98" s="24">
        <v>210</v>
      </c>
      <c r="AN98" s="24">
        <v>0</v>
      </c>
      <c r="AO98" s="24">
        <f t="shared" si="15"/>
        <v>120</v>
      </c>
    </row>
    <row r="99" spans="1:41" x14ac:dyDescent="0.3">
      <c r="A99" s="24" t="s">
        <v>157</v>
      </c>
      <c r="B99" s="24" t="s">
        <v>614</v>
      </c>
      <c r="C99" s="30" t="s">
        <v>615</v>
      </c>
      <c r="D99" s="26">
        <v>23.7</v>
      </c>
      <c r="E99" s="34" t="s">
        <v>31</v>
      </c>
      <c r="F99" s="27" t="s">
        <v>54</v>
      </c>
      <c r="G99" s="28">
        <v>44453</v>
      </c>
      <c r="H99" s="28">
        <v>44476</v>
      </c>
      <c r="I99" s="24">
        <v>15</v>
      </c>
      <c r="J99" s="24" t="s">
        <v>43</v>
      </c>
      <c r="K99" s="24" t="s">
        <v>618</v>
      </c>
      <c r="L99" s="24" t="str">
        <f t="shared" si="8"/>
        <v>Upper censored</v>
      </c>
      <c r="M99" s="23" t="s">
        <v>35</v>
      </c>
      <c r="N99" s="23" t="str">
        <f t="shared" si="9"/>
        <v/>
      </c>
      <c r="O99" s="24" t="s">
        <v>619</v>
      </c>
      <c r="P99" s="23">
        <v>3.4279999999999999</v>
      </c>
      <c r="Q99" s="29">
        <v>0.54949999999999999</v>
      </c>
      <c r="R99" s="29"/>
      <c r="S99" s="24" t="s">
        <v>618</v>
      </c>
      <c r="T99" s="24" t="str">
        <f t="shared" si="10"/>
        <v>Upper censored</v>
      </c>
      <c r="U99" s="24" t="s">
        <v>35</v>
      </c>
      <c r="V99" s="24" t="str">
        <f t="shared" si="11"/>
        <v/>
      </c>
      <c r="W99" s="24" t="s">
        <v>619</v>
      </c>
      <c r="X99" s="23">
        <v>2.9790000000000001</v>
      </c>
      <c r="Y99" s="23">
        <v>0.2384</v>
      </c>
      <c r="Z99" s="23"/>
      <c r="AA99" s="24" t="s">
        <v>618</v>
      </c>
      <c r="AB99" s="24" t="str">
        <f t="shared" si="12"/>
        <v>Upper censored</v>
      </c>
      <c r="AC99" s="23" t="s">
        <v>35</v>
      </c>
      <c r="AD99" s="23" t="s">
        <v>561</v>
      </c>
      <c r="AE99" s="23" t="str">
        <f t="shared" si="13"/>
        <v/>
      </c>
      <c r="AF99" s="23"/>
      <c r="AG99" s="23" t="str">
        <f t="shared" si="14"/>
        <v/>
      </c>
      <c r="AH99" s="24" t="s">
        <v>619</v>
      </c>
      <c r="AI99" s="23">
        <v>3.5</v>
      </c>
      <c r="AJ99" s="23">
        <v>1.4795</v>
      </c>
      <c r="AK99" s="23"/>
      <c r="AL99" s="24" t="s">
        <v>619</v>
      </c>
      <c r="AM99" s="24">
        <v>210</v>
      </c>
      <c r="AN99" s="24">
        <v>0</v>
      </c>
      <c r="AO99" s="24">
        <f t="shared" si="15"/>
        <v>120</v>
      </c>
    </row>
    <row r="100" spans="1:41" x14ac:dyDescent="0.3">
      <c r="A100" s="24" t="s">
        <v>158</v>
      </c>
      <c r="B100" s="24" t="s">
        <v>614</v>
      </c>
      <c r="C100" s="30" t="s">
        <v>615</v>
      </c>
      <c r="D100" s="26">
        <v>17.8</v>
      </c>
      <c r="E100" s="34" t="s">
        <v>39</v>
      </c>
      <c r="F100" s="27" t="s">
        <v>54</v>
      </c>
      <c r="G100" s="28">
        <v>44453</v>
      </c>
      <c r="H100" s="28">
        <v>44477</v>
      </c>
      <c r="I100" s="24">
        <v>12</v>
      </c>
      <c r="J100" s="24" t="s">
        <v>33</v>
      </c>
      <c r="K100" s="24" t="s">
        <v>618</v>
      </c>
      <c r="L100" s="24" t="str">
        <f t="shared" si="8"/>
        <v>Upper censored</v>
      </c>
      <c r="M100" s="23" t="s">
        <v>35</v>
      </c>
      <c r="N100" s="23" t="str">
        <f t="shared" si="9"/>
        <v/>
      </c>
      <c r="O100" s="24" t="s">
        <v>619</v>
      </c>
      <c r="P100" s="23">
        <v>3.43</v>
      </c>
      <c r="Q100" s="29">
        <v>0.20200000000000001</v>
      </c>
      <c r="R100" s="29"/>
      <c r="S100" s="24" t="s">
        <v>618</v>
      </c>
      <c r="T100" s="24" t="str">
        <f t="shared" si="10"/>
        <v>Normal</v>
      </c>
      <c r="U100" s="24">
        <v>18.126799999999999</v>
      </c>
      <c r="V100" s="24">
        <f t="shared" si="11"/>
        <v>18.126799999999999</v>
      </c>
      <c r="W100" s="24" t="s">
        <v>619</v>
      </c>
      <c r="X100" s="23">
        <v>3.1709999999999998</v>
      </c>
      <c r="Y100" s="23">
        <v>2.1480000000000001</v>
      </c>
      <c r="Z100" s="23"/>
      <c r="AA100" s="24" t="s">
        <v>619</v>
      </c>
      <c r="AB100" s="24" t="str">
        <f t="shared" si="12"/>
        <v>Upper censored</v>
      </c>
      <c r="AC100" s="23" t="s">
        <v>35</v>
      </c>
      <c r="AD100" s="23" t="s">
        <v>561</v>
      </c>
      <c r="AE100" s="23" t="str">
        <f t="shared" si="13"/>
        <v/>
      </c>
      <c r="AF100" s="23"/>
      <c r="AG100" s="23" t="str">
        <f t="shared" si="14"/>
        <v/>
      </c>
      <c r="AH100" s="24" t="s">
        <v>619</v>
      </c>
      <c r="AI100" s="23">
        <v>2.9239999999999999</v>
      </c>
      <c r="AJ100" s="23">
        <v>5.9627999999999997</v>
      </c>
      <c r="AK100" s="23"/>
      <c r="AL100" s="24" t="s">
        <v>619</v>
      </c>
      <c r="AM100" s="24"/>
      <c r="AN100" s="24"/>
      <c r="AO100" s="24" t="str">
        <f t="shared" si="15"/>
        <v/>
      </c>
    </row>
    <row r="101" spans="1:41" x14ac:dyDescent="0.3">
      <c r="A101" s="24" t="s">
        <v>159</v>
      </c>
      <c r="B101" s="24" t="s">
        <v>436</v>
      </c>
      <c r="C101" s="30" t="s">
        <v>616</v>
      </c>
      <c r="D101" s="26">
        <v>16.600000000000001</v>
      </c>
      <c r="E101" s="34" t="s">
        <v>39</v>
      </c>
      <c r="F101" s="27" t="s">
        <v>54</v>
      </c>
      <c r="G101" s="28">
        <v>44453</v>
      </c>
      <c r="H101" s="28">
        <v>44480</v>
      </c>
      <c r="I101" s="24">
        <v>12</v>
      </c>
      <c r="J101" s="24" t="s">
        <v>33</v>
      </c>
      <c r="K101" s="24" t="s">
        <v>618</v>
      </c>
      <c r="L101" s="24" t="str">
        <f t="shared" si="8"/>
        <v>Upper censored</v>
      </c>
      <c r="M101" s="23" t="s">
        <v>35</v>
      </c>
      <c r="N101" s="23" t="str">
        <f t="shared" si="9"/>
        <v/>
      </c>
      <c r="O101" s="24" t="s">
        <v>619</v>
      </c>
      <c r="P101" s="23">
        <v>3.4390000000000001</v>
      </c>
      <c r="Q101" s="29">
        <v>0.17100000000000001</v>
      </c>
      <c r="R101" s="29"/>
      <c r="S101" s="24" t="s">
        <v>618</v>
      </c>
      <c r="T101" s="24" t="str">
        <f t="shared" si="10"/>
        <v>Upper censored</v>
      </c>
      <c r="U101" s="24" t="s">
        <v>35</v>
      </c>
      <c r="V101" s="24" t="str">
        <f t="shared" si="11"/>
        <v/>
      </c>
      <c r="W101" s="24" t="s">
        <v>619</v>
      </c>
      <c r="X101" s="23">
        <v>3.105</v>
      </c>
      <c r="Y101" s="23">
        <v>3.7241</v>
      </c>
      <c r="Z101" s="23"/>
      <c r="AA101" s="24" t="s">
        <v>619</v>
      </c>
      <c r="AB101" s="24" t="str">
        <f t="shared" si="12"/>
        <v>Upper censored</v>
      </c>
      <c r="AC101" s="23" t="s">
        <v>35</v>
      </c>
      <c r="AD101" s="23" t="s">
        <v>561</v>
      </c>
      <c r="AE101" s="23" t="str">
        <f t="shared" si="13"/>
        <v/>
      </c>
      <c r="AF101" s="23"/>
      <c r="AG101" s="23" t="str">
        <f t="shared" si="14"/>
        <v/>
      </c>
      <c r="AH101" s="24" t="s">
        <v>619</v>
      </c>
      <c r="AI101" s="23">
        <v>3.3170000000000002</v>
      </c>
      <c r="AJ101" s="23">
        <v>1.3182</v>
      </c>
      <c r="AK101" s="23"/>
      <c r="AL101" s="24" t="s">
        <v>619</v>
      </c>
      <c r="AM101" s="24">
        <v>210</v>
      </c>
      <c r="AN101" s="24">
        <v>0</v>
      </c>
      <c r="AO101" s="24">
        <f t="shared" si="15"/>
        <v>120</v>
      </c>
    </row>
    <row r="102" spans="1:41" x14ac:dyDescent="0.3">
      <c r="A102" s="24" t="s">
        <v>160</v>
      </c>
      <c r="B102" s="24" t="s">
        <v>436</v>
      </c>
      <c r="C102" s="30" t="s">
        <v>616</v>
      </c>
      <c r="D102" s="26">
        <v>19.600000000000001</v>
      </c>
      <c r="E102" s="34" t="s">
        <v>39</v>
      </c>
      <c r="F102" s="27" t="s">
        <v>54</v>
      </c>
      <c r="G102" s="28">
        <v>44453</v>
      </c>
      <c r="H102" s="28">
        <v>44476</v>
      </c>
      <c r="I102" s="24">
        <v>15</v>
      </c>
      <c r="J102" s="24" t="s">
        <v>43</v>
      </c>
      <c r="K102" s="24" t="s">
        <v>619</v>
      </c>
      <c r="L102" s="24" t="str">
        <f t="shared" si="8"/>
        <v>Upper censored</v>
      </c>
      <c r="M102" s="23" t="s">
        <v>35</v>
      </c>
      <c r="N102" s="23" t="str">
        <f t="shared" si="9"/>
        <v/>
      </c>
      <c r="O102" s="24" t="s">
        <v>619</v>
      </c>
      <c r="P102" s="23">
        <v>3.4430000000000001</v>
      </c>
      <c r="Q102" s="29">
        <v>0.3876</v>
      </c>
      <c r="R102" s="29"/>
      <c r="S102" s="24" t="s">
        <v>618</v>
      </c>
      <c r="T102" s="24" t="str">
        <f t="shared" si="10"/>
        <v>Upper censored</v>
      </c>
      <c r="U102" s="24" t="s">
        <v>35</v>
      </c>
      <c r="V102" s="24" t="str">
        <f t="shared" si="11"/>
        <v/>
      </c>
      <c r="W102" s="24" t="s">
        <v>619</v>
      </c>
      <c r="X102" s="23">
        <v>3.0710000000000002</v>
      </c>
      <c r="Y102" s="23">
        <v>7.5583</v>
      </c>
      <c r="Z102" s="23"/>
      <c r="AA102" s="24" t="s">
        <v>619</v>
      </c>
      <c r="AB102" s="24" t="str">
        <f t="shared" si="12"/>
        <v>Upper censored</v>
      </c>
      <c r="AC102" s="23" t="s">
        <v>35</v>
      </c>
      <c r="AD102" s="23" t="s">
        <v>561</v>
      </c>
      <c r="AE102" s="23" t="str">
        <f t="shared" si="13"/>
        <v/>
      </c>
      <c r="AF102" s="23"/>
      <c r="AG102" s="23" t="str">
        <f t="shared" si="14"/>
        <v/>
      </c>
      <c r="AH102" s="24" t="s">
        <v>619</v>
      </c>
      <c r="AI102" s="23">
        <v>3.4169999999999998</v>
      </c>
      <c r="AJ102" s="23">
        <v>5.5247999999999999</v>
      </c>
      <c r="AK102" s="23"/>
      <c r="AL102" s="24" t="s">
        <v>619</v>
      </c>
      <c r="AM102" s="24"/>
      <c r="AN102" s="24"/>
      <c r="AO102" s="24" t="str">
        <f t="shared" si="15"/>
        <v/>
      </c>
    </row>
    <row r="103" spans="1:41" x14ac:dyDescent="0.3">
      <c r="A103" s="24" t="s">
        <v>161</v>
      </c>
      <c r="B103" s="24" t="s">
        <v>436</v>
      </c>
      <c r="C103" s="25" t="s">
        <v>615</v>
      </c>
      <c r="D103" s="26">
        <v>20.399999999999999</v>
      </c>
      <c r="E103" s="34" t="s">
        <v>39</v>
      </c>
      <c r="F103" s="27" t="s">
        <v>54</v>
      </c>
      <c r="G103" s="28">
        <v>44453</v>
      </c>
      <c r="H103" s="28">
        <v>44477</v>
      </c>
      <c r="I103" s="24">
        <v>12</v>
      </c>
      <c r="J103" s="24" t="s">
        <v>33</v>
      </c>
      <c r="K103" s="24" t="s">
        <v>619</v>
      </c>
      <c r="L103" s="24" t="str">
        <f t="shared" si="8"/>
        <v>Upper censored</v>
      </c>
      <c r="M103" s="23" t="s">
        <v>35</v>
      </c>
      <c r="N103" s="23" t="str">
        <f t="shared" si="9"/>
        <v/>
      </c>
      <c r="O103" s="24" t="s">
        <v>619</v>
      </c>
      <c r="P103" s="23">
        <v>3.4620000000000002</v>
      </c>
      <c r="Q103" s="29">
        <v>0.36030000000000001</v>
      </c>
      <c r="R103" s="29"/>
      <c r="S103" s="24" t="s">
        <v>618</v>
      </c>
      <c r="T103" s="24" t="str">
        <f t="shared" si="10"/>
        <v>Upper censored</v>
      </c>
      <c r="U103" s="24" t="s">
        <v>35</v>
      </c>
      <c r="V103" s="24" t="str">
        <f t="shared" si="11"/>
        <v/>
      </c>
      <c r="W103" s="24" t="s">
        <v>619</v>
      </c>
      <c r="X103" s="23">
        <v>2.6240000000000001</v>
      </c>
      <c r="Y103" s="23">
        <v>0.37680000000000002</v>
      </c>
      <c r="Z103" s="23"/>
      <c r="AA103" s="24" t="s">
        <v>618</v>
      </c>
      <c r="AB103" s="24" t="str">
        <f t="shared" si="12"/>
        <v>Not tested</v>
      </c>
      <c r="AC103" s="23" t="s">
        <v>44</v>
      </c>
      <c r="AD103" s="23" t="s">
        <v>561</v>
      </c>
      <c r="AE103" s="23" t="str">
        <f t="shared" si="13"/>
        <v/>
      </c>
      <c r="AF103" s="23"/>
      <c r="AG103" s="23" t="str">
        <f t="shared" si="14"/>
        <v/>
      </c>
      <c r="AH103" s="24" t="s">
        <v>620</v>
      </c>
      <c r="AI103" s="23">
        <v>2.0510000000000002</v>
      </c>
      <c r="AJ103" s="23">
        <v>2.7724000000000002</v>
      </c>
      <c r="AK103" s="23"/>
      <c r="AL103" s="24" t="s">
        <v>619</v>
      </c>
      <c r="AM103" s="24">
        <v>210</v>
      </c>
      <c r="AN103" s="24">
        <v>0</v>
      </c>
      <c r="AO103" s="24" t="str">
        <f t="shared" si="15"/>
        <v/>
      </c>
    </row>
    <row r="104" spans="1:41" x14ac:dyDescent="0.3">
      <c r="A104" s="24" t="s">
        <v>162</v>
      </c>
      <c r="B104" s="24" t="s">
        <v>436</v>
      </c>
      <c r="C104" s="25" t="s">
        <v>615</v>
      </c>
      <c r="D104" s="26">
        <v>28.4</v>
      </c>
      <c r="E104" s="34" t="s">
        <v>47</v>
      </c>
      <c r="F104" s="27" t="s">
        <v>54</v>
      </c>
      <c r="G104" s="28">
        <v>44453</v>
      </c>
      <c r="H104" s="28">
        <v>44477</v>
      </c>
      <c r="I104" s="24">
        <v>15</v>
      </c>
      <c r="J104" s="24" t="s">
        <v>43</v>
      </c>
      <c r="K104" s="24" t="s">
        <v>619</v>
      </c>
      <c r="L104" s="24" t="str">
        <f t="shared" si="8"/>
        <v>Upper censored</v>
      </c>
      <c r="M104" s="23" t="s">
        <v>35</v>
      </c>
      <c r="N104" s="23" t="str">
        <f t="shared" si="9"/>
        <v/>
      </c>
      <c r="O104" s="24" t="s">
        <v>619</v>
      </c>
      <c r="P104" s="23">
        <v>3.4630000000000001</v>
      </c>
      <c r="Q104" s="29">
        <v>6.9900000000000004E-2</v>
      </c>
      <c r="R104" s="29"/>
      <c r="S104" s="24" t="s">
        <v>618</v>
      </c>
      <c r="T104" s="24" t="str">
        <f t="shared" si="10"/>
        <v>Upper censored</v>
      </c>
      <c r="U104" s="24" t="s">
        <v>35</v>
      </c>
      <c r="V104" s="24" t="str">
        <f t="shared" si="11"/>
        <v/>
      </c>
      <c r="W104" s="24" t="s">
        <v>619</v>
      </c>
      <c r="X104" s="23">
        <v>3.2839999999999998</v>
      </c>
      <c r="Y104" s="23">
        <v>2.9704999999999999</v>
      </c>
      <c r="Z104" s="23"/>
      <c r="AA104" s="24" t="s">
        <v>619</v>
      </c>
      <c r="AB104" s="24" t="str">
        <f t="shared" si="12"/>
        <v>Upper censored</v>
      </c>
      <c r="AC104" s="23" t="s">
        <v>35</v>
      </c>
      <c r="AD104" s="23" t="s">
        <v>561</v>
      </c>
      <c r="AE104" s="23" t="str">
        <f t="shared" si="13"/>
        <v/>
      </c>
      <c r="AF104" s="23"/>
      <c r="AG104" s="23" t="str">
        <f t="shared" si="14"/>
        <v/>
      </c>
      <c r="AH104" s="24" t="s">
        <v>619</v>
      </c>
      <c r="AI104" s="23">
        <v>2.8679999999999999</v>
      </c>
      <c r="AJ104" s="23">
        <v>0.74109999999999998</v>
      </c>
      <c r="AK104" s="23"/>
      <c r="AL104" s="24" t="s">
        <v>618</v>
      </c>
      <c r="AM104" s="24">
        <v>210</v>
      </c>
      <c r="AN104" s="24">
        <v>0</v>
      </c>
      <c r="AO104" s="24">
        <f t="shared" si="15"/>
        <v>120</v>
      </c>
    </row>
    <row r="105" spans="1:41" x14ac:dyDescent="0.3">
      <c r="A105" s="24" t="s">
        <v>163</v>
      </c>
      <c r="B105" s="24" t="s">
        <v>614</v>
      </c>
      <c r="C105" s="25" t="s">
        <v>616</v>
      </c>
      <c r="D105" s="26">
        <v>17.899999999999999</v>
      </c>
      <c r="E105" s="34" t="s">
        <v>39</v>
      </c>
      <c r="F105" s="27" t="s">
        <v>54</v>
      </c>
      <c r="G105" s="28">
        <v>44454</v>
      </c>
      <c r="H105" s="28">
        <v>44477</v>
      </c>
      <c r="I105" s="24">
        <v>12</v>
      </c>
      <c r="J105" s="24" t="s">
        <v>33</v>
      </c>
      <c r="K105" s="24" t="s">
        <v>618</v>
      </c>
      <c r="L105" s="24" t="str">
        <f t="shared" si="8"/>
        <v>Upper censored</v>
      </c>
      <c r="M105" s="23" t="s">
        <v>35</v>
      </c>
      <c r="N105" s="23" t="str">
        <f t="shared" si="9"/>
        <v/>
      </c>
      <c r="O105" s="24" t="s">
        <v>619</v>
      </c>
      <c r="P105" s="23">
        <v>3.4729999999999999</v>
      </c>
      <c r="Q105" s="29">
        <v>2.0590000000000002</v>
      </c>
      <c r="R105" s="29"/>
      <c r="S105" s="24" t="s">
        <v>619</v>
      </c>
      <c r="T105" s="24" t="str">
        <f t="shared" si="10"/>
        <v>Upper censored</v>
      </c>
      <c r="U105" s="24" t="s">
        <v>35</v>
      </c>
      <c r="V105" s="24" t="str">
        <f t="shared" si="11"/>
        <v/>
      </c>
      <c r="W105" s="24" t="s">
        <v>619</v>
      </c>
      <c r="X105" s="23">
        <v>3.145</v>
      </c>
      <c r="Y105" s="23">
        <v>5.6592000000000002</v>
      </c>
      <c r="Z105" s="23"/>
      <c r="AA105" s="24" t="s">
        <v>619</v>
      </c>
      <c r="AB105" s="24" t="str">
        <f t="shared" si="12"/>
        <v>Upper censored</v>
      </c>
      <c r="AC105" s="23" t="s">
        <v>35</v>
      </c>
      <c r="AD105" s="23" t="s">
        <v>561</v>
      </c>
      <c r="AE105" s="23" t="str">
        <f t="shared" si="13"/>
        <v/>
      </c>
      <c r="AF105" s="23"/>
      <c r="AG105" s="23" t="str">
        <f t="shared" si="14"/>
        <v/>
      </c>
      <c r="AH105" s="24" t="s">
        <v>619</v>
      </c>
      <c r="AI105" s="23">
        <v>3.1520000000000001</v>
      </c>
      <c r="AJ105" s="23">
        <v>2.2170999999999998</v>
      </c>
      <c r="AK105" s="23"/>
      <c r="AL105" s="24" t="s">
        <v>619</v>
      </c>
      <c r="AM105" s="24"/>
      <c r="AN105" s="24"/>
      <c r="AO105" s="24" t="str">
        <f t="shared" si="15"/>
        <v/>
      </c>
    </row>
    <row r="106" spans="1:41" x14ac:dyDescent="0.3">
      <c r="A106" s="24" t="s">
        <v>164</v>
      </c>
      <c r="B106" s="24" t="s">
        <v>436</v>
      </c>
      <c r="C106" s="25" t="s">
        <v>616</v>
      </c>
      <c r="D106" s="26">
        <v>17.7</v>
      </c>
      <c r="E106" s="34" t="s">
        <v>39</v>
      </c>
      <c r="F106" s="27" t="s">
        <v>54</v>
      </c>
      <c r="G106" s="28">
        <v>44453</v>
      </c>
      <c r="H106" s="28">
        <v>44476</v>
      </c>
      <c r="I106" s="24">
        <v>15</v>
      </c>
      <c r="J106" s="24" t="s">
        <v>43</v>
      </c>
      <c r="K106" s="24" t="s">
        <v>618</v>
      </c>
      <c r="L106" s="24" t="str">
        <f t="shared" si="8"/>
        <v>Upper censored</v>
      </c>
      <c r="M106" s="23" t="s">
        <v>35</v>
      </c>
      <c r="N106" s="23" t="str">
        <f t="shared" si="9"/>
        <v/>
      </c>
      <c r="O106" s="24" t="s">
        <v>619</v>
      </c>
      <c r="P106" s="23">
        <v>3.4750000000000001</v>
      </c>
      <c r="Q106" s="29">
        <v>0.54949999999999999</v>
      </c>
      <c r="R106" s="29"/>
      <c r="S106" s="24" t="s">
        <v>618</v>
      </c>
      <c r="T106" s="24" t="str">
        <f t="shared" si="10"/>
        <v>Upper censored</v>
      </c>
      <c r="U106" s="24" t="s">
        <v>35</v>
      </c>
      <c r="V106" s="24" t="str">
        <f t="shared" si="11"/>
        <v/>
      </c>
      <c r="W106" s="24" t="s">
        <v>619</v>
      </c>
      <c r="X106" s="23">
        <v>2.6749999999999998</v>
      </c>
      <c r="Y106" s="23">
        <v>3.1566999999999998</v>
      </c>
      <c r="Z106" s="23"/>
      <c r="AA106" s="24" t="s">
        <v>619</v>
      </c>
      <c r="AB106" s="24" t="str">
        <f t="shared" si="12"/>
        <v>Upper censored</v>
      </c>
      <c r="AC106" s="23" t="s">
        <v>35</v>
      </c>
      <c r="AD106" s="23" t="s">
        <v>561</v>
      </c>
      <c r="AE106" s="23" t="str">
        <f t="shared" si="13"/>
        <v/>
      </c>
      <c r="AF106" s="23"/>
      <c r="AG106" s="23" t="str">
        <f t="shared" si="14"/>
        <v/>
      </c>
      <c r="AH106" s="24" t="s">
        <v>619</v>
      </c>
      <c r="AI106" s="23">
        <v>2.1379999999999999</v>
      </c>
      <c r="AJ106" s="23">
        <v>0.94259999999999999</v>
      </c>
      <c r="AK106" s="23"/>
      <c r="AL106" s="24" t="s">
        <v>618</v>
      </c>
      <c r="AM106" s="24">
        <v>210</v>
      </c>
      <c r="AN106" s="24">
        <v>0</v>
      </c>
      <c r="AO106" s="24">
        <f t="shared" si="15"/>
        <v>120</v>
      </c>
    </row>
    <row r="107" spans="1:41" x14ac:dyDescent="0.3">
      <c r="A107" s="24" t="s">
        <v>165</v>
      </c>
      <c r="B107" s="24" t="s">
        <v>614</v>
      </c>
      <c r="C107" s="25" t="s">
        <v>616</v>
      </c>
      <c r="D107" s="26">
        <v>26.5</v>
      </c>
      <c r="E107" s="34" t="s">
        <v>47</v>
      </c>
      <c r="F107" s="27" t="s">
        <v>617</v>
      </c>
      <c r="G107" s="28"/>
      <c r="H107" s="28"/>
      <c r="I107" s="24">
        <v>12</v>
      </c>
      <c r="J107" s="24" t="s">
        <v>33</v>
      </c>
      <c r="K107" s="24" t="s">
        <v>618</v>
      </c>
      <c r="L107" s="24" t="str">
        <f t="shared" si="8"/>
        <v>Upper censored</v>
      </c>
      <c r="M107" s="23" t="s">
        <v>35</v>
      </c>
      <c r="N107" s="23" t="str">
        <f t="shared" si="9"/>
        <v/>
      </c>
      <c r="O107" s="24" t="s">
        <v>619</v>
      </c>
      <c r="P107" s="23">
        <v>3.48</v>
      </c>
      <c r="Q107" s="29">
        <v>2.4308000000000001</v>
      </c>
      <c r="R107" s="29"/>
      <c r="S107" s="24" t="s">
        <v>619</v>
      </c>
      <c r="T107" s="24" t="str">
        <f t="shared" si="10"/>
        <v>Normal</v>
      </c>
      <c r="U107" s="24">
        <v>11.963800000000001</v>
      </c>
      <c r="V107" s="24">
        <f t="shared" si="11"/>
        <v>11.963800000000001</v>
      </c>
      <c r="W107" s="24" t="s">
        <v>619</v>
      </c>
      <c r="X107" s="23">
        <v>2.984</v>
      </c>
      <c r="Y107" s="23">
        <v>1.2891999999999999</v>
      </c>
      <c r="Z107" s="23"/>
      <c r="AA107" s="24" t="s">
        <v>619</v>
      </c>
      <c r="AB107" s="24" t="str">
        <f t="shared" si="12"/>
        <v>Upper censored</v>
      </c>
      <c r="AC107" s="23" t="s">
        <v>35</v>
      </c>
      <c r="AD107" s="23" t="s">
        <v>561</v>
      </c>
      <c r="AE107" s="23" t="str">
        <f t="shared" si="13"/>
        <v/>
      </c>
      <c r="AF107" s="23"/>
      <c r="AG107" s="23" t="str">
        <f t="shared" si="14"/>
        <v/>
      </c>
      <c r="AH107" s="24" t="s">
        <v>619</v>
      </c>
      <c r="AI107" s="23">
        <v>2.6629999999999998</v>
      </c>
      <c r="AJ107" s="23">
        <v>3.7357</v>
      </c>
      <c r="AK107" s="23"/>
      <c r="AL107" s="24" t="s">
        <v>619</v>
      </c>
      <c r="AM107" s="24"/>
      <c r="AN107" s="24"/>
      <c r="AO107" s="24" t="str">
        <f t="shared" si="15"/>
        <v/>
      </c>
    </row>
    <row r="108" spans="1:41" x14ac:dyDescent="0.3">
      <c r="A108" s="24" t="s">
        <v>166</v>
      </c>
      <c r="B108" s="24" t="s">
        <v>614</v>
      </c>
      <c r="C108" s="25" t="s">
        <v>615</v>
      </c>
      <c r="D108" s="26">
        <v>16.100000000000001</v>
      </c>
      <c r="E108" s="34" t="s">
        <v>39</v>
      </c>
      <c r="F108" s="27" t="s">
        <v>54</v>
      </c>
      <c r="G108" s="28">
        <v>44453</v>
      </c>
      <c r="H108" s="28">
        <v>44477</v>
      </c>
      <c r="I108" s="24">
        <v>12</v>
      </c>
      <c r="J108" s="24" t="s">
        <v>33</v>
      </c>
      <c r="K108" s="24" t="s">
        <v>618</v>
      </c>
      <c r="L108" s="24" t="str">
        <f t="shared" si="8"/>
        <v>Upper censored</v>
      </c>
      <c r="M108" s="23" t="s">
        <v>35</v>
      </c>
      <c r="N108" s="23" t="str">
        <f t="shared" si="9"/>
        <v/>
      </c>
      <c r="O108" s="23" t="s">
        <v>619</v>
      </c>
      <c r="P108" s="23">
        <v>3.49</v>
      </c>
      <c r="Q108" s="29">
        <v>0.4083</v>
      </c>
      <c r="R108" s="29"/>
      <c r="S108" s="24" t="s">
        <v>618</v>
      </c>
      <c r="T108" s="24" t="str">
        <f t="shared" si="10"/>
        <v>Normal</v>
      </c>
      <c r="U108" s="24">
        <v>107.6323</v>
      </c>
      <c r="V108" s="24">
        <f t="shared" si="11"/>
        <v>107.6323</v>
      </c>
      <c r="W108" s="24" t="s">
        <v>619</v>
      </c>
      <c r="X108" s="23">
        <v>2.99</v>
      </c>
      <c r="Y108" s="23">
        <v>1.96</v>
      </c>
      <c r="Z108" s="23"/>
      <c r="AA108" s="24" t="s">
        <v>619</v>
      </c>
      <c r="AB108" s="24" t="str">
        <f t="shared" si="12"/>
        <v>Upper censored</v>
      </c>
      <c r="AC108" s="23" t="s">
        <v>35</v>
      </c>
      <c r="AD108" s="23" t="s">
        <v>561</v>
      </c>
      <c r="AE108" s="23" t="str">
        <f t="shared" si="13"/>
        <v/>
      </c>
      <c r="AF108" s="23"/>
      <c r="AG108" s="23" t="str">
        <f t="shared" si="14"/>
        <v/>
      </c>
      <c r="AH108" s="24" t="s">
        <v>619</v>
      </c>
      <c r="AI108" s="23">
        <v>2.4300000000000002</v>
      </c>
      <c r="AJ108" s="23">
        <v>1.3612</v>
      </c>
      <c r="AK108" s="23"/>
      <c r="AL108" s="24" t="s">
        <v>619</v>
      </c>
      <c r="AM108" s="24"/>
      <c r="AN108" s="24"/>
      <c r="AO108" s="24" t="str">
        <f t="shared" si="15"/>
        <v/>
      </c>
    </row>
    <row r="109" spans="1:41" x14ac:dyDescent="0.3">
      <c r="A109" s="24" t="s">
        <v>167</v>
      </c>
      <c r="B109" s="24" t="s">
        <v>614</v>
      </c>
      <c r="C109" s="30"/>
      <c r="D109" s="26">
        <v>25.4</v>
      </c>
      <c r="E109" s="34" t="s">
        <v>31</v>
      </c>
      <c r="F109" s="27" t="s">
        <v>54</v>
      </c>
      <c r="G109" s="28">
        <v>44453</v>
      </c>
      <c r="H109" s="28">
        <v>44476</v>
      </c>
      <c r="I109" s="24">
        <v>15</v>
      </c>
      <c r="J109" s="24" t="s">
        <v>43</v>
      </c>
      <c r="K109" s="24" t="s">
        <v>618</v>
      </c>
      <c r="L109" s="24" t="str">
        <f t="shared" si="8"/>
        <v>Upper censored</v>
      </c>
      <c r="M109" s="23" t="s">
        <v>35</v>
      </c>
      <c r="N109" s="23" t="str">
        <f t="shared" si="9"/>
        <v/>
      </c>
      <c r="O109" s="24" t="s">
        <v>619</v>
      </c>
      <c r="P109" s="23">
        <v>3.4969999999999999</v>
      </c>
      <c r="Q109" s="23">
        <v>0.47989999999999999</v>
      </c>
      <c r="R109" s="23"/>
      <c r="S109" s="23" t="s">
        <v>618</v>
      </c>
      <c r="T109" s="24" t="str">
        <f t="shared" si="10"/>
        <v>Upper censored</v>
      </c>
      <c r="U109" s="24" t="s">
        <v>35</v>
      </c>
      <c r="V109" s="24" t="str">
        <f t="shared" si="11"/>
        <v/>
      </c>
      <c r="W109" s="24" t="s">
        <v>619</v>
      </c>
      <c r="X109" s="23">
        <v>2.9750000000000001</v>
      </c>
      <c r="Y109" s="23">
        <v>0.31169999999999998</v>
      </c>
      <c r="Z109" s="23"/>
      <c r="AA109" s="24" t="s">
        <v>618</v>
      </c>
      <c r="AB109" s="24" t="str">
        <f t="shared" si="12"/>
        <v>Upper censored</v>
      </c>
      <c r="AC109" s="23" t="s">
        <v>35</v>
      </c>
      <c r="AD109" s="23" t="s">
        <v>561</v>
      </c>
      <c r="AE109" s="23" t="str">
        <f t="shared" si="13"/>
        <v/>
      </c>
      <c r="AF109" s="23"/>
      <c r="AG109" s="23" t="str">
        <f t="shared" si="14"/>
        <v/>
      </c>
      <c r="AH109" s="24" t="s">
        <v>619</v>
      </c>
      <c r="AI109" s="23">
        <v>3.4340000000000002</v>
      </c>
      <c r="AJ109" s="23">
        <v>0.13780000000000001</v>
      </c>
      <c r="AK109" s="23">
        <v>0.1336</v>
      </c>
      <c r="AL109" s="24" t="s">
        <v>618</v>
      </c>
      <c r="AM109" s="24">
        <v>210</v>
      </c>
      <c r="AN109" s="24">
        <v>0</v>
      </c>
      <c r="AO109" s="24">
        <f t="shared" si="15"/>
        <v>120</v>
      </c>
    </row>
    <row r="110" spans="1:41" x14ac:dyDescent="0.3">
      <c r="A110" s="24" t="s">
        <v>169</v>
      </c>
      <c r="B110" s="24" t="s">
        <v>614</v>
      </c>
      <c r="C110" s="30" t="s">
        <v>616</v>
      </c>
      <c r="D110" s="26">
        <v>28.7</v>
      </c>
      <c r="E110" s="34" t="s">
        <v>47</v>
      </c>
      <c r="F110" s="27" t="s">
        <v>54</v>
      </c>
      <c r="G110" s="28">
        <v>44453</v>
      </c>
      <c r="H110" s="28">
        <v>44489</v>
      </c>
      <c r="I110" s="24">
        <v>15</v>
      </c>
      <c r="J110" s="24" t="s">
        <v>43</v>
      </c>
      <c r="K110" s="24" t="s">
        <v>618</v>
      </c>
      <c r="L110" s="24" t="str">
        <f t="shared" si="8"/>
        <v>Not tested</v>
      </c>
      <c r="M110" s="23" t="s">
        <v>44</v>
      </c>
      <c r="N110" s="23" t="str">
        <f t="shared" si="9"/>
        <v/>
      </c>
      <c r="O110" s="24" t="s">
        <v>620</v>
      </c>
      <c r="P110" s="23">
        <v>3.5</v>
      </c>
      <c r="Q110" s="29">
        <v>0.50490000000000002</v>
      </c>
      <c r="R110" s="29"/>
      <c r="S110" s="24" t="s">
        <v>618</v>
      </c>
      <c r="T110" s="24" t="str">
        <f t="shared" si="10"/>
        <v>Upper censored</v>
      </c>
      <c r="U110" s="24" t="s">
        <v>35</v>
      </c>
      <c r="V110" s="24" t="str">
        <f t="shared" si="11"/>
        <v/>
      </c>
      <c r="W110" s="24" t="s">
        <v>619</v>
      </c>
      <c r="X110" s="23">
        <v>2.5539999999999998</v>
      </c>
      <c r="Y110" s="23">
        <v>0.53359999999999996</v>
      </c>
      <c r="Z110" s="23"/>
      <c r="AA110" s="24" t="s">
        <v>618</v>
      </c>
      <c r="AB110" s="24" t="str">
        <f t="shared" si="12"/>
        <v>Not tested</v>
      </c>
      <c r="AC110" s="23" t="s">
        <v>44</v>
      </c>
      <c r="AD110" s="23" t="s">
        <v>561</v>
      </c>
      <c r="AE110" s="23" t="str">
        <f t="shared" si="13"/>
        <v/>
      </c>
      <c r="AF110" s="23"/>
      <c r="AG110" s="23" t="str">
        <f t="shared" si="14"/>
        <v/>
      </c>
      <c r="AH110" s="24" t="s">
        <v>620</v>
      </c>
      <c r="AI110" s="23">
        <v>1.474</v>
      </c>
      <c r="AJ110" s="23">
        <v>1.3285</v>
      </c>
      <c r="AK110" s="23"/>
      <c r="AL110" s="24" t="s">
        <v>619</v>
      </c>
      <c r="AM110" s="24">
        <v>210</v>
      </c>
      <c r="AN110" s="24">
        <v>0</v>
      </c>
      <c r="AO110" s="24" t="str">
        <f t="shared" si="15"/>
        <v/>
      </c>
    </row>
    <row r="111" spans="1:41" x14ac:dyDescent="0.3">
      <c r="A111" s="24" t="s">
        <v>170</v>
      </c>
      <c r="B111" s="24" t="s">
        <v>436</v>
      </c>
      <c r="C111" s="25" t="s">
        <v>615</v>
      </c>
      <c r="D111" s="26">
        <v>40</v>
      </c>
      <c r="E111" s="34" t="s">
        <v>47</v>
      </c>
      <c r="F111" s="27" t="s">
        <v>54</v>
      </c>
      <c r="G111" s="28">
        <v>44454</v>
      </c>
      <c r="H111" s="28">
        <v>44477</v>
      </c>
      <c r="I111" s="24">
        <v>12</v>
      </c>
      <c r="J111" s="24" t="s">
        <v>33</v>
      </c>
      <c r="K111" s="24" t="s">
        <v>618</v>
      </c>
      <c r="L111" s="24" t="str">
        <f t="shared" si="8"/>
        <v>Not tested</v>
      </c>
      <c r="M111" s="23" t="s">
        <v>44</v>
      </c>
      <c r="N111" s="23" t="str">
        <f t="shared" si="9"/>
        <v/>
      </c>
      <c r="O111" s="24" t="s">
        <v>620</v>
      </c>
      <c r="P111" s="23">
        <v>3.5</v>
      </c>
      <c r="Q111" s="29">
        <v>1.8176000000000001</v>
      </c>
      <c r="R111" s="29"/>
      <c r="S111" s="24" t="s">
        <v>619</v>
      </c>
      <c r="T111" s="24" t="str">
        <f t="shared" si="10"/>
        <v>Normal</v>
      </c>
      <c r="U111" s="24">
        <v>120</v>
      </c>
      <c r="V111" s="24">
        <f t="shared" si="11"/>
        <v>120</v>
      </c>
      <c r="W111" s="24" t="s">
        <v>619</v>
      </c>
      <c r="X111" s="23">
        <v>2.3610000000000002</v>
      </c>
      <c r="Y111" s="23">
        <v>1.0672999999999999</v>
      </c>
      <c r="Z111" s="23"/>
      <c r="AA111" s="24" t="s">
        <v>618</v>
      </c>
      <c r="AB111" s="24" t="str">
        <f t="shared" si="12"/>
        <v>Upper censored</v>
      </c>
      <c r="AC111" s="24" t="s">
        <v>35</v>
      </c>
      <c r="AD111" s="23" t="s">
        <v>561</v>
      </c>
      <c r="AE111" s="23" t="str">
        <f t="shared" si="13"/>
        <v/>
      </c>
      <c r="AF111" s="24"/>
      <c r="AG111" s="23" t="str">
        <f t="shared" si="14"/>
        <v/>
      </c>
      <c r="AH111" s="24" t="s">
        <v>619</v>
      </c>
      <c r="AI111" s="23">
        <v>1.516</v>
      </c>
      <c r="AJ111" s="23">
        <v>6.2252000000000001</v>
      </c>
      <c r="AK111" s="23"/>
      <c r="AL111" s="24" t="s">
        <v>619</v>
      </c>
      <c r="AM111" s="24">
        <v>92</v>
      </c>
      <c r="AN111" s="24">
        <v>1</v>
      </c>
      <c r="AO111" s="24" t="str">
        <f t="shared" si="15"/>
        <v/>
      </c>
    </row>
    <row r="112" spans="1:41" x14ac:dyDescent="0.3">
      <c r="A112" s="24" t="s">
        <v>171</v>
      </c>
      <c r="B112" s="24" t="s">
        <v>436</v>
      </c>
      <c r="C112" s="25"/>
      <c r="D112" s="26">
        <v>20.5</v>
      </c>
      <c r="E112" s="34" t="s">
        <v>39</v>
      </c>
      <c r="F112" s="27" t="s">
        <v>54</v>
      </c>
      <c r="G112" s="28">
        <v>44454</v>
      </c>
      <c r="H112" s="28">
        <v>44476</v>
      </c>
      <c r="I112" s="24">
        <v>15</v>
      </c>
      <c r="J112" s="24" t="s">
        <v>43</v>
      </c>
      <c r="K112" s="24" t="s">
        <v>618</v>
      </c>
      <c r="L112" s="24" t="str">
        <f t="shared" si="8"/>
        <v>Not tested</v>
      </c>
      <c r="M112" s="23" t="s">
        <v>44</v>
      </c>
      <c r="N112" s="23" t="str">
        <f t="shared" si="9"/>
        <v/>
      </c>
      <c r="O112" s="24" t="s">
        <v>620</v>
      </c>
      <c r="P112" s="23">
        <v>3.5</v>
      </c>
      <c r="Q112" s="29">
        <v>8.0299999999999996E-2</v>
      </c>
      <c r="R112" s="29"/>
      <c r="S112" s="24" t="s">
        <v>618</v>
      </c>
      <c r="T112" s="24" t="str">
        <f t="shared" si="10"/>
        <v>Technical failure</v>
      </c>
      <c r="U112" s="24" t="s">
        <v>44</v>
      </c>
      <c r="V112" s="24" t="str">
        <f t="shared" si="11"/>
        <v/>
      </c>
      <c r="W112" s="24" t="s">
        <v>620</v>
      </c>
      <c r="X112" s="23">
        <v>2.254</v>
      </c>
      <c r="Y112" s="23">
        <v>0.38169999999999998</v>
      </c>
      <c r="Z112" s="23"/>
      <c r="AA112" s="24" t="s">
        <v>618</v>
      </c>
      <c r="AB112" s="24" t="str">
        <f t="shared" si="12"/>
        <v>Not tested</v>
      </c>
      <c r="AC112" s="23" t="s">
        <v>44</v>
      </c>
      <c r="AD112" s="23" t="s">
        <v>561</v>
      </c>
      <c r="AE112" s="23" t="str">
        <f t="shared" si="13"/>
        <v/>
      </c>
      <c r="AF112" s="23"/>
      <c r="AG112" s="23" t="str">
        <f t="shared" si="14"/>
        <v/>
      </c>
      <c r="AH112" s="24" t="s">
        <v>620</v>
      </c>
      <c r="AI112" s="23">
        <v>1.597</v>
      </c>
      <c r="AJ112" s="23">
        <v>0.70169999999999999</v>
      </c>
      <c r="AK112" s="23"/>
      <c r="AL112" s="24" t="s">
        <v>618</v>
      </c>
      <c r="AM112" s="24">
        <v>210</v>
      </c>
      <c r="AN112" s="24">
        <v>0</v>
      </c>
      <c r="AO112" s="24" t="str">
        <f t="shared" si="15"/>
        <v/>
      </c>
    </row>
    <row r="113" spans="1:41" x14ac:dyDescent="0.3">
      <c r="A113" s="24" t="s">
        <v>172</v>
      </c>
      <c r="B113" s="24" t="s">
        <v>614</v>
      </c>
      <c r="C113" s="30"/>
      <c r="D113" s="26">
        <v>15.5</v>
      </c>
      <c r="E113" s="34" t="s">
        <v>41</v>
      </c>
      <c r="F113" s="27" t="s">
        <v>617</v>
      </c>
      <c r="G113" s="28"/>
      <c r="H113" s="28"/>
      <c r="I113" s="24">
        <v>15</v>
      </c>
      <c r="J113" s="24" t="s">
        <v>43</v>
      </c>
      <c r="K113" s="24" t="s">
        <v>618</v>
      </c>
      <c r="L113" s="24" t="str">
        <f t="shared" si="8"/>
        <v>Not tested</v>
      </c>
      <c r="M113" s="23" t="s">
        <v>44</v>
      </c>
      <c r="N113" s="23" t="str">
        <f t="shared" si="9"/>
        <v/>
      </c>
      <c r="O113" s="24" t="s">
        <v>620</v>
      </c>
      <c r="P113" s="23">
        <v>3.5</v>
      </c>
      <c r="Q113" s="29">
        <v>8.9599999999999999E-2</v>
      </c>
      <c r="R113" s="29"/>
      <c r="S113" s="24" t="s">
        <v>618</v>
      </c>
      <c r="T113" s="24" t="str">
        <f t="shared" si="10"/>
        <v>Technical failure</v>
      </c>
      <c r="U113" s="24" t="s">
        <v>44</v>
      </c>
      <c r="V113" s="24" t="str">
        <f t="shared" si="11"/>
        <v/>
      </c>
      <c r="W113" s="24" t="s">
        <v>620</v>
      </c>
      <c r="X113" s="23">
        <v>2.742</v>
      </c>
      <c r="Y113" s="23">
        <v>4.2422000000000004</v>
      </c>
      <c r="Z113" s="23"/>
      <c r="AA113" s="24" t="s">
        <v>619</v>
      </c>
      <c r="AB113" s="24" t="str">
        <f t="shared" si="12"/>
        <v>Normal</v>
      </c>
      <c r="AC113" s="23">
        <v>1093843</v>
      </c>
      <c r="AD113" s="23">
        <v>109.3843</v>
      </c>
      <c r="AE113" s="23" t="str">
        <f t="shared" si="13"/>
        <v/>
      </c>
      <c r="AF113" s="23"/>
      <c r="AG113" s="23" t="str">
        <f t="shared" si="14"/>
        <v/>
      </c>
      <c r="AH113" s="24" t="s">
        <v>619</v>
      </c>
      <c r="AI113" s="23">
        <v>1.734</v>
      </c>
      <c r="AJ113" s="23">
        <v>1.7335</v>
      </c>
      <c r="AK113" s="23"/>
      <c r="AL113" s="24" t="s">
        <v>619</v>
      </c>
      <c r="AM113" s="24">
        <v>182</v>
      </c>
      <c r="AN113" s="24">
        <v>1</v>
      </c>
      <c r="AO113" s="24" t="str">
        <f t="shared" si="15"/>
        <v/>
      </c>
    </row>
    <row r="114" spans="1:41" x14ac:dyDescent="0.3">
      <c r="A114" s="24" t="s">
        <v>173</v>
      </c>
      <c r="B114" s="24" t="s">
        <v>436</v>
      </c>
      <c r="C114" s="25" t="s">
        <v>616</v>
      </c>
      <c r="D114" s="26">
        <v>23.5</v>
      </c>
      <c r="E114" s="34" t="s">
        <v>39</v>
      </c>
      <c r="F114" s="27" t="s">
        <v>54</v>
      </c>
      <c r="G114" s="28">
        <v>44454</v>
      </c>
      <c r="H114" s="28">
        <v>44476</v>
      </c>
      <c r="I114" s="24">
        <v>15</v>
      </c>
      <c r="J114" s="24" t="s">
        <v>43</v>
      </c>
      <c r="K114" s="24" t="s">
        <v>618</v>
      </c>
      <c r="L114" s="24" t="str">
        <f t="shared" si="8"/>
        <v>Not tested</v>
      </c>
      <c r="M114" s="23" t="s">
        <v>44</v>
      </c>
      <c r="N114" s="23" t="str">
        <f t="shared" si="9"/>
        <v/>
      </c>
      <c r="O114" s="24" t="s">
        <v>620</v>
      </c>
      <c r="P114" s="23">
        <v>3.5</v>
      </c>
      <c r="Q114" s="29">
        <v>0.10150000000000001</v>
      </c>
      <c r="R114" s="29"/>
      <c r="S114" s="24" t="s">
        <v>618</v>
      </c>
      <c r="T114" s="24" t="str">
        <f t="shared" si="10"/>
        <v>Upper censored</v>
      </c>
      <c r="U114" s="24" t="s">
        <v>35</v>
      </c>
      <c r="V114" s="24" t="str">
        <f t="shared" si="11"/>
        <v/>
      </c>
      <c r="W114" s="24" t="s">
        <v>619</v>
      </c>
      <c r="X114" s="23">
        <v>2.6320000000000001</v>
      </c>
      <c r="Y114" s="23">
        <v>2.6027</v>
      </c>
      <c r="Z114" s="23"/>
      <c r="AA114" s="24" t="s">
        <v>619</v>
      </c>
      <c r="AB114" s="24" t="str">
        <f t="shared" si="12"/>
        <v>Not tested</v>
      </c>
      <c r="AC114" s="23" t="s">
        <v>44</v>
      </c>
      <c r="AD114" s="23" t="s">
        <v>561</v>
      </c>
      <c r="AE114" s="23" t="str">
        <f t="shared" si="13"/>
        <v/>
      </c>
      <c r="AF114" s="23"/>
      <c r="AG114" s="23" t="str">
        <f t="shared" si="14"/>
        <v/>
      </c>
      <c r="AH114" s="24" t="s">
        <v>620</v>
      </c>
      <c r="AI114" s="23">
        <v>2.1</v>
      </c>
      <c r="AJ114" s="23">
        <v>0.73280000000000001</v>
      </c>
      <c r="AK114" s="23"/>
      <c r="AL114" s="24" t="s">
        <v>618</v>
      </c>
      <c r="AM114" s="24">
        <v>210</v>
      </c>
      <c r="AN114" s="24">
        <v>0</v>
      </c>
      <c r="AO114" s="24" t="str">
        <f t="shared" si="15"/>
        <v/>
      </c>
    </row>
    <row r="115" spans="1:41" x14ac:dyDescent="0.3">
      <c r="A115" s="24" t="s">
        <v>174</v>
      </c>
      <c r="B115" s="24" t="s">
        <v>436</v>
      </c>
      <c r="C115" s="25"/>
      <c r="D115" s="26">
        <v>33.700000000000003</v>
      </c>
      <c r="E115" s="34" t="s">
        <v>47</v>
      </c>
      <c r="F115" s="27" t="s">
        <v>54</v>
      </c>
      <c r="G115" s="28">
        <v>44453</v>
      </c>
      <c r="H115" s="28">
        <v>44480</v>
      </c>
      <c r="I115" s="24">
        <v>15</v>
      </c>
      <c r="J115" s="24" t="s">
        <v>43</v>
      </c>
      <c r="K115" s="24" t="s">
        <v>619</v>
      </c>
      <c r="L115" s="24" t="str">
        <f t="shared" si="8"/>
        <v>Not tested</v>
      </c>
      <c r="M115" s="23" t="s">
        <v>44</v>
      </c>
      <c r="N115" s="23" t="str">
        <f t="shared" si="9"/>
        <v/>
      </c>
      <c r="O115" s="24" t="s">
        <v>620</v>
      </c>
      <c r="P115" s="23">
        <v>3.5</v>
      </c>
      <c r="Q115" s="29">
        <v>0.27250000000000002</v>
      </c>
      <c r="R115" s="29"/>
      <c r="S115" s="24" t="s">
        <v>618</v>
      </c>
      <c r="T115" s="24" t="str">
        <f t="shared" si="10"/>
        <v>Technical failure</v>
      </c>
      <c r="U115" s="24" t="s">
        <v>44</v>
      </c>
      <c r="V115" s="24" t="str">
        <f t="shared" si="11"/>
        <v/>
      </c>
      <c r="W115" s="24" t="s">
        <v>620</v>
      </c>
      <c r="X115" s="23">
        <v>3.4039999999999999</v>
      </c>
      <c r="Y115" s="23">
        <v>1.8689</v>
      </c>
      <c r="Z115" s="23"/>
      <c r="AA115" s="24" t="s">
        <v>619</v>
      </c>
      <c r="AB115" s="24" t="str">
        <f t="shared" si="12"/>
        <v>Upper censored</v>
      </c>
      <c r="AC115" s="23" t="s">
        <v>35</v>
      </c>
      <c r="AD115" s="23" t="s">
        <v>561</v>
      </c>
      <c r="AE115" s="23" t="str">
        <f t="shared" si="13"/>
        <v/>
      </c>
      <c r="AF115" s="23"/>
      <c r="AG115" s="23" t="str">
        <f t="shared" si="14"/>
        <v/>
      </c>
      <c r="AH115" s="24" t="s">
        <v>619</v>
      </c>
      <c r="AI115" s="23">
        <v>2.1579999999999999</v>
      </c>
      <c r="AJ115" s="23">
        <v>1.1291</v>
      </c>
      <c r="AK115" s="23"/>
      <c r="AL115" s="24" t="s">
        <v>619</v>
      </c>
      <c r="AM115" s="24">
        <v>210</v>
      </c>
      <c r="AN115" s="24">
        <v>0</v>
      </c>
      <c r="AO115" s="24">
        <f t="shared" si="15"/>
        <v>120</v>
      </c>
    </row>
    <row r="116" spans="1:41" x14ac:dyDescent="0.3">
      <c r="A116" s="24" t="s">
        <v>175</v>
      </c>
      <c r="B116" s="24" t="s">
        <v>436</v>
      </c>
      <c r="C116" s="30" t="s">
        <v>615</v>
      </c>
      <c r="D116" s="26">
        <v>19.899999999999999</v>
      </c>
      <c r="E116" s="34" t="s">
        <v>39</v>
      </c>
      <c r="F116" s="27" t="s">
        <v>54</v>
      </c>
      <c r="G116" s="28">
        <v>44453</v>
      </c>
      <c r="H116" s="28">
        <v>44476</v>
      </c>
      <c r="I116" s="24">
        <v>15</v>
      </c>
      <c r="J116" s="24" t="s">
        <v>43</v>
      </c>
      <c r="K116" s="24" t="s">
        <v>618</v>
      </c>
      <c r="L116" s="24" t="str">
        <f t="shared" si="8"/>
        <v>Not tested</v>
      </c>
      <c r="M116" s="23" t="s">
        <v>44</v>
      </c>
      <c r="N116" s="23" t="str">
        <f t="shared" si="9"/>
        <v/>
      </c>
      <c r="O116" s="24" t="s">
        <v>620</v>
      </c>
      <c r="P116" s="23">
        <v>3.5</v>
      </c>
      <c r="Q116" s="29">
        <v>0.11409999999999999</v>
      </c>
      <c r="R116" s="29"/>
      <c r="S116" s="24" t="s">
        <v>618</v>
      </c>
      <c r="T116" s="24" t="str">
        <f t="shared" si="10"/>
        <v>Upper censored</v>
      </c>
      <c r="U116" s="24" t="s">
        <v>35</v>
      </c>
      <c r="V116" s="24" t="str">
        <f t="shared" si="11"/>
        <v/>
      </c>
      <c r="W116" s="24" t="s">
        <v>619</v>
      </c>
      <c r="X116" s="23">
        <v>3.1789999999999998</v>
      </c>
      <c r="Y116" s="23">
        <v>2.3022999999999998</v>
      </c>
      <c r="Z116" s="23"/>
      <c r="AA116" s="24" t="s">
        <v>619</v>
      </c>
      <c r="AB116" s="24" t="str">
        <f t="shared" si="12"/>
        <v>Upper censored</v>
      </c>
      <c r="AC116" s="23" t="s">
        <v>35</v>
      </c>
      <c r="AD116" s="23" t="s">
        <v>561</v>
      </c>
      <c r="AE116" s="23" t="str">
        <f t="shared" si="13"/>
        <v/>
      </c>
      <c r="AF116" s="23"/>
      <c r="AG116" s="23" t="str">
        <f t="shared" si="14"/>
        <v/>
      </c>
      <c r="AH116" s="24" t="s">
        <v>619</v>
      </c>
      <c r="AI116" s="23">
        <v>2.2930000000000001</v>
      </c>
      <c r="AJ116" s="23">
        <v>1.0335000000000001</v>
      </c>
      <c r="AK116" s="23"/>
      <c r="AL116" s="24" t="s">
        <v>618</v>
      </c>
      <c r="AM116" s="24">
        <v>210</v>
      </c>
      <c r="AN116" s="24">
        <v>0</v>
      </c>
      <c r="AO116" s="24">
        <f t="shared" si="15"/>
        <v>120</v>
      </c>
    </row>
    <row r="117" spans="1:41" x14ac:dyDescent="0.3">
      <c r="A117" s="24" t="s">
        <v>176</v>
      </c>
      <c r="B117" s="24" t="s">
        <v>436</v>
      </c>
      <c r="C117" s="25" t="s">
        <v>616</v>
      </c>
      <c r="D117" s="26">
        <v>18.899999999999999</v>
      </c>
      <c r="E117" s="34" t="s">
        <v>39</v>
      </c>
      <c r="F117" s="27" t="s">
        <v>54</v>
      </c>
      <c r="G117" s="28">
        <v>44453</v>
      </c>
      <c r="H117" s="28">
        <v>44476</v>
      </c>
      <c r="I117" s="24">
        <v>15</v>
      </c>
      <c r="J117" s="24" t="s">
        <v>43</v>
      </c>
      <c r="K117" s="24" t="s">
        <v>619</v>
      </c>
      <c r="L117" s="24" t="str">
        <f t="shared" si="8"/>
        <v>Not tested</v>
      </c>
      <c r="M117" s="23" t="s">
        <v>44</v>
      </c>
      <c r="N117" s="23" t="str">
        <f t="shared" si="9"/>
        <v/>
      </c>
      <c r="O117" s="24" t="s">
        <v>620</v>
      </c>
      <c r="P117" s="23">
        <v>3.5</v>
      </c>
      <c r="Q117" s="29">
        <v>0.50770000000000004</v>
      </c>
      <c r="R117" s="29"/>
      <c r="S117" s="24" t="s">
        <v>618</v>
      </c>
      <c r="T117" s="24" t="str">
        <f t="shared" si="10"/>
        <v>Technical failure</v>
      </c>
      <c r="U117" s="24" t="s">
        <v>44</v>
      </c>
      <c r="V117" s="24" t="str">
        <f t="shared" si="11"/>
        <v/>
      </c>
      <c r="W117" s="24" t="s">
        <v>620</v>
      </c>
      <c r="X117" s="23">
        <v>3.2229999999999999</v>
      </c>
      <c r="Y117" s="23">
        <v>1.8322000000000001</v>
      </c>
      <c r="Z117" s="23"/>
      <c r="AA117" s="24" t="s">
        <v>619</v>
      </c>
      <c r="AB117" s="24" t="str">
        <f t="shared" si="12"/>
        <v>Upper censored</v>
      </c>
      <c r="AC117" s="23" t="s">
        <v>35</v>
      </c>
      <c r="AD117" s="23" t="s">
        <v>561</v>
      </c>
      <c r="AE117" s="23" t="str">
        <f t="shared" si="13"/>
        <v/>
      </c>
      <c r="AF117" s="23"/>
      <c r="AG117" s="23" t="str">
        <f t="shared" si="14"/>
        <v/>
      </c>
      <c r="AH117" s="24" t="s">
        <v>619</v>
      </c>
      <c r="AI117" s="23">
        <v>2.3919999999999999</v>
      </c>
      <c r="AJ117" s="23">
        <v>0.41599999999999998</v>
      </c>
      <c r="AK117" s="23"/>
      <c r="AL117" s="24" t="s">
        <v>618</v>
      </c>
      <c r="AM117" s="24">
        <v>210</v>
      </c>
      <c r="AN117" s="24">
        <v>0</v>
      </c>
      <c r="AO117" s="24">
        <f t="shared" si="15"/>
        <v>120</v>
      </c>
    </row>
    <row r="118" spans="1:41" x14ac:dyDescent="0.3">
      <c r="A118" s="24" t="s">
        <v>177</v>
      </c>
      <c r="B118" s="24" t="s">
        <v>436</v>
      </c>
      <c r="C118" s="25" t="s">
        <v>616</v>
      </c>
      <c r="D118" s="26">
        <v>21.8</v>
      </c>
      <c r="E118" s="34" t="s">
        <v>31</v>
      </c>
      <c r="F118" s="27" t="s">
        <v>54</v>
      </c>
      <c r="G118" s="28">
        <v>44453</v>
      </c>
      <c r="H118" s="28">
        <v>44477</v>
      </c>
      <c r="I118" s="24">
        <v>12</v>
      </c>
      <c r="J118" s="24" t="s">
        <v>33</v>
      </c>
      <c r="K118" s="24" t="s">
        <v>618</v>
      </c>
      <c r="L118" s="24" t="str">
        <f t="shared" si="8"/>
        <v>Not tested</v>
      </c>
      <c r="M118" s="23" t="s">
        <v>44</v>
      </c>
      <c r="N118" s="23" t="str">
        <f t="shared" si="9"/>
        <v/>
      </c>
      <c r="O118" s="24" t="s">
        <v>620</v>
      </c>
      <c r="P118" s="23">
        <v>3.5</v>
      </c>
      <c r="Q118" s="29">
        <v>1.2043999999999999</v>
      </c>
      <c r="R118" s="29"/>
      <c r="S118" s="24" t="s">
        <v>619</v>
      </c>
      <c r="T118" s="24" t="str">
        <f t="shared" si="10"/>
        <v>Upper censored</v>
      </c>
      <c r="U118" s="24" t="s">
        <v>35</v>
      </c>
      <c r="V118" s="24" t="str">
        <f t="shared" si="11"/>
        <v/>
      </c>
      <c r="W118" s="24" t="s">
        <v>619</v>
      </c>
      <c r="X118" s="23">
        <v>3.3090000000000002</v>
      </c>
      <c r="Y118" s="23">
        <v>6.5496999999999996</v>
      </c>
      <c r="Z118" s="23"/>
      <c r="AA118" s="24" t="s">
        <v>619</v>
      </c>
      <c r="AB118" s="24" t="str">
        <f t="shared" si="12"/>
        <v>Normal</v>
      </c>
      <c r="AC118" s="23">
        <v>979798</v>
      </c>
      <c r="AD118" s="23">
        <v>97.979799999999997</v>
      </c>
      <c r="AE118" s="23" t="str">
        <f t="shared" si="13"/>
        <v/>
      </c>
      <c r="AF118" s="23"/>
      <c r="AG118" s="23" t="str">
        <f t="shared" si="14"/>
        <v/>
      </c>
      <c r="AH118" s="24" t="s">
        <v>619</v>
      </c>
      <c r="AI118" s="23">
        <v>2.4350000000000001</v>
      </c>
      <c r="AJ118" s="23">
        <v>2.1475</v>
      </c>
      <c r="AK118" s="23"/>
      <c r="AL118" s="24" t="s">
        <v>618</v>
      </c>
      <c r="AM118" s="24">
        <v>182</v>
      </c>
      <c r="AN118" s="24">
        <v>1</v>
      </c>
      <c r="AO118" s="24" t="str">
        <f t="shared" si="15"/>
        <v/>
      </c>
    </row>
    <row r="119" spans="1:41" x14ac:dyDescent="0.3">
      <c r="A119" s="24" t="s">
        <v>178</v>
      </c>
      <c r="B119" s="24" t="s">
        <v>436</v>
      </c>
      <c r="C119" s="30" t="s">
        <v>616</v>
      </c>
      <c r="D119" s="26">
        <v>18.399999999999999</v>
      </c>
      <c r="E119" s="34" t="s">
        <v>39</v>
      </c>
      <c r="F119" s="27" t="s">
        <v>54</v>
      </c>
      <c r="G119" s="28">
        <v>44453</v>
      </c>
      <c r="H119" s="28">
        <v>44477</v>
      </c>
      <c r="I119" s="24">
        <v>12</v>
      </c>
      <c r="J119" s="24" t="s">
        <v>33</v>
      </c>
      <c r="K119" s="24" t="s">
        <v>618</v>
      </c>
      <c r="L119" s="24" t="str">
        <f t="shared" si="8"/>
        <v>Not tested</v>
      </c>
      <c r="M119" s="23" t="s">
        <v>44</v>
      </c>
      <c r="N119" s="23" t="str">
        <f t="shared" si="9"/>
        <v/>
      </c>
      <c r="O119" s="24" t="s">
        <v>620</v>
      </c>
      <c r="P119" s="23">
        <v>3.5</v>
      </c>
      <c r="Q119" s="29">
        <v>7.3300000000000004E-2</v>
      </c>
      <c r="R119" s="29"/>
      <c r="S119" s="24" t="s">
        <v>618</v>
      </c>
      <c r="T119" s="24" t="str">
        <f t="shared" si="10"/>
        <v>Upper censored</v>
      </c>
      <c r="U119" s="24" t="s">
        <v>35</v>
      </c>
      <c r="V119" s="24" t="str">
        <f t="shared" si="11"/>
        <v/>
      </c>
      <c r="W119" s="24" t="s">
        <v>619</v>
      </c>
      <c r="X119" s="23">
        <v>3.5</v>
      </c>
      <c r="Y119" s="23">
        <v>0.2848</v>
      </c>
      <c r="Z119" s="23"/>
      <c r="AA119" s="24" t="s">
        <v>618</v>
      </c>
      <c r="AB119" s="24" t="str">
        <f t="shared" si="12"/>
        <v>Upper censored</v>
      </c>
      <c r="AC119" s="23" t="s">
        <v>35</v>
      </c>
      <c r="AD119" s="23" t="s">
        <v>561</v>
      </c>
      <c r="AE119" s="23" t="str">
        <f t="shared" si="13"/>
        <v/>
      </c>
      <c r="AF119" s="23"/>
      <c r="AG119" s="23" t="str">
        <f t="shared" si="14"/>
        <v/>
      </c>
      <c r="AH119" s="24" t="s">
        <v>619</v>
      </c>
      <c r="AI119" s="23">
        <v>2.456</v>
      </c>
      <c r="AJ119" s="23">
        <v>9.5000000000000001E-2</v>
      </c>
      <c r="AK119" s="23"/>
      <c r="AL119" s="24" t="s">
        <v>618</v>
      </c>
      <c r="AM119" s="24">
        <v>210</v>
      </c>
      <c r="AN119" s="24">
        <v>0</v>
      </c>
      <c r="AO119" s="24">
        <f t="shared" si="15"/>
        <v>120</v>
      </c>
    </row>
    <row r="120" spans="1:41" x14ac:dyDescent="0.3">
      <c r="A120" s="24" t="s">
        <v>179</v>
      </c>
      <c r="B120" s="24" t="s">
        <v>614</v>
      </c>
      <c r="C120" s="30"/>
      <c r="D120" s="26">
        <v>35.1</v>
      </c>
      <c r="E120" s="34" t="s">
        <v>39</v>
      </c>
      <c r="F120" s="27" t="s">
        <v>54</v>
      </c>
      <c r="G120" s="28">
        <v>44453</v>
      </c>
      <c r="H120" s="28">
        <v>44476</v>
      </c>
      <c r="I120" s="24">
        <v>15</v>
      </c>
      <c r="J120" s="24" t="s">
        <v>43</v>
      </c>
      <c r="K120" s="24" t="s">
        <v>618</v>
      </c>
      <c r="L120" s="24" t="str">
        <f t="shared" si="8"/>
        <v>Not tested</v>
      </c>
      <c r="M120" s="23" t="s">
        <v>44</v>
      </c>
      <c r="N120" s="23" t="str">
        <f t="shared" si="9"/>
        <v/>
      </c>
      <c r="O120" s="24" t="s">
        <v>620</v>
      </c>
      <c r="P120" s="23">
        <v>3.5</v>
      </c>
      <c r="Q120" s="29">
        <v>9.4500000000000001E-2</v>
      </c>
      <c r="R120" s="29"/>
      <c r="S120" s="24" t="s">
        <v>618</v>
      </c>
      <c r="T120" s="24" t="str">
        <f t="shared" si="10"/>
        <v>Upper censored</v>
      </c>
      <c r="U120" s="24" t="s">
        <v>35</v>
      </c>
      <c r="V120" s="24" t="str">
        <f t="shared" si="11"/>
        <v/>
      </c>
      <c r="W120" s="24" t="s">
        <v>619</v>
      </c>
      <c r="X120" s="23">
        <v>3.5</v>
      </c>
      <c r="Y120" s="23">
        <v>2.1928000000000001</v>
      </c>
      <c r="Z120" s="23"/>
      <c r="AA120" s="24" t="s">
        <v>619</v>
      </c>
      <c r="AB120" s="24" t="str">
        <f t="shared" si="12"/>
        <v>Not tested</v>
      </c>
      <c r="AC120" s="23" t="s">
        <v>44</v>
      </c>
      <c r="AD120" s="23" t="s">
        <v>561</v>
      </c>
      <c r="AE120" s="23" t="str">
        <f t="shared" si="13"/>
        <v/>
      </c>
      <c r="AF120" s="23"/>
      <c r="AG120" s="23" t="str">
        <f t="shared" si="14"/>
        <v/>
      </c>
      <c r="AH120" s="24" t="s">
        <v>620</v>
      </c>
      <c r="AI120" s="23">
        <v>2.508</v>
      </c>
      <c r="AJ120" s="23">
        <v>1.3967000000000001</v>
      </c>
      <c r="AK120" s="23"/>
      <c r="AL120" s="24" t="s">
        <v>619</v>
      </c>
      <c r="AM120" s="24">
        <v>210</v>
      </c>
      <c r="AN120" s="24">
        <v>0</v>
      </c>
      <c r="AO120" s="24" t="str">
        <f t="shared" si="15"/>
        <v/>
      </c>
    </row>
    <row r="121" spans="1:41" x14ac:dyDescent="0.3">
      <c r="A121" s="24" t="s">
        <v>180</v>
      </c>
      <c r="B121" s="24" t="s">
        <v>436</v>
      </c>
      <c r="C121" s="25"/>
      <c r="D121" s="26">
        <v>23</v>
      </c>
      <c r="E121" s="34" t="s">
        <v>39</v>
      </c>
      <c r="F121" s="27" t="s">
        <v>54</v>
      </c>
      <c r="G121" s="28">
        <v>44453</v>
      </c>
      <c r="H121" s="28">
        <v>44476</v>
      </c>
      <c r="I121" s="24">
        <v>15</v>
      </c>
      <c r="J121" s="24" t="s">
        <v>43</v>
      </c>
      <c r="K121" s="24" t="s">
        <v>619</v>
      </c>
      <c r="L121" s="24" t="str">
        <f t="shared" si="8"/>
        <v>Not tested</v>
      </c>
      <c r="M121" s="23" t="s">
        <v>44</v>
      </c>
      <c r="N121" s="23" t="str">
        <f t="shared" si="9"/>
        <v/>
      </c>
      <c r="O121" s="24" t="s">
        <v>620</v>
      </c>
      <c r="P121" s="23">
        <v>3.5</v>
      </c>
      <c r="Q121" s="29">
        <v>1.4278999999999999</v>
      </c>
      <c r="R121" s="29"/>
      <c r="S121" s="24" t="s">
        <v>619</v>
      </c>
      <c r="T121" s="24" t="str">
        <f t="shared" si="10"/>
        <v>Technical failure</v>
      </c>
      <c r="U121" s="24" t="s">
        <v>44</v>
      </c>
      <c r="V121" s="24" t="str">
        <f t="shared" si="11"/>
        <v/>
      </c>
      <c r="W121" s="24" t="s">
        <v>620</v>
      </c>
      <c r="X121" s="23">
        <v>3.0190000000000001</v>
      </c>
      <c r="Y121" s="23">
        <v>0.92</v>
      </c>
      <c r="Z121" s="23"/>
      <c r="AA121" s="24" t="s">
        <v>618</v>
      </c>
      <c r="AB121" s="24" t="str">
        <f t="shared" si="12"/>
        <v>Upper censored</v>
      </c>
      <c r="AC121" s="23" t="s">
        <v>35</v>
      </c>
      <c r="AD121" s="23" t="s">
        <v>561</v>
      </c>
      <c r="AE121" s="23" t="str">
        <f t="shared" si="13"/>
        <v/>
      </c>
      <c r="AF121" s="23"/>
      <c r="AG121" s="23" t="str">
        <f t="shared" si="14"/>
        <v/>
      </c>
      <c r="AH121" s="24" t="s">
        <v>619</v>
      </c>
      <c r="AI121" s="23">
        <v>2.528</v>
      </c>
      <c r="AJ121" s="23">
        <v>0.62419999999999998</v>
      </c>
      <c r="AK121" s="23"/>
      <c r="AL121" s="24" t="s">
        <v>618</v>
      </c>
      <c r="AM121" s="24">
        <v>210</v>
      </c>
      <c r="AN121" s="24">
        <v>0</v>
      </c>
      <c r="AO121" s="24">
        <f t="shared" si="15"/>
        <v>120</v>
      </c>
    </row>
    <row r="122" spans="1:41" x14ac:dyDescent="0.3">
      <c r="A122" s="24" t="s">
        <v>181</v>
      </c>
      <c r="B122" s="24" t="s">
        <v>614</v>
      </c>
      <c r="C122" s="25" t="s">
        <v>616</v>
      </c>
      <c r="D122" s="26">
        <v>29</v>
      </c>
      <c r="E122" s="34" t="s">
        <v>47</v>
      </c>
      <c r="F122" s="27" t="s">
        <v>54</v>
      </c>
      <c r="G122" s="28">
        <v>44453</v>
      </c>
      <c r="H122" s="28">
        <v>44477</v>
      </c>
      <c r="I122" s="24">
        <v>12</v>
      </c>
      <c r="J122" s="24" t="s">
        <v>33</v>
      </c>
      <c r="K122" s="24" t="s">
        <v>619</v>
      </c>
      <c r="L122" s="24" t="str">
        <f t="shared" si="8"/>
        <v>Not tested</v>
      </c>
      <c r="M122" s="23" t="s">
        <v>44</v>
      </c>
      <c r="N122" s="23" t="str">
        <f t="shared" si="9"/>
        <v/>
      </c>
      <c r="O122" s="24" t="s">
        <v>620</v>
      </c>
      <c r="P122" s="23">
        <v>3.5</v>
      </c>
      <c r="Q122" s="29">
        <v>2.6709999999999998</v>
      </c>
      <c r="R122" s="29"/>
      <c r="S122" s="24" t="s">
        <v>619</v>
      </c>
      <c r="T122" s="24" t="str">
        <f t="shared" si="10"/>
        <v>Technical failure</v>
      </c>
      <c r="U122" s="24" t="s">
        <v>44</v>
      </c>
      <c r="V122" s="24" t="str">
        <f t="shared" si="11"/>
        <v/>
      </c>
      <c r="W122" s="24" t="s">
        <v>620</v>
      </c>
      <c r="X122" s="23">
        <v>3.032</v>
      </c>
      <c r="Y122" s="23">
        <v>4.8895999999999997</v>
      </c>
      <c r="Z122" s="23"/>
      <c r="AA122" s="24" t="s">
        <v>619</v>
      </c>
      <c r="AB122" s="24" t="str">
        <f t="shared" si="12"/>
        <v>Not tested</v>
      </c>
      <c r="AC122" s="23" t="s">
        <v>44</v>
      </c>
      <c r="AD122" s="23" t="s">
        <v>561</v>
      </c>
      <c r="AE122" s="23" t="str">
        <f t="shared" si="13"/>
        <v/>
      </c>
      <c r="AF122" s="23"/>
      <c r="AG122" s="23" t="str">
        <f t="shared" si="14"/>
        <v/>
      </c>
      <c r="AH122" s="24" t="s">
        <v>620</v>
      </c>
      <c r="AI122" s="23">
        <v>2.5649999999999999</v>
      </c>
      <c r="AJ122" s="23">
        <v>2.3450000000000002</v>
      </c>
      <c r="AK122" s="23"/>
      <c r="AL122" s="24" t="s">
        <v>619</v>
      </c>
      <c r="AM122" s="24">
        <v>210</v>
      </c>
      <c r="AN122" s="24">
        <v>0</v>
      </c>
      <c r="AO122" s="24" t="str">
        <f t="shared" si="15"/>
        <v/>
      </c>
    </row>
    <row r="123" spans="1:41" x14ac:dyDescent="0.3">
      <c r="A123" s="24" t="s">
        <v>182</v>
      </c>
      <c r="B123" s="24" t="s">
        <v>614</v>
      </c>
      <c r="C123" s="25" t="s">
        <v>616</v>
      </c>
      <c r="D123" s="26">
        <v>15.9</v>
      </c>
      <c r="E123" s="34" t="s">
        <v>39</v>
      </c>
      <c r="F123" s="27" t="s">
        <v>54</v>
      </c>
      <c r="G123" s="28">
        <v>44453</v>
      </c>
      <c r="H123" s="28">
        <v>44477</v>
      </c>
      <c r="I123" s="24">
        <v>13</v>
      </c>
      <c r="J123" s="24" t="s">
        <v>33</v>
      </c>
      <c r="K123" s="24" t="s">
        <v>619</v>
      </c>
      <c r="L123" s="24" t="str">
        <f t="shared" si="8"/>
        <v>Not tested</v>
      </c>
      <c r="M123" s="23" t="s">
        <v>44</v>
      </c>
      <c r="N123" s="23" t="str">
        <f t="shared" si="9"/>
        <v/>
      </c>
      <c r="O123" s="24" t="s">
        <v>620</v>
      </c>
      <c r="P123" s="23">
        <v>3.5</v>
      </c>
      <c r="Q123" s="29">
        <v>1.3257000000000001</v>
      </c>
      <c r="R123" s="29">
        <v>1.2524</v>
      </c>
      <c r="S123" s="24" t="s">
        <v>619</v>
      </c>
      <c r="T123" s="24" t="str">
        <f t="shared" si="10"/>
        <v>Technical failure</v>
      </c>
      <c r="U123" s="24" t="s">
        <v>44</v>
      </c>
      <c r="V123" s="24" t="str">
        <f t="shared" si="11"/>
        <v/>
      </c>
      <c r="W123" s="24" t="s">
        <v>620</v>
      </c>
      <c r="X123" s="23">
        <v>3.206</v>
      </c>
      <c r="Y123" s="23">
        <v>1.1192</v>
      </c>
      <c r="Z123" s="23"/>
      <c r="AA123" s="24" t="s">
        <v>619</v>
      </c>
      <c r="AB123" s="24" t="str">
        <f t="shared" si="12"/>
        <v>Upper censored</v>
      </c>
      <c r="AC123" s="23" t="s">
        <v>35</v>
      </c>
      <c r="AD123" s="23" t="s">
        <v>561</v>
      </c>
      <c r="AE123" s="23" t="str">
        <f t="shared" si="13"/>
        <v/>
      </c>
      <c r="AF123" s="23"/>
      <c r="AG123" s="23" t="str">
        <f t="shared" si="14"/>
        <v/>
      </c>
      <c r="AH123" s="24" t="s">
        <v>619</v>
      </c>
      <c r="AI123" s="23">
        <v>2.589</v>
      </c>
      <c r="AJ123" s="23">
        <v>5.5533000000000001</v>
      </c>
      <c r="AK123" s="23"/>
      <c r="AL123" s="24" t="s">
        <v>619</v>
      </c>
      <c r="AM123" s="24">
        <v>210</v>
      </c>
      <c r="AN123" s="24">
        <v>0</v>
      </c>
      <c r="AO123" s="24">
        <f t="shared" si="15"/>
        <v>120</v>
      </c>
    </row>
    <row r="124" spans="1:41" x14ac:dyDescent="0.3">
      <c r="A124" s="24" t="s">
        <v>184</v>
      </c>
      <c r="B124" s="24" t="s">
        <v>614</v>
      </c>
      <c r="C124" s="25"/>
      <c r="D124" s="26">
        <v>31.3</v>
      </c>
      <c r="E124" s="34" t="s">
        <v>47</v>
      </c>
      <c r="F124" s="27" t="s">
        <v>54</v>
      </c>
      <c r="G124" s="28">
        <v>44453</v>
      </c>
      <c r="H124" s="28">
        <v>44477</v>
      </c>
      <c r="I124" s="24">
        <v>12</v>
      </c>
      <c r="J124" s="24" t="s">
        <v>33</v>
      </c>
      <c r="K124" s="24" t="s">
        <v>618</v>
      </c>
      <c r="L124" s="24" t="str">
        <f t="shared" si="8"/>
        <v>Not tested</v>
      </c>
      <c r="M124" s="23" t="s">
        <v>44</v>
      </c>
      <c r="N124" s="23" t="str">
        <f t="shared" si="9"/>
        <v/>
      </c>
      <c r="O124" s="24" t="s">
        <v>620</v>
      </c>
      <c r="P124" s="23">
        <v>3.5</v>
      </c>
      <c r="Q124" s="29">
        <v>0.92530000000000001</v>
      </c>
      <c r="R124" s="29">
        <v>1.0065999999999999</v>
      </c>
      <c r="S124" s="24" t="s">
        <v>618</v>
      </c>
      <c r="T124" s="24" t="str">
        <f t="shared" si="10"/>
        <v>Technical failure</v>
      </c>
      <c r="U124" s="24" t="s">
        <v>44</v>
      </c>
      <c r="V124" s="24" t="str">
        <f t="shared" si="11"/>
        <v/>
      </c>
      <c r="W124" s="24" t="s">
        <v>620</v>
      </c>
      <c r="X124" s="23">
        <v>3.38</v>
      </c>
      <c r="Y124" s="23">
        <v>1.1235999999999999</v>
      </c>
      <c r="Z124" s="23"/>
      <c r="AA124" s="24" t="s">
        <v>619</v>
      </c>
      <c r="AB124" s="24" t="str">
        <f t="shared" si="12"/>
        <v>Upper censored</v>
      </c>
      <c r="AC124" s="23" t="s">
        <v>35</v>
      </c>
      <c r="AD124" s="23" t="s">
        <v>561</v>
      </c>
      <c r="AE124" s="23" t="str">
        <f t="shared" si="13"/>
        <v/>
      </c>
      <c r="AF124" s="23"/>
      <c r="AG124" s="23" t="str">
        <f t="shared" si="14"/>
        <v/>
      </c>
      <c r="AH124" s="24" t="s">
        <v>619</v>
      </c>
      <c r="AI124" s="23">
        <v>2.5979999999999999</v>
      </c>
      <c r="AJ124" s="23">
        <v>0.75</v>
      </c>
      <c r="AK124" s="23">
        <v>0.78890000000000005</v>
      </c>
      <c r="AL124" s="24" t="s">
        <v>618</v>
      </c>
      <c r="AM124" s="24">
        <v>210</v>
      </c>
      <c r="AN124" s="24">
        <v>0</v>
      </c>
      <c r="AO124" s="24">
        <f t="shared" si="15"/>
        <v>120</v>
      </c>
    </row>
    <row r="125" spans="1:41" x14ac:dyDescent="0.3">
      <c r="A125" s="24" t="s">
        <v>187</v>
      </c>
      <c r="B125" s="24" t="s">
        <v>436</v>
      </c>
      <c r="C125" s="25" t="s">
        <v>616</v>
      </c>
      <c r="D125" s="26">
        <v>28</v>
      </c>
      <c r="E125" s="34" t="s">
        <v>31</v>
      </c>
      <c r="F125" s="27" t="s">
        <v>54</v>
      </c>
      <c r="G125" s="28">
        <v>44453</v>
      </c>
      <c r="H125" s="28">
        <v>44476</v>
      </c>
      <c r="I125" s="24">
        <v>15</v>
      </c>
      <c r="J125" s="24" t="s">
        <v>43</v>
      </c>
      <c r="K125" s="24" t="s">
        <v>618</v>
      </c>
      <c r="L125" s="24" t="str">
        <f t="shared" si="8"/>
        <v>Not tested</v>
      </c>
      <c r="M125" s="23" t="s">
        <v>44</v>
      </c>
      <c r="N125" s="23" t="str">
        <f t="shared" si="9"/>
        <v/>
      </c>
      <c r="O125" s="24" t="s">
        <v>620</v>
      </c>
      <c r="P125" s="23">
        <v>3.5</v>
      </c>
      <c r="Q125" s="29">
        <v>1.3843000000000001</v>
      </c>
      <c r="R125" s="29"/>
      <c r="S125" s="24" t="s">
        <v>619</v>
      </c>
      <c r="T125" s="24" t="str">
        <f t="shared" si="10"/>
        <v>Upper censored</v>
      </c>
      <c r="U125" s="24" t="s">
        <v>35</v>
      </c>
      <c r="V125" s="24" t="str">
        <f t="shared" si="11"/>
        <v/>
      </c>
      <c r="W125" s="24" t="s">
        <v>619</v>
      </c>
      <c r="X125" s="23">
        <v>3.0350000000000001</v>
      </c>
      <c r="Y125" s="23">
        <v>1.1874</v>
      </c>
      <c r="Z125" s="23">
        <v>1.2083999999999999</v>
      </c>
      <c r="AA125" s="24" t="s">
        <v>619</v>
      </c>
      <c r="AB125" s="24" t="str">
        <f t="shared" si="12"/>
        <v>Normal</v>
      </c>
      <c r="AC125" s="23">
        <v>846647</v>
      </c>
      <c r="AD125" s="23">
        <v>84.664699999999996</v>
      </c>
      <c r="AE125" s="23" t="str">
        <f t="shared" si="13"/>
        <v/>
      </c>
      <c r="AF125" s="23"/>
      <c r="AG125" s="23" t="str">
        <f t="shared" si="14"/>
        <v/>
      </c>
      <c r="AH125" s="24" t="s">
        <v>619</v>
      </c>
      <c r="AI125" s="23">
        <v>2.601</v>
      </c>
      <c r="AJ125" s="23">
        <v>0.7954</v>
      </c>
      <c r="AK125" s="23"/>
      <c r="AL125" s="24" t="s">
        <v>618</v>
      </c>
      <c r="AM125" s="24">
        <v>182</v>
      </c>
      <c r="AN125" s="24">
        <v>1</v>
      </c>
      <c r="AO125" s="24" t="str">
        <f t="shared" si="15"/>
        <v/>
      </c>
    </row>
    <row r="126" spans="1:41" x14ac:dyDescent="0.3">
      <c r="A126" s="24" t="s">
        <v>189</v>
      </c>
      <c r="B126" s="24" t="s">
        <v>436</v>
      </c>
      <c r="C126" s="25" t="s">
        <v>616</v>
      </c>
      <c r="D126" s="26">
        <v>34.799999999999997</v>
      </c>
      <c r="E126" s="34" t="s">
        <v>47</v>
      </c>
      <c r="F126" s="27" t="s">
        <v>54</v>
      </c>
      <c r="G126" s="28">
        <v>44456</v>
      </c>
      <c r="H126" s="28">
        <v>44476</v>
      </c>
      <c r="I126" s="24">
        <v>15</v>
      </c>
      <c r="J126" s="24" t="s">
        <v>43</v>
      </c>
      <c r="K126" s="24" t="s">
        <v>618</v>
      </c>
      <c r="L126" s="24" t="str">
        <f t="shared" si="8"/>
        <v>Not tested</v>
      </c>
      <c r="M126" s="23" t="s">
        <v>44</v>
      </c>
      <c r="N126" s="23" t="str">
        <f t="shared" si="9"/>
        <v/>
      </c>
      <c r="O126" s="24" t="s">
        <v>620</v>
      </c>
      <c r="P126" s="23">
        <v>3.5</v>
      </c>
      <c r="Q126" s="29">
        <v>8.5000000000000006E-2</v>
      </c>
      <c r="R126" s="29"/>
      <c r="S126" s="24" t="s">
        <v>618</v>
      </c>
      <c r="T126" s="24" t="str">
        <f t="shared" si="10"/>
        <v>Upper censored</v>
      </c>
      <c r="U126" s="24" t="s">
        <v>35</v>
      </c>
      <c r="V126" s="24" t="str">
        <f t="shared" si="11"/>
        <v/>
      </c>
      <c r="W126" s="24" t="s">
        <v>619</v>
      </c>
      <c r="X126" s="23">
        <v>3.3929999999999998</v>
      </c>
      <c r="Y126" s="23">
        <v>1.3103</v>
      </c>
      <c r="Z126" s="23"/>
      <c r="AA126" s="24" t="s">
        <v>619</v>
      </c>
      <c r="AB126" s="24" t="str">
        <f t="shared" si="12"/>
        <v>Upper censored</v>
      </c>
      <c r="AC126" s="23" t="s">
        <v>35</v>
      </c>
      <c r="AD126" s="23" t="s">
        <v>561</v>
      </c>
      <c r="AE126" s="23" t="str">
        <f t="shared" si="13"/>
        <v/>
      </c>
      <c r="AF126" s="23"/>
      <c r="AG126" s="23" t="str">
        <f t="shared" si="14"/>
        <v/>
      </c>
      <c r="AH126" s="24" t="s">
        <v>619</v>
      </c>
      <c r="AI126" s="23">
        <v>2.6019999999999999</v>
      </c>
      <c r="AJ126" s="23">
        <v>0.73099999999999998</v>
      </c>
      <c r="AK126" s="23"/>
      <c r="AL126" s="24" t="s">
        <v>618</v>
      </c>
      <c r="AM126" s="24">
        <v>210</v>
      </c>
      <c r="AN126" s="24">
        <v>0</v>
      </c>
      <c r="AO126" s="24">
        <f t="shared" si="15"/>
        <v>120</v>
      </c>
    </row>
    <row r="127" spans="1:41" x14ac:dyDescent="0.3">
      <c r="A127" s="24" t="s">
        <v>190</v>
      </c>
      <c r="B127" s="24" t="s">
        <v>436</v>
      </c>
      <c r="C127" s="30" t="s">
        <v>616</v>
      </c>
      <c r="D127" s="26">
        <v>37.5</v>
      </c>
      <c r="E127" s="34" t="s">
        <v>47</v>
      </c>
      <c r="F127" s="27" t="s">
        <v>54</v>
      </c>
      <c r="G127" s="28">
        <v>44453</v>
      </c>
      <c r="H127" s="28">
        <v>44476</v>
      </c>
      <c r="I127" s="24">
        <v>15</v>
      </c>
      <c r="J127" s="24" t="s">
        <v>43</v>
      </c>
      <c r="K127" s="24" t="s">
        <v>618</v>
      </c>
      <c r="L127" s="24" t="str">
        <f t="shared" si="8"/>
        <v>Not tested</v>
      </c>
      <c r="M127" s="23" t="s">
        <v>44</v>
      </c>
      <c r="N127" s="23" t="str">
        <f t="shared" si="9"/>
        <v/>
      </c>
      <c r="O127" s="24" t="s">
        <v>620</v>
      </c>
      <c r="P127" s="23">
        <v>3.5</v>
      </c>
      <c r="Q127" s="29">
        <v>3.4200000000000001E-2</v>
      </c>
      <c r="R127" s="29"/>
      <c r="S127" s="24" t="s">
        <v>618</v>
      </c>
      <c r="T127" s="24" t="str">
        <f t="shared" si="10"/>
        <v>Normal</v>
      </c>
      <c r="U127" s="24">
        <v>17.8963</v>
      </c>
      <c r="V127" s="24">
        <f t="shared" si="11"/>
        <v>17.8963</v>
      </c>
      <c r="W127" s="24" t="s">
        <v>619</v>
      </c>
      <c r="X127" s="23">
        <v>3.262</v>
      </c>
      <c r="Y127" s="23">
        <v>2.4821</v>
      </c>
      <c r="Z127" s="23"/>
      <c r="AA127" s="24" t="s">
        <v>619</v>
      </c>
      <c r="AB127" s="24" t="str">
        <f t="shared" si="12"/>
        <v>Normal</v>
      </c>
      <c r="AC127" s="23">
        <v>93832</v>
      </c>
      <c r="AD127" s="23">
        <v>9.3832000000000004</v>
      </c>
      <c r="AE127" s="23" t="str">
        <f t="shared" si="13"/>
        <v/>
      </c>
      <c r="AF127" s="23"/>
      <c r="AG127" s="23" t="str">
        <f t="shared" si="14"/>
        <v/>
      </c>
      <c r="AH127" t="s">
        <v>621</v>
      </c>
      <c r="AI127" s="23">
        <v>2.6080000000000001</v>
      </c>
      <c r="AJ127" s="23">
        <v>0.78100000000000003</v>
      </c>
      <c r="AK127" s="23"/>
      <c r="AL127" s="24" t="s">
        <v>618</v>
      </c>
      <c r="AM127" s="24"/>
      <c r="AN127" s="24"/>
      <c r="AO127" s="24" t="str">
        <f t="shared" si="15"/>
        <v/>
      </c>
    </row>
    <row r="128" spans="1:41" x14ac:dyDescent="0.3">
      <c r="A128" s="24" t="s">
        <v>191</v>
      </c>
      <c r="B128" s="24" t="s">
        <v>436</v>
      </c>
      <c r="C128" s="25"/>
      <c r="D128" s="26">
        <v>40.1</v>
      </c>
      <c r="E128" s="34" t="s">
        <v>47</v>
      </c>
      <c r="F128" s="27" t="s">
        <v>54</v>
      </c>
      <c r="G128" s="28">
        <v>44454</v>
      </c>
      <c r="H128" s="28">
        <v>44476</v>
      </c>
      <c r="I128" s="24">
        <v>15</v>
      </c>
      <c r="J128" s="24" t="s">
        <v>43</v>
      </c>
      <c r="K128" s="24" t="s">
        <v>619</v>
      </c>
      <c r="L128" s="24" t="str">
        <f t="shared" si="8"/>
        <v>Not tested</v>
      </c>
      <c r="M128" s="23" t="s">
        <v>44</v>
      </c>
      <c r="N128" s="23" t="str">
        <f t="shared" si="9"/>
        <v/>
      </c>
      <c r="O128" s="24" t="s">
        <v>620</v>
      </c>
      <c r="P128" s="23">
        <v>3.5</v>
      </c>
      <c r="Q128" s="29">
        <v>9.6199999999999994E-2</v>
      </c>
      <c r="R128" s="29"/>
      <c r="S128" s="24" t="s">
        <v>618</v>
      </c>
      <c r="T128" s="24" t="str">
        <f t="shared" si="10"/>
        <v>Upper censored</v>
      </c>
      <c r="U128" s="24" t="s">
        <v>35</v>
      </c>
      <c r="V128" s="24" t="str">
        <f t="shared" si="11"/>
        <v/>
      </c>
      <c r="W128" s="24" t="s">
        <v>619</v>
      </c>
      <c r="X128" s="23">
        <v>3.339</v>
      </c>
      <c r="Y128" s="23">
        <v>3.0960000000000001</v>
      </c>
      <c r="Z128" s="23"/>
      <c r="AA128" s="24" t="s">
        <v>618</v>
      </c>
      <c r="AB128" s="24" t="str">
        <f t="shared" si="12"/>
        <v>Upper censored</v>
      </c>
      <c r="AC128" s="23" t="s">
        <v>35</v>
      </c>
      <c r="AD128" s="23" t="s">
        <v>561</v>
      </c>
      <c r="AE128" s="23" t="str">
        <f t="shared" si="13"/>
        <v/>
      </c>
      <c r="AF128" s="23"/>
      <c r="AG128" s="23" t="str">
        <f t="shared" si="14"/>
        <v/>
      </c>
      <c r="AH128" s="24" t="s">
        <v>619</v>
      </c>
      <c r="AI128" s="23">
        <v>2.6150000000000002</v>
      </c>
      <c r="AJ128" s="23">
        <v>0.79659999999999997</v>
      </c>
      <c r="AK128" s="23"/>
      <c r="AL128" s="24" t="s">
        <v>618</v>
      </c>
      <c r="AM128" s="24">
        <v>210</v>
      </c>
      <c r="AN128" s="24">
        <v>0</v>
      </c>
      <c r="AO128" s="24">
        <f t="shared" si="15"/>
        <v>120</v>
      </c>
    </row>
    <row r="129" spans="1:41" x14ac:dyDescent="0.3">
      <c r="A129" s="24" t="s">
        <v>192</v>
      </c>
      <c r="B129" s="24" t="s">
        <v>614</v>
      </c>
      <c r="C129" s="25" t="s">
        <v>616</v>
      </c>
      <c r="D129" s="26">
        <v>20.2</v>
      </c>
      <c r="E129" s="34" t="s">
        <v>39</v>
      </c>
      <c r="F129" s="27" t="s">
        <v>54</v>
      </c>
      <c r="G129" s="28">
        <v>44453</v>
      </c>
      <c r="H129" s="28">
        <v>44477</v>
      </c>
      <c r="I129" s="24">
        <v>12</v>
      </c>
      <c r="J129" s="24" t="s">
        <v>33</v>
      </c>
      <c r="K129" s="24" t="s">
        <v>618</v>
      </c>
      <c r="L129" s="24" t="str">
        <f t="shared" si="8"/>
        <v>Not tested</v>
      </c>
      <c r="M129" s="23" t="s">
        <v>44</v>
      </c>
      <c r="N129" s="23" t="str">
        <f t="shared" si="9"/>
        <v/>
      </c>
      <c r="O129" s="24" t="s">
        <v>620</v>
      </c>
      <c r="P129" s="23">
        <v>3.5</v>
      </c>
      <c r="Q129" s="29">
        <v>0.1163</v>
      </c>
      <c r="R129" s="29"/>
      <c r="S129" s="24" t="s">
        <v>618</v>
      </c>
      <c r="T129" s="24" t="str">
        <f t="shared" si="10"/>
        <v>Technical failure</v>
      </c>
      <c r="U129" s="24" t="s">
        <v>44</v>
      </c>
      <c r="V129" s="24" t="str">
        <f t="shared" si="11"/>
        <v/>
      </c>
      <c r="W129" s="24" t="s">
        <v>620</v>
      </c>
      <c r="X129" s="23">
        <v>3.0169999999999999</v>
      </c>
      <c r="Y129" s="23">
        <v>2.2643</v>
      </c>
      <c r="Z129" s="23"/>
      <c r="AA129" s="24" t="s">
        <v>619</v>
      </c>
      <c r="AB129" s="24" t="str">
        <f t="shared" si="12"/>
        <v>Upper censored</v>
      </c>
      <c r="AC129" s="23" t="s">
        <v>35</v>
      </c>
      <c r="AD129" s="23" t="s">
        <v>561</v>
      </c>
      <c r="AE129" s="23" t="str">
        <f t="shared" si="13"/>
        <v/>
      </c>
      <c r="AF129" s="23"/>
      <c r="AG129" s="23" t="str">
        <f t="shared" si="14"/>
        <v/>
      </c>
      <c r="AH129" s="24" t="s">
        <v>619</v>
      </c>
      <c r="AI129" s="23">
        <v>2.6240000000000001</v>
      </c>
      <c r="AJ129" s="23">
        <v>0.97699999999999998</v>
      </c>
      <c r="AK129" s="23"/>
      <c r="AL129" s="24" t="s">
        <v>618</v>
      </c>
      <c r="AM129" s="24">
        <v>210</v>
      </c>
      <c r="AN129" s="24">
        <v>0</v>
      </c>
      <c r="AO129" s="24">
        <f t="shared" si="15"/>
        <v>120</v>
      </c>
    </row>
    <row r="130" spans="1:41" x14ac:dyDescent="0.3">
      <c r="A130" s="24" t="s">
        <v>193</v>
      </c>
      <c r="B130" s="24" t="s">
        <v>436</v>
      </c>
      <c r="C130" s="30"/>
      <c r="D130" s="26">
        <v>17.2</v>
      </c>
      <c r="E130" s="34" t="s">
        <v>39</v>
      </c>
      <c r="F130" s="27" t="s">
        <v>54</v>
      </c>
      <c r="G130" s="28">
        <v>44453</v>
      </c>
      <c r="H130" s="28">
        <v>44476</v>
      </c>
      <c r="I130" s="24">
        <v>15</v>
      </c>
      <c r="J130" s="24" t="s">
        <v>43</v>
      </c>
      <c r="K130" s="24" t="s">
        <v>619</v>
      </c>
      <c r="L130" s="24" t="str">
        <f t="shared" si="8"/>
        <v>Not tested</v>
      </c>
      <c r="M130" s="23" t="s">
        <v>44</v>
      </c>
      <c r="N130" s="23" t="str">
        <f t="shared" si="9"/>
        <v/>
      </c>
      <c r="O130" s="24" t="s">
        <v>620</v>
      </c>
      <c r="P130" s="23">
        <v>3.5</v>
      </c>
      <c r="Q130" s="29">
        <v>0.21759999999999999</v>
      </c>
      <c r="R130" s="29"/>
      <c r="S130" s="24" t="s">
        <v>618</v>
      </c>
      <c r="T130" s="24" t="str">
        <f t="shared" si="10"/>
        <v>Technical failure</v>
      </c>
      <c r="U130" s="24" t="s">
        <v>44</v>
      </c>
      <c r="V130" s="24" t="str">
        <f t="shared" si="11"/>
        <v/>
      </c>
      <c r="W130" s="24" t="s">
        <v>620</v>
      </c>
      <c r="X130" s="23">
        <v>3.468</v>
      </c>
      <c r="Y130" s="23">
        <v>0.43480000000000002</v>
      </c>
      <c r="Z130" s="23"/>
      <c r="AA130" s="24" t="s">
        <v>618</v>
      </c>
      <c r="AB130" s="24" t="str">
        <f t="shared" si="12"/>
        <v>Upper censored</v>
      </c>
      <c r="AC130" s="23" t="s">
        <v>35</v>
      </c>
      <c r="AD130" s="23" t="s">
        <v>561</v>
      </c>
      <c r="AE130" s="23" t="str">
        <f t="shared" si="13"/>
        <v/>
      </c>
      <c r="AF130" s="23"/>
      <c r="AG130" s="23" t="str">
        <f t="shared" si="14"/>
        <v/>
      </c>
      <c r="AH130" s="24" t="s">
        <v>619</v>
      </c>
      <c r="AI130" s="23">
        <v>2.64</v>
      </c>
      <c r="AJ130" s="23">
        <v>0.59630000000000005</v>
      </c>
      <c r="AK130" s="23"/>
      <c r="AL130" s="24" t="s">
        <v>618</v>
      </c>
      <c r="AM130" s="24"/>
      <c r="AN130" s="24"/>
      <c r="AO130" s="24" t="str">
        <f t="shared" si="15"/>
        <v/>
      </c>
    </row>
    <row r="131" spans="1:41" x14ac:dyDescent="0.3">
      <c r="A131" s="24" t="s">
        <v>194</v>
      </c>
      <c r="B131" s="24" t="s">
        <v>614</v>
      </c>
      <c r="C131" s="25"/>
      <c r="D131" s="26">
        <v>21.7</v>
      </c>
      <c r="E131" s="34" t="s">
        <v>39</v>
      </c>
      <c r="F131" s="27" t="s">
        <v>54</v>
      </c>
      <c r="G131" s="28">
        <v>44453</v>
      </c>
      <c r="H131" s="28">
        <v>44477</v>
      </c>
      <c r="I131" s="24">
        <v>15</v>
      </c>
      <c r="J131" s="24" t="s">
        <v>43</v>
      </c>
      <c r="K131" s="24" t="s">
        <v>618</v>
      </c>
      <c r="L131" s="24" t="str">
        <f t="shared" ref="L131:L194" si="16">IF(LEFT(M131,1)="&gt;","Upper censored",IF(M131="*****","Not tested","Normal"))</f>
        <v>Not tested</v>
      </c>
      <c r="M131" s="23" t="s">
        <v>44</v>
      </c>
      <c r="N131" s="23" t="str">
        <f t="shared" ref="N131:N194" si="17">IFERROR(VALUE(M131),"")</f>
        <v/>
      </c>
      <c r="O131" s="24" t="s">
        <v>620</v>
      </c>
      <c r="P131" s="23">
        <v>3.5</v>
      </c>
      <c r="Q131" s="29">
        <v>7.4200000000000002E-2</v>
      </c>
      <c r="R131" s="29"/>
      <c r="S131" s="24" t="s">
        <v>618</v>
      </c>
      <c r="T131" s="24" t="str">
        <f t="shared" ref="T131:T194" si="18">IF(LEFT(U131,1)="&gt;","Upper censored",IF(U131="*****","Technical failure","Normal"))</f>
        <v>Upper censored</v>
      </c>
      <c r="U131" s="24" t="s">
        <v>35</v>
      </c>
      <c r="V131" s="24" t="str">
        <f t="shared" ref="V131:V194" si="19">IFERROR(VALUE(U131),"")</f>
        <v/>
      </c>
      <c r="W131" s="24" t="s">
        <v>619</v>
      </c>
      <c r="X131" s="23">
        <v>2.8530000000000002</v>
      </c>
      <c r="Y131" s="23">
        <v>3.7900000000000003E-2</v>
      </c>
      <c r="Z131" s="23"/>
      <c r="AA131" s="24" t="s">
        <v>618</v>
      </c>
      <c r="AB131" s="24" t="str">
        <f t="shared" ref="AB131:AB194" si="20">IF(LEFT(AC131,1)="&gt;","Upper censored",IF(AC131="*****","Not tested","Normal"))</f>
        <v>Not tested</v>
      </c>
      <c r="AC131" s="23" t="s">
        <v>44</v>
      </c>
      <c r="AD131" s="23" t="s">
        <v>561</v>
      </c>
      <c r="AE131" s="23" t="str">
        <f t="shared" ref="AE131:AE194" si="21">IF(ISBLANK(AF131),"",IF(LEFT(AF131,1)="&gt;","Upper censored",IF(AF131="*****","Not tested","Normal")))</f>
        <v/>
      </c>
      <c r="AF131" s="23"/>
      <c r="AG131" s="23" t="str">
        <f t="shared" ref="AG131:AG194" si="22">IF(ISBLANK(AF131),"",IFERROR(VALUE(AF131),""))</f>
        <v/>
      </c>
      <c r="AH131" s="24" t="s">
        <v>620</v>
      </c>
      <c r="AI131" s="23">
        <v>2.6749999999999998</v>
      </c>
      <c r="AJ131" s="23">
        <v>1.1273</v>
      </c>
      <c r="AK131" s="23"/>
      <c r="AL131" s="24" t="s">
        <v>619</v>
      </c>
      <c r="AM131" s="24">
        <v>210</v>
      </c>
      <c r="AN131" s="24">
        <v>0</v>
      </c>
      <c r="AO131" s="24" t="str">
        <f t="shared" ref="AO131:AO194" si="23">IF(ISBLANK(AM131),"",IF(AM131=92,IF(T131="Upper censored",120,""),IF(AB131="Upper censored",120,"")))</f>
        <v/>
      </c>
    </row>
    <row r="132" spans="1:41" x14ac:dyDescent="0.3">
      <c r="A132" s="24" t="s">
        <v>195</v>
      </c>
      <c r="B132" s="24" t="s">
        <v>436</v>
      </c>
      <c r="C132" s="25" t="s">
        <v>616</v>
      </c>
      <c r="D132" s="26">
        <v>21</v>
      </c>
      <c r="E132" s="34" t="s">
        <v>39</v>
      </c>
      <c r="F132" s="27" t="s">
        <v>54</v>
      </c>
      <c r="G132" s="28">
        <v>44454</v>
      </c>
      <c r="H132" s="28">
        <v>44476</v>
      </c>
      <c r="I132" s="24">
        <v>15</v>
      </c>
      <c r="J132" s="24" t="s">
        <v>43</v>
      </c>
      <c r="K132" s="24" t="s">
        <v>618</v>
      </c>
      <c r="L132" s="24" t="str">
        <f t="shared" si="16"/>
        <v>Not tested</v>
      </c>
      <c r="M132" s="23" t="s">
        <v>44</v>
      </c>
      <c r="N132" s="23" t="str">
        <f t="shared" si="17"/>
        <v/>
      </c>
      <c r="O132" s="24" t="s">
        <v>620</v>
      </c>
      <c r="P132" s="23">
        <v>3.5</v>
      </c>
      <c r="Q132" s="29">
        <v>9.1700000000000004E-2</v>
      </c>
      <c r="R132" s="29"/>
      <c r="S132" s="24" t="s">
        <v>618</v>
      </c>
      <c r="T132" s="24" t="str">
        <f t="shared" si="18"/>
        <v>Upper censored</v>
      </c>
      <c r="U132" s="24" t="s">
        <v>35</v>
      </c>
      <c r="V132" s="24" t="str">
        <f t="shared" si="19"/>
        <v/>
      </c>
      <c r="W132" s="24" t="s">
        <v>619</v>
      </c>
      <c r="X132" s="23">
        <v>3.5</v>
      </c>
      <c r="Y132" s="23">
        <v>8.2600000000000007E-2</v>
      </c>
      <c r="Z132" s="23">
        <v>9.1499999999999998E-2</v>
      </c>
      <c r="AA132" s="24" t="s">
        <v>618</v>
      </c>
      <c r="AB132" s="24" t="str">
        <f t="shared" si="20"/>
        <v>Not tested</v>
      </c>
      <c r="AC132" s="23" t="s">
        <v>44</v>
      </c>
      <c r="AD132" s="23" t="s">
        <v>561</v>
      </c>
      <c r="AE132" s="23" t="str">
        <f t="shared" si="21"/>
        <v>Not tested</v>
      </c>
      <c r="AF132" s="23" t="s">
        <v>44</v>
      </c>
      <c r="AG132" s="23" t="str">
        <f t="shared" si="22"/>
        <v/>
      </c>
      <c r="AH132" s="24" t="s">
        <v>620</v>
      </c>
      <c r="AI132" s="23">
        <v>2.6970000000000001</v>
      </c>
      <c r="AJ132" s="23">
        <v>1.0792999999999999</v>
      </c>
      <c r="AK132" s="23"/>
      <c r="AL132" s="24" t="s">
        <v>618</v>
      </c>
      <c r="AM132" s="24">
        <v>210</v>
      </c>
      <c r="AN132" s="24">
        <v>0</v>
      </c>
      <c r="AO132" s="24" t="str">
        <f t="shared" si="23"/>
        <v/>
      </c>
    </row>
    <row r="133" spans="1:41" x14ac:dyDescent="0.3">
      <c r="A133" s="24" t="s">
        <v>198</v>
      </c>
      <c r="B133" s="24" t="s">
        <v>614</v>
      </c>
      <c r="C133" s="25"/>
      <c r="D133" s="26">
        <v>20.3</v>
      </c>
      <c r="E133" s="34" t="s">
        <v>39</v>
      </c>
      <c r="F133" s="27" t="s">
        <v>54</v>
      </c>
      <c r="G133" s="28">
        <v>44454</v>
      </c>
      <c r="H133" s="28">
        <v>44476</v>
      </c>
      <c r="I133" s="24">
        <v>15</v>
      </c>
      <c r="J133" s="24" t="s">
        <v>43</v>
      </c>
      <c r="K133" s="24" t="s">
        <v>619</v>
      </c>
      <c r="L133" s="24" t="str">
        <f t="shared" si="16"/>
        <v>Not tested</v>
      </c>
      <c r="M133" s="23" t="s">
        <v>44</v>
      </c>
      <c r="N133" s="23" t="str">
        <f t="shared" si="17"/>
        <v/>
      </c>
      <c r="O133" s="24" t="s">
        <v>620</v>
      </c>
      <c r="P133" s="23">
        <v>3.5</v>
      </c>
      <c r="Q133" s="29">
        <v>0.13200000000000001</v>
      </c>
      <c r="R133" s="29"/>
      <c r="S133" s="24" t="s">
        <v>618</v>
      </c>
      <c r="T133" s="24" t="str">
        <f t="shared" si="18"/>
        <v>Normal</v>
      </c>
      <c r="U133" s="24">
        <v>0.21310000000000001</v>
      </c>
      <c r="V133" s="24">
        <f t="shared" si="19"/>
        <v>0.21310000000000001</v>
      </c>
      <c r="W133" s="24" t="s">
        <v>618</v>
      </c>
      <c r="X133" s="23">
        <v>3.456</v>
      </c>
      <c r="Y133" s="23">
        <v>0.1116</v>
      </c>
      <c r="Z133" s="23"/>
      <c r="AA133" s="24" t="s">
        <v>618</v>
      </c>
      <c r="AB133" s="24" t="str">
        <f t="shared" si="20"/>
        <v>Normal</v>
      </c>
      <c r="AC133" s="23">
        <v>736868</v>
      </c>
      <c r="AD133" s="23">
        <v>73.686800000000005</v>
      </c>
      <c r="AE133" s="23" t="str">
        <f t="shared" si="21"/>
        <v/>
      </c>
      <c r="AF133" s="23"/>
      <c r="AG133" s="23" t="str">
        <f t="shared" si="22"/>
        <v/>
      </c>
      <c r="AH133" s="24" t="s">
        <v>619</v>
      </c>
      <c r="AI133" s="23">
        <v>2.72</v>
      </c>
      <c r="AJ133" s="23">
        <v>4.8620999999999999</v>
      </c>
      <c r="AK133" s="23"/>
      <c r="AL133" s="24" t="s">
        <v>619</v>
      </c>
      <c r="AM133" s="24"/>
      <c r="AN133" s="24"/>
      <c r="AO133" s="24" t="str">
        <f t="shared" si="23"/>
        <v/>
      </c>
    </row>
    <row r="134" spans="1:41" x14ac:dyDescent="0.3">
      <c r="A134" s="24" t="s">
        <v>199</v>
      </c>
      <c r="B134" s="24" t="s">
        <v>614</v>
      </c>
      <c r="C134" s="30" t="s">
        <v>615</v>
      </c>
      <c r="D134" s="26">
        <v>18.100000000000001</v>
      </c>
      <c r="E134" s="34" t="s">
        <v>39</v>
      </c>
      <c r="F134" s="27" t="s">
        <v>54</v>
      </c>
      <c r="G134" s="28">
        <v>44453</v>
      </c>
      <c r="H134" s="28">
        <v>44476</v>
      </c>
      <c r="I134" s="24">
        <v>15</v>
      </c>
      <c r="J134" s="24" t="s">
        <v>43</v>
      </c>
      <c r="K134" s="24" t="s">
        <v>618</v>
      </c>
      <c r="L134" s="24" t="str">
        <f t="shared" si="16"/>
        <v>Not tested</v>
      </c>
      <c r="M134" s="23" t="s">
        <v>44</v>
      </c>
      <c r="N134" s="23" t="str">
        <f t="shared" si="17"/>
        <v/>
      </c>
      <c r="O134" s="24" t="s">
        <v>620</v>
      </c>
      <c r="P134" s="23">
        <v>3.5</v>
      </c>
      <c r="Q134" s="29">
        <v>0.40389999999999998</v>
      </c>
      <c r="R134" s="29"/>
      <c r="S134" s="24" t="s">
        <v>618</v>
      </c>
      <c r="T134" s="24" t="str">
        <f t="shared" si="18"/>
        <v>Upper censored</v>
      </c>
      <c r="U134" s="24" t="s">
        <v>35</v>
      </c>
      <c r="V134" s="24" t="str">
        <f t="shared" si="19"/>
        <v/>
      </c>
      <c r="W134" s="24" t="s">
        <v>619</v>
      </c>
      <c r="X134" s="23">
        <v>3.5</v>
      </c>
      <c r="Y134" s="23">
        <v>5.0807000000000002</v>
      </c>
      <c r="Z134" s="23"/>
      <c r="AA134" s="24" t="s">
        <v>619</v>
      </c>
      <c r="AB134" s="24" t="str">
        <f t="shared" si="20"/>
        <v>Normal</v>
      </c>
      <c r="AC134" s="23">
        <v>1104883</v>
      </c>
      <c r="AD134" s="23">
        <v>110.4883</v>
      </c>
      <c r="AE134" s="23" t="str">
        <f t="shared" si="21"/>
        <v/>
      </c>
      <c r="AF134" s="23"/>
      <c r="AG134" s="23" t="str">
        <f t="shared" si="22"/>
        <v/>
      </c>
      <c r="AH134" s="24" t="s">
        <v>619</v>
      </c>
      <c r="AI134" s="23">
        <v>2.7440000000000002</v>
      </c>
      <c r="AJ134" s="23">
        <v>1.8409</v>
      </c>
      <c r="AK134" s="23"/>
      <c r="AL134" s="24" t="s">
        <v>619</v>
      </c>
      <c r="AM134" s="24"/>
      <c r="AN134" s="24"/>
      <c r="AO134" s="24" t="str">
        <f t="shared" si="23"/>
        <v/>
      </c>
    </row>
    <row r="135" spans="1:41" x14ac:dyDescent="0.3">
      <c r="A135" s="24" t="s">
        <v>200</v>
      </c>
      <c r="B135" s="24" t="s">
        <v>614</v>
      </c>
      <c r="C135" s="30" t="s">
        <v>616</v>
      </c>
      <c r="D135" s="26">
        <v>29.5</v>
      </c>
      <c r="E135" s="34" t="s">
        <v>47</v>
      </c>
      <c r="F135" s="27" t="s">
        <v>54</v>
      </c>
      <c r="G135" s="28">
        <v>44453</v>
      </c>
      <c r="H135" s="28">
        <v>44482</v>
      </c>
      <c r="I135" s="24">
        <v>12</v>
      </c>
      <c r="J135" s="24" t="s">
        <v>33</v>
      </c>
      <c r="K135" s="24" t="s">
        <v>618</v>
      </c>
      <c r="L135" s="24" t="str">
        <f t="shared" si="16"/>
        <v>Not tested</v>
      </c>
      <c r="M135" s="23" t="s">
        <v>44</v>
      </c>
      <c r="N135" s="23" t="str">
        <f t="shared" si="17"/>
        <v/>
      </c>
      <c r="O135" s="24" t="s">
        <v>620</v>
      </c>
      <c r="P135" s="23">
        <v>3.5</v>
      </c>
      <c r="Q135" s="29">
        <v>0.12379999999999999</v>
      </c>
      <c r="R135" s="29"/>
      <c r="S135" s="24" t="s">
        <v>618</v>
      </c>
      <c r="T135" s="24" t="str">
        <f t="shared" si="18"/>
        <v>Upper censored</v>
      </c>
      <c r="U135" s="24" t="s">
        <v>35</v>
      </c>
      <c r="V135" s="24" t="str">
        <f t="shared" si="19"/>
        <v/>
      </c>
      <c r="W135" s="24" t="s">
        <v>619</v>
      </c>
      <c r="X135" s="23">
        <v>3.355</v>
      </c>
      <c r="Y135" s="23">
        <v>1.7837000000000001</v>
      </c>
      <c r="Z135" s="23"/>
      <c r="AA135" s="24" t="s">
        <v>619</v>
      </c>
      <c r="AB135" s="24" t="str">
        <f t="shared" si="20"/>
        <v>Upper censored</v>
      </c>
      <c r="AC135" s="23" t="s">
        <v>35</v>
      </c>
      <c r="AD135" s="23" t="s">
        <v>561</v>
      </c>
      <c r="AE135" s="23" t="str">
        <f t="shared" si="21"/>
        <v/>
      </c>
      <c r="AF135" s="23"/>
      <c r="AG135" s="23" t="str">
        <f t="shared" si="22"/>
        <v/>
      </c>
      <c r="AH135" s="24" t="s">
        <v>619</v>
      </c>
      <c r="AI135" s="23">
        <v>2.7490000000000001</v>
      </c>
      <c r="AJ135" s="23">
        <v>0.77070000000000005</v>
      </c>
      <c r="AK135" s="23">
        <v>0.75</v>
      </c>
      <c r="AL135" s="24" t="s">
        <v>618</v>
      </c>
      <c r="AM135" s="24">
        <v>210</v>
      </c>
      <c r="AN135" s="24">
        <v>0</v>
      </c>
      <c r="AO135" s="24">
        <f t="shared" si="23"/>
        <v>120</v>
      </c>
    </row>
    <row r="136" spans="1:41" x14ac:dyDescent="0.3">
      <c r="A136" s="24" t="s">
        <v>202</v>
      </c>
      <c r="B136" s="24" t="s">
        <v>436</v>
      </c>
      <c r="C136" s="25" t="s">
        <v>616</v>
      </c>
      <c r="D136" s="26">
        <v>16.899999999999999</v>
      </c>
      <c r="E136" s="34" t="s">
        <v>39</v>
      </c>
      <c r="F136" s="27" t="s">
        <v>54</v>
      </c>
      <c r="G136" s="28">
        <v>44468</v>
      </c>
      <c r="H136" s="28">
        <v>44489</v>
      </c>
      <c r="I136" s="24">
        <v>12</v>
      </c>
      <c r="J136" s="24" t="s">
        <v>33</v>
      </c>
      <c r="K136" s="24" t="s">
        <v>618</v>
      </c>
      <c r="L136" s="24" t="str">
        <f t="shared" si="16"/>
        <v>Not tested</v>
      </c>
      <c r="M136" s="23" t="s">
        <v>44</v>
      </c>
      <c r="N136" s="23" t="str">
        <f t="shared" si="17"/>
        <v/>
      </c>
      <c r="O136" s="24" t="s">
        <v>620</v>
      </c>
      <c r="P136" s="23">
        <v>3.5</v>
      </c>
      <c r="Q136" s="29">
        <v>6.9400000000000003E-2</v>
      </c>
      <c r="R136" s="29"/>
      <c r="S136" s="24" t="s">
        <v>618</v>
      </c>
      <c r="T136" s="24" t="str">
        <f t="shared" si="18"/>
        <v>Technical failure</v>
      </c>
      <c r="U136" s="24" t="s">
        <v>44</v>
      </c>
      <c r="V136" s="24" t="str">
        <f t="shared" si="19"/>
        <v/>
      </c>
      <c r="W136" s="24" t="s">
        <v>620</v>
      </c>
      <c r="X136" s="23">
        <v>3.3109999999999999</v>
      </c>
      <c r="Y136" s="23">
        <v>0.65539999999999998</v>
      </c>
      <c r="Z136" s="23"/>
      <c r="AA136" s="24" t="s">
        <v>618</v>
      </c>
      <c r="AB136" s="24" t="str">
        <f t="shared" si="20"/>
        <v>Upper censored</v>
      </c>
      <c r="AC136" s="23" t="s">
        <v>35</v>
      </c>
      <c r="AD136" s="23" t="s">
        <v>561</v>
      </c>
      <c r="AE136" s="23" t="str">
        <f t="shared" si="21"/>
        <v/>
      </c>
      <c r="AF136" s="23"/>
      <c r="AG136" s="23" t="str">
        <f t="shared" si="22"/>
        <v/>
      </c>
      <c r="AH136" s="24" t="s">
        <v>619</v>
      </c>
      <c r="AI136" s="23">
        <v>2.7629999999999999</v>
      </c>
      <c r="AJ136" s="23">
        <v>0.75</v>
      </c>
      <c r="AK136" s="23"/>
      <c r="AL136" s="24" t="s">
        <v>618</v>
      </c>
      <c r="AM136" s="24">
        <v>210</v>
      </c>
      <c r="AN136" s="24">
        <v>0</v>
      </c>
      <c r="AO136" s="24">
        <f t="shared" si="23"/>
        <v>120</v>
      </c>
    </row>
    <row r="137" spans="1:41" x14ac:dyDescent="0.3">
      <c r="A137" s="24" t="s">
        <v>203</v>
      </c>
      <c r="B137" s="24" t="s">
        <v>436</v>
      </c>
      <c r="C137" s="25" t="s">
        <v>616</v>
      </c>
      <c r="D137" s="26">
        <v>19.7</v>
      </c>
      <c r="E137" s="34" t="s">
        <v>39</v>
      </c>
      <c r="F137" s="27" t="s">
        <v>54</v>
      </c>
      <c r="G137" s="28">
        <v>44454</v>
      </c>
      <c r="H137" s="28">
        <v>44476</v>
      </c>
      <c r="I137" s="24">
        <v>15</v>
      </c>
      <c r="J137" s="24" t="s">
        <v>43</v>
      </c>
      <c r="K137" s="24" t="s">
        <v>618</v>
      </c>
      <c r="L137" s="24" t="str">
        <f t="shared" si="16"/>
        <v>Not tested</v>
      </c>
      <c r="M137" s="23" t="s">
        <v>44</v>
      </c>
      <c r="N137" s="23" t="str">
        <f t="shared" si="17"/>
        <v/>
      </c>
      <c r="O137" s="24" t="s">
        <v>620</v>
      </c>
      <c r="P137" s="23">
        <v>3.5</v>
      </c>
      <c r="Q137" s="29">
        <v>6.4899999999999999E-2</v>
      </c>
      <c r="R137" s="29"/>
      <c r="S137" s="24" t="s">
        <v>618</v>
      </c>
      <c r="T137" s="24" t="str">
        <f t="shared" si="18"/>
        <v>Normal</v>
      </c>
      <c r="U137" s="24">
        <v>11.4489</v>
      </c>
      <c r="V137" s="24">
        <f t="shared" si="19"/>
        <v>11.4489</v>
      </c>
      <c r="W137" s="24" t="s">
        <v>619</v>
      </c>
      <c r="X137" s="23">
        <v>3.44</v>
      </c>
      <c r="Y137" s="23">
        <v>0.78349999999999997</v>
      </c>
      <c r="Z137" s="23"/>
      <c r="AA137" s="24" t="s">
        <v>618</v>
      </c>
      <c r="AB137" s="24" t="str">
        <f t="shared" si="20"/>
        <v>Upper censored</v>
      </c>
      <c r="AC137" s="23" t="s">
        <v>35</v>
      </c>
      <c r="AD137" s="23" t="s">
        <v>561</v>
      </c>
      <c r="AE137" s="23" t="str">
        <f t="shared" si="21"/>
        <v/>
      </c>
      <c r="AF137" s="23"/>
      <c r="AG137" s="23" t="str">
        <f t="shared" si="22"/>
        <v/>
      </c>
      <c r="AH137" s="24" t="s">
        <v>619</v>
      </c>
      <c r="AI137" s="23">
        <v>2.7629999999999999</v>
      </c>
      <c r="AJ137" s="23">
        <v>2.9413999999999998</v>
      </c>
      <c r="AK137" s="23"/>
      <c r="AL137" s="24" t="s">
        <v>619</v>
      </c>
      <c r="AM137" s="24"/>
      <c r="AN137" s="24"/>
      <c r="AO137" s="24" t="str">
        <f t="shared" si="23"/>
        <v/>
      </c>
    </row>
    <row r="138" spans="1:41" x14ac:dyDescent="0.3">
      <c r="A138" s="24" t="s">
        <v>204</v>
      </c>
      <c r="B138" s="24" t="s">
        <v>436</v>
      </c>
      <c r="C138" s="25" t="s">
        <v>616</v>
      </c>
      <c r="D138" s="26">
        <v>18.2</v>
      </c>
      <c r="E138" s="34" t="s">
        <v>39</v>
      </c>
      <c r="F138" s="27" t="s">
        <v>54</v>
      </c>
      <c r="G138" s="28">
        <v>44454</v>
      </c>
      <c r="H138" s="28">
        <v>44476</v>
      </c>
      <c r="I138" s="24">
        <v>15</v>
      </c>
      <c r="J138" s="24" t="s">
        <v>43</v>
      </c>
      <c r="K138" s="24" t="s">
        <v>618</v>
      </c>
      <c r="L138" s="24" t="str">
        <f t="shared" si="16"/>
        <v>Not tested</v>
      </c>
      <c r="M138" s="23" t="s">
        <v>44</v>
      </c>
      <c r="N138" s="23" t="str">
        <f t="shared" si="17"/>
        <v/>
      </c>
      <c r="O138" s="24" t="s">
        <v>620</v>
      </c>
      <c r="P138" s="23">
        <v>3.5</v>
      </c>
      <c r="Q138" s="29">
        <v>0.44819999999999999</v>
      </c>
      <c r="R138" s="29"/>
      <c r="S138" s="24" t="s">
        <v>618</v>
      </c>
      <c r="T138" s="24" t="str">
        <f t="shared" si="18"/>
        <v>Normal</v>
      </c>
      <c r="U138" s="24">
        <v>7.2950999999999997</v>
      </c>
      <c r="V138" s="24">
        <f t="shared" si="19"/>
        <v>7.2950999999999997</v>
      </c>
      <c r="W138" s="24" t="s">
        <v>618</v>
      </c>
      <c r="X138" s="23">
        <v>3.2570000000000001</v>
      </c>
      <c r="Y138" s="23">
        <v>1.3929</v>
      </c>
      <c r="Z138" s="23"/>
      <c r="AA138" s="24" t="s">
        <v>618</v>
      </c>
      <c r="AB138" s="24" t="str">
        <f t="shared" si="20"/>
        <v>Normal</v>
      </c>
      <c r="AC138" s="23">
        <v>797534</v>
      </c>
      <c r="AD138" s="23">
        <v>79.753399999999999</v>
      </c>
      <c r="AE138" s="23" t="str">
        <f t="shared" si="21"/>
        <v/>
      </c>
      <c r="AF138" s="23"/>
      <c r="AG138" s="23" t="str">
        <f t="shared" si="22"/>
        <v/>
      </c>
      <c r="AH138" s="24" t="s">
        <v>619</v>
      </c>
      <c r="AI138" s="23">
        <v>2.7669999999999999</v>
      </c>
      <c r="AJ138" s="23">
        <v>2.7845</v>
      </c>
      <c r="AK138" s="23"/>
      <c r="AL138" s="24" t="s">
        <v>619</v>
      </c>
      <c r="AM138" s="24"/>
      <c r="AN138" s="24"/>
      <c r="AO138" s="24" t="str">
        <f t="shared" si="23"/>
        <v/>
      </c>
    </row>
    <row r="139" spans="1:41" x14ac:dyDescent="0.3">
      <c r="A139" s="24" t="s">
        <v>205</v>
      </c>
      <c r="B139" s="24" t="s">
        <v>436</v>
      </c>
      <c r="C139" s="25" t="s">
        <v>616</v>
      </c>
      <c r="D139" s="26">
        <v>22.2</v>
      </c>
      <c r="E139" s="34" t="s">
        <v>39</v>
      </c>
      <c r="F139" s="27" t="s">
        <v>54</v>
      </c>
      <c r="G139" s="28">
        <v>44453</v>
      </c>
      <c r="H139" s="28">
        <v>44477</v>
      </c>
      <c r="I139" s="24">
        <v>12</v>
      </c>
      <c r="J139" s="24" t="s">
        <v>33</v>
      </c>
      <c r="K139" s="24" t="s">
        <v>619</v>
      </c>
      <c r="L139" s="24" t="str">
        <f t="shared" si="16"/>
        <v>Not tested</v>
      </c>
      <c r="M139" s="23" t="s">
        <v>44</v>
      </c>
      <c r="N139" s="23" t="str">
        <f t="shared" si="17"/>
        <v/>
      </c>
      <c r="O139" s="24" t="s">
        <v>620</v>
      </c>
      <c r="P139" s="23">
        <v>3.5</v>
      </c>
      <c r="Q139" s="29">
        <v>0.90549999999999997</v>
      </c>
      <c r="R139" s="29"/>
      <c r="S139" s="24" t="s">
        <v>618</v>
      </c>
      <c r="T139" s="24" t="str">
        <f t="shared" si="18"/>
        <v>Upper censored</v>
      </c>
      <c r="U139" s="24" t="s">
        <v>35</v>
      </c>
      <c r="V139" s="24" t="str">
        <f t="shared" si="19"/>
        <v/>
      </c>
      <c r="W139" s="24" t="s">
        <v>619</v>
      </c>
      <c r="X139" s="23">
        <v>3.3290000000000002</v>
      </c>
      <c r="Y139" s="23">
        <v>1.0224</v>
      </c>
      <c r="Z139" s="23">
        <v>1.1099000000000001</v>
      </c>
      <c r="AA139" s="24" t="s">
        <v>618</v>
      </c>
      <c r="AB139" s="24" t="str">
        <f t="shared" si="20"/>
        <v>Upper censored</v>
      </c>
      <c r="AC139" s="23" t="s">
        <v>35</v>
      </c>
      <c r="AD139" s="23" t="s">
        <v>561</v>
      </c>
      <c r="AE139" s="23" t="str">
        <f t="shared" si="21"/>
        <v/>
      </c>
      <c r="AF139" s="23"/>
      <c r="AG139" s="23" t="str">
        <f t="shared" si="22"/>
        <v/>
      </c>
      <c r="AH139" s="24" t="s">
        <v>619</v>
      </c>
      <c r="AI139" s="23">
        <v>2.7789999999999999</v>
      </c>
      <c r="AJ139" s="23">
        <v>0.78510000000000002</v>
      </c>
      <c r="AK139" s="23"/>
      <c r="AL139" s="24" t="s">
        <v>618</v>
      </c>
      <c r="AM139" s="24">
        <v>210</v>
      </c>
      <c r="AN139" s="24">
        <v>0</v>
      </c>
      <c r="AO139" s="24">
        <f t="shared" si="23"/>
        <v>120</v>
      </c>
    </row>
    <row r="140" spans="1:41" x14ac:dyDescent="0.3">
      <c r="A140" s="24" t="s">
        <v>207</v>
      </c>
      <c r="B140" s="24" t="s">
        <v>436</v>
      </c>
      <c r="C140" s="25"/>
      <c r="D140" s="26">
        <v>36.700000000000003</v>
      </c>
      <c r="E140" s="34" t="s">
        <v>47</v>
      </c>
      <c r="F140" s="27" t="s">
        <v>54</v>
      </c>
      <c r="G140" s="28">
        <v>44453</v>
      </c>
      <c r="H140" s="28">
        <v>44477</v>
      </c>
      <c r="I140" s="24">
        <v>12</v>
      </c>
      <c r="J140" s="24" t="s">
        <v>33</v>
      </c>
      <c r="K140" s="24" t="s">
        <v>619</v>
      </c>
      <c r="L140" s="24" t="str">
        <f t="shared" si="16"/>
        <v>Not tested</v>
      </c>
      <c r="M140" s="23" t="s">
        <v>44</v>
      </c>
      <c r="N140" s="23" t="str">
        <f t="shared" si="17"/>
        <v/>
      </c>
      <c r="O140" s="23" t="s">
        <v>620</v>
      </c>
      <c r="P140" s="23">
        <v>3.5</v>
      </c>
      <c r="Q140" s="29">
        <v>8.9499999999999996E-2</v>
      </c>
      <c r="R140" s="29"/>
      <c r="S140" s="24" t="s">
        <v>618</v>
      </c>
      <c r="T140" s="24" t="str">
        <f t="shared" si="18"/>
        <v>Upper censored</v>
      </c>
      <c r="U140" s="24" t="s">
        <v>35</v>
      </c>
      <c r="V140" s="24" t="str">
        <f t="shared" si="19"/>
        <v/>
      </c>
      <c r="W140" s="24" t="s">
        <v>619</v>
      </c>
      <c r="X140" s="23">
        <v>3.181</v>
      </c>
      <c r="Y140" s="23">
        <v>0.1242</v>
      </c>
      <c r="Z140" s="23"/>
      <c r="AA140" s="24" t="s">
        <v>618</v>
      </c>
      <c r="AB140" s="24" t="str">
        <f t="shared" si="20"/>
        <v>Normal</v>
      </c>
      <c r="AC140" s="23">
        <v>956268</v>
      </c>
      <c r="AD140" s="23">
        <v>95.626800000000003</v>
      </c>
      <c r="AE140" s="23" t="str">
        <f t="shared" si="21"/>
        <v/>
      </c>
      <c r="AF140" s="23"/>
      <c r="AG140" s="23" t="str">
        <f t="shared" si="22"/>
        <v/>
      </c>
      <c r="AH140" s="24" t="s">
        <v>619</v>
      </c>
      <c r="AI140" s="23">
        <v>2.7869999999999999</v>
      </c>
      <c r="AJ140" s="23">
        <v>7.5200000000000003E-2</v>
      </c>
      <c r="AK140" s="23"/>
      <c r="AL140" s="24" t="s">
        <v>618</v>
      </c>
      <c r="AM140" s="24">
        <v>182</v>
      </c>
      <c r="AN140" s="24">
        <v>1</v>
      </c>
      <c r="AO140" s="24" t="str">
        <f t="shared" si="23"/>
        <v/>
      </c>
    </row>
    <row r="141" spans="1:41" x14ac:dyDescent="0.3">
      <c r="A141" s="24" t="s">
        <v>208</v>
      </c>
      <c r="B141" s="24" t="s">
        <v>614</v>
      </c>
      <c r="C141" s="25"/>
      <c r="D141" s="26">
        <v>28.9</v>
      </c>
      <c r="E141" s="34" t="s">
        <v>47</v>
      </c>
      <c r="F141" s="27" t="s">
        <v>54</v>
      </c>
      <c r="G141" s="28">
        <v>44458</v>
      </c>
      <c r="H141" s="28">
        <v>44477</v>
      </c>
      <c r="I141" s="24">
        <v>15</v>
      </c>
      <c r="J141" s="24" t="s">
        <v>43</v>
      </c>
      <c r="K141" s="24" t="s">
        <v>618</v>
      </c>
      <c r="L141" s="24" t="str">
        <f t="shared" si="16"/>
        <v>Not tested</v>
      </c>
      <c r="M141" s="23" t="s">
        <v>44</v>
      </c>
      <c r="N141" s="23" t="str">
        <f t="shared" si="17"/>
        <v/>
      </c>
      <c r="O141" s="24" t="s">
        <v>620</v>
      </c>
      <c r="P141" s="23">
        <v>3.5</v>
      </c>
      <c r="Q141" s="29">
        <v>0.20660000000000001</v>
      </c>
      <c r="R141" s="29"/>
      <c r="S141" s="24" t="s">
        <v>618</v>
      </c>
      <c r="T141" s="24" t="str">
        <f t="shared" si="18"/>
        <v>Upper censored</v>
      </c>
      <c r="U141" s="24" t="s">
        <v>35</v>
      </c>
      <c r="V141" s="24" t="str">
        <f t="shared" si="19"/>
        <v/>
      </c>
      <c r="W141" s="24" t="s">
        <v>619</v>
      </c>
      <c r="X141" s="23">
        <v>3.3740000000000001</v>
      </c>
      <c r="Y141" s="23">
        <v>9.4899999999999998E-2</v>
      </c>
      <c r="Z141" s="23"/>
      <c r="AA141" s="24" t="s">
        <v>619</v>
      </c>
      <c r="AB141" s="24" t="str">
        <f t="shared" si="20"/>
        <v>Not tested</v>
      </c>
      <c r="AC141" s="23" t="s">
        <v>44</v>
      </c>
      <c r="AD141" s="23" t="s">
        <v>561</v>
      </c>
      <c r="AE141" s="23" t="str">
        <f t="shared" si="21"/>
        <v/>
      </c>
      <c r="AF141" s="23"/>
      <c r="AG141" s="23" t="str">
        <f t="shared" si="22"/>
        <v/>
      </c>
      <c r="AH141" s="24" t="s">
        <v>620</v>
      </c>
      <c r="AI141" s="23">
        <v>2.7869999999999999</v>
      </c>
      <c r="AJ141" s="23">
        <v>1.8093999999999999</v>
      </c>
      <c r="AK141" s="23">
        <v>1.7439</v>
      </c>
      <c r="AL141" s="24" t="s">
        <v>619</v>
      </c>
      <c r="AM141" s="24">
        <v>210</v>
      </c>
      <c r="AN141" s="24">
        <v>0</v>
      </c>
      <c r="AO141" s="24" t="str">
        <f t="shared" si="23"/>
        <v/>
      </c>
    </row>
    <row r="142" spans="1:41" x14ac:dyDescent="0.3">
      <c r="A142" s="24" t="s">
        <v>210</v>
      </c>
      <c r="B142" s="24" t="s">
        <v>436</v>
      </c>
      <c r="C142" s="30"/>
      <c r="D142" s="26">
        <v>14.1</v>
      </c>
      <c r="E142" s="34" t="s">
        <v>41</v>
      </c>
      <c r="F142" s="27" t="s">
        <v>54</v>
      </c>
      <c r="G142" s="28">
        <v>44453</v>
      </c>
      <c r="H142" s="28">
        <v>44477</v>
      </c>
      <c r="I142" s="24">
        <v>11</v>
      </c>
      <c r="J142" s="24" t="s">
        <v>33</v>
      </c>
      <c r="K142" s="24" t="s">
        <v>619</v>
      </c>
      <c r="L142" s="24" t="str">
        <f t="shared" si="16"/>
        <v>Not tested</v>
      </c>
      <c r="M142" s="23" t="s">
        <v>44</v>
      </c>
      <c r="N142" s="23" t="str">
        <f t="shared" si="17"/>
        <v/>
      </c>
      <c r="O142" s="24" t="s">
        <v>620</v>
      </c>
      <c r="P142" s="23">
        <v>3.5</v>
      </c>
      <c r="Q142" s="29">
        <v>0.26419999999999999</v>
      </c>
      <c r="R142" s="29"/>
      <c r="S142" s="24" t="s">
        <v>618</v>
      </c>
      <c r="T142" s="24" t="str">
        <f t="shared" si="18"/>
        <v>Technical failure</v>
      </c>
      <c r="U142" s="24" t="s">
        <v>44</v>
      </c>
      <c r="V142" s="24" t="str">
        <f t="shared" si="19"/>
        <v/>
      </c>
      <c r="W142" s="24" t="s">
        <v>620</v>
      </c>
      <c r="X142" s="23">
        <v>2.819</v>
      </c>
      <c r="Y142" s="23">
        <v>0.22950000000000001</v>
      </c>
      <c r="Z142" s="23"/>
      <c r="AA142" s="24" t="s">
        <v>618</v>
      </c>
      <c r="AB142" s="24" t="str">
        <f t="shared" si="20"/>
        <v>Not tested</v>
      </c>
      <c r="AC142" s="23" t="s">
        <v>44</v>
      </c>
      <c r="AD142" s="23" t="s">
        <v>561</v>
      </c>
      <c r="AE142" s="23" t="str">
        <f t="shared" si="21"/>
        <v/>
      </c>
      <c r="AF142" s="23"/>
      <c r="AG142" s="23" t="str">
        <f t="shared" si="22"/>
        <v/>
      </c>
      <c r="AH142" s="24" t="s">
        <v>620</v>
      </c>
      <c r="AI142" s="23">
        <v>2.798</v>
      </c>
      <c r="AJ142" s="23">
        <v>4.9645000000000001</v>
      </c>
      <c r="AK142" s="23"/>
      <c r="AL142" s="24" t="s">
        <v>619</v>
      </c>
      <c r="AM142" s="24">
        <v>210</v>
      </c>
      <c r="AN142" s="24">
        <v>0</v>
      </c>
      <c r="AO142" s="24" t="str">
        <f t="shared" si="23"/>
        <v/>
      </c>
    </row>
    <row r="143" spans="1:41" x14ac:dyDescent="0.3">
      <c r="A143" s="24" t="s">
        <v>211</v>
      </c>
      <c r="B143" s="24" t="s">
        <v>436</v>
      </c>
      <c r="C143" s="25" t="s">
        <v>616</v>
      </c>
      <c r="D143" s="26">
        <v>16.399999999999999</v>
      </c>
      <c r="E143" s="34" t="s">
        <v>39</v>
      </c>
      <c r="F143" s="27" t="s">
        <v>54</v>
      </c>
      <c r="G143" s="28">
        <v>44454</v>
      </c>
      <c r="H143" s="28">
        <v>44476</v>
      </c>
      <c r="I143" s="24">
        <v>15</v>
      </c>
      <c r="J143" s="24" t="s">
        <v>43</v>
      </c>
      <c r="K143" s="24" t="s">
        <v>618</v>
      </c>
      <c r="L143" s="24" t="str">
        <f t="shared" si="16"/>
        <v>Not tested</v>
      </c>
      <c r="M143" s="23" t="s">
        <v>44</v>
      </c>
      <c r="N143" s="23" t="str">
        <f t="shared" si="17"/>
        <v/>
      </c>
      <c r="O143" s="24" t="s">
        <v>620</v>
      </c>
      <c r="P143" s="23">
        <v>3.5</v>
      </c>
      <c r="Q143" s="29">
        <v>1.1454</v>
      </c>
      <c r="R143" s="29"/>
      <c r="S143" s="24" t="s">
        <v>619</v>
      </c>
      <c r="T143" s="24" t="str">
        <f t="shared" si="18"/>
        <v>Upper censored</v>
      </c>
      <c r="U143" s="24" t="s">
        <v>35</v>
      </c>
      <c r="V143" s="24" t="str">
        <f t="shared" si="19"/>
        <v/>
      </c>
      <c r="W143" s="24" t="s">
        <v>619</v>
      </c>
      <c r="X143" s="23">
        <v>3.3330000000000002</v>
      </c>
      <c r="Y143" s="23">
        <v>6.2946</v>
      </c>
      <c r="Z143" s="23"/>
      <c r="AA143" s="24" t="s">
        <v>618</v>
      </c>
      <c r="AB143" s="24" t="str">
        <f t="shared" si="20"/>
        <v>Upper censored</v>
      </c>
      <c r="AC143" s="23" t="s">
        <v>35</v>
      </c>
      <c r="AD143" s="23" t="s">
        <v>561</v>
      </c>
      <c r="AE143" s="23" t="str">
        <f t="shared" si="21"/>
        <v/>
      </c>
      <c r="AF143" s="23"/>
      <c r="AG143" s="23" t="str">
        <f t="shared" si="22"/>
        <v/>
      </c>
      <c r="AH143" s="24" t="s">
        <v>619</v>
      </c>
      <c r="AI143" s="23">
        <v>2.798</v>
      </c>
      <c r="AJ143" s="23">
        <v>2.4121000000000001</v>
      </c>
      <c r="AK143" s="23"/>
      <c r="AL143" s="24" t="s">
        <v>619</v>
      </c>
      <c r="AM143" s="24"/>
      <c r="AN143" s="24"/>
      <c r="AO143" s="24" t="str">
        <f t="shared" si="23"/>
        <v/>
      </c>
    </row>
    <row r="144" spans="1:41" x14ac:dyDescent="0.3">
      <c r="A144" s="24" t="s">
        <v>212</v>
      </c>
      <c r="B144" s="24" t="s">
        <v>614</v>
      </c>
      <c r="C144" s="25" t="s">
        <v>615</v>
      </c>
      <c r="D144" s="26">
        <v>17.2</v>
      </c>
      <c r="E144" s="34" t="s">
        <v>39</v>
      </c>
      <c r="F144" s="27" t="s">
        <v>54</v>
      </c>
      <c r="G144" s="28">
        <v>44453</v>
      </c>
      <c r="H144" s="28">
        <v>44476</v>
      </c>
      <c r="I144" s="24">
        <v>11</v>
      </c>
      <c r="J144" s="24" t="s">
        <v>33</v>
      </c>
      <c r="K144" s="24" t="s">
        <v>619</v>
      </c>
      <c r="L144" s="24" t="str">
        <f t="shared" si="16"/>
        <v>Not tested</v>
      </c>
      <c r="M144" s="23" t="s">
        <v>44</v>
      </c>
      <c r="N144" s="23" t="str">
        <f t="shared" si="17"/>
        <v/>
      </c>
      <c r="O144" s="24" t="s">
        <v>620</v>
      </c>
      <c r="P144" s="23">
        <v>3.5</v>
      </c>
      <c r="Q144" s="29">
        <v>1.9105000000000001</v>
      </c>
      <c r="R144" s="29"/>
      <c r="S144" s="24" t="s">
        <v>619</v>
      </c>
      <c r="T144" s="24" t="str">
        <f t="shared" si="18"/>
        <v>Normal</v>
      </c>
      <c r="U144" s="24">
        <v>26.064299999999999</v>
      </c>
      <c r="V144" s="24">
        <f t="shared" si="19"/>
        <v>26.064299999999999</v>
      </c>
      <c r="W144" s="24" t="s">
        <v>619</v>
      </c>
      <c r="X144" s="23">
        <v>3.355</v>
      </c>
      <c r="Y144" s="23">
        <v>0.90629999999999999</v>
      </c>
      <c r="Z144" s="23"/>
      <c r="AA144" s="24" t="s">
        <v>618</v>
      </c>
      <c r="AB144" s="24" t="str">
        <f t="shared" si="20"/>
        <v>Upper censored</v>
      </c>
      <c r="AC144" s="23" t="s">
        <v>35</v>
      </c>
      <c r="AD144" s="23" t="s">
        <v>561</v>
      </c>
      <c r="AE144" s="23" t="str">
        <f t="shared" si="21"/>
        <v/>
      </c>
      <c r="AF144" s="23"/>
      <c r="AG144" s="23" t="str">
        <f t="shared" si="22"/>
        <v/>
      </c>
      <c r="AH144" s="24" t="s">
        <v>619</v>
      </c>
      <c r="AI144" s="23">
        <v>2.798</v>
      </c>
      <c r="AJ144" s="23">
        <v>4.3499999999999996</v>
      </c>
      <c r="AK144" s="23"/>
      <c r="AL144" s="24" t="s">
        <v>619</v>
      </c>
      <c r="AM144" s="24"/>
      <c r="AN144" s="24"/>
      <c r="AO144" s="24" t="str">
        <f t="shared" si="23"/>
        <v/>
      </c>
    </row>
    <row r="145" spans="1:41" x14ac:dyDescent="0.3">
      <c r="A145" s="24" t="s">
        <v>213</v>
      </c>
      <c r="B145" s="24" t="s">
        <v>436</v>
      </c>
      <c r="C145" s="25" t="s">
        <v>615</v>
      </c>
      <c r="D145" s="26">
        <v>21.4</v>
      </c>
      <c r="E145" s="34" t="s">
        <v>39</v>
      </c>
      <c r="F145" s="27" t="s">
        <v>54</v>
      </c>
      <c r="G145" s="28">
        <v>44454</v>
      </c>
      <c r="H145" s="28">
        <v>44476</v>
      </c>
      <c r="I145" s="24">
        <v>15</v>
      </c>
      <c r="J145" s="24" t="s">
        <v>43</v>
      </c>
      <c r="K145" s="24" t="s">
        <v>619</v>
      </c>
      <c r="L145" s="24" t="str">
        <f t="shared" si="16"/>
        <v>Not tested</v>
      </c>
      <c r="M145" s="23" t="s">
        <v>44</v>
      </c>
      <c r="N145" s="23" t="str">
        <f t="shared" si="17"/>
        <v/>
      </c>
      <c r="O145" s="24" t="s">
        <v>620</v>
      </c>
      <c r="P145" s="23">
        <v>3.5</v>
      </c>
      <c r="Q145" s="29">
        <v>0.37840000000000001</v>
      </c>
      <c r="R145" s="29"/>
      <c r="S145" s="24" t="s">
        <v>618</v>
      </c>
      <c r="T145" s="24" t="str">
        <f t="shared" si="18"/>
        <v>Normal</v>
      </c>
      <c r="U145" s="24">
        <v>5.6966999999999999</v>
      </c>
      <c r="V145" s="24">
        <f t="shared" si="19"/>
        <v>5.6966999999999999</v>
      </c>
      <c r="W145" s="24" t="s">
        <v>618</v>
      </c>
      <c r="X145" s="23">
        <v>3.37</v>
      </c>
      <c r="Y145" s="23">
        <v>2.8304</v>
      </c>
      <c r="Z145" s="23"/>
      <c r="AA145" s="24" t="s">
        <v>618</v>
      </c>
      <c r="AB145" s="24" t="str">
        <f t="shared" si="20"/>
        <v>Upper censored</v>
      </c>
      <c r="AC145" s="23" t="s">
        <v>35</v>
      </c>
      <c r="AD145" s="23" t="s">
        <v>561</v>
      </c>
      <c r="AE145" s="23" t="str">
        <f t="shared" si="21"/>
        <v/>
      </c>
      <c r="AF145" s="23"/>
      <c r="AG145" s="23" t="str">
        <f t="shared" si="22"/>
        <v/>
      </c>
      <c r="AH145" s="24" t="s">
        <v>619</v>
      </c>
      <c r="AI145" s="23">
        <v>2.798</v>
      </c>
      <c r="AJ145" s="23">
        <v>4.9931000000000001</v>
      </c>
      <c r="AK145" s="23"/>
      <c r="AL145" s="24" t="s">
        <v>619</v>
      </c>
      <c r="AM145" s="24"/>
      <c r="AN145" s="24"/>
      <c r="AO145" s="24" t="str">
        <f t="shared" si="23"/>
        <v/>
      </c>
    </row>
    <row r="146" spans="1:41" x14ac:dyDescent="0.3">
      <c r="A146" s="24" t="s">
        <v>214</v>
      </c>
      <c r="B146" s="24" t="s">
        <v>614</v>
      </c>
      <c r="C146" s="25" t="s">
        <v>616</v>
      </c>
      <c r="D146" s="26">
        <v>14</v>
      </c>
      <c r="E146" s="34" t="s">
        <v>41</v>
      </c>
      <c r="F146" s="27" t="s">
        <v>54</v>
      </c>
      <c r="G146" s="28">
        <v>44453</v>
      </c>
      <c r="H146" s="28">
        <v>44477</v>
      </c>
      <c r="I146" s="24">
        <v>11</v>
      </c>
      <c r="J146" s="24" t="s">
        <v>33</v>
      </c>
      <c r="K146" s="24" t="s">
        <v>619</v>
      </c>
      <c r="L146" s="24" t="str">
        <f t="shared" si="16"/>
        <v>Not tested</v>
      </c>
      <c r="M146" s="23" t="s">
        <v>44</v>
      </c>
      <c r="N146" s="23" t="str">
        <f t="shared" si="17"/>
        <v/>
      </c>
      <c r="O146" s="24" t="s">
        <v>620</v>
      </c>
      <c r="P146" s="23">
        <v>3.5</v>
      </c>
      <c r="Q146" s="29">
        <v>2.8944999999999999</v>
      </c>
      <c r="R146" s="29"/>
      <c r="S146" s="24" t="s">
        <v>619</v>
      </c>
      <c r="T146" s="24" t="str">
        <f t="shared" si="18"/>
        <v>Normal</v>
      </c>
      <c r="U146" s="23">
        <v>7.617</v>
      </c>
      <c r="V146" s="24">
        <f t="shared" si="19"/>
        <v>7.617</v>
      </c>
      <c r="W146" s="24" t="s">
        <v>618</v>
      </c>
      <c r="X146" s="23">
        <v>3.419</v>
      </c>
      <c r="Y146" s="23">
        <v>1.3002</v>
      </c>
      <c r="Z146" s="23"/>
      <c r="AA146" s="24" t="s">
        <v>619</v>
      </c>
      <c r="AB146" s="24" t="str">
        <f t="shared" si="20"/>
        <v>Normal</v>
      </c>
      <c r="AC146" s="23">
        <v>592878</v>
      </c>
      <c r="AD146" s="23">
        <v>59.287799999999997</v>
      </c>
      <c r="AE146" s="23" t="str">
        <f t="shared" si="21"/>
        <v/>
      </c>
      <c r="AF146" s="23"/>
      <c r="AG146" s="23" t="str">
        <f t="shared" si="22"/>
        <v/>
      </c>
      <c r="AH146" s="24" t="s">
        <v>619</v>
      </c>
      <c r="AI146" s="23">
        <v>2.8</v>
      </c>
      <c r="AJ146" s="23">
        <v>0.64139999999999997</v>
      </c>
      <c r="AK146" s="23"/>
      <c r="AL146" s="24" t="s">
        <v>618</v>
      </c>
      <c r="AM146" s="24"/>
      <c r="AN146" s="24"/>
      <c r="AO146" s="24" t="str">
        <f t="shared" si="23"/>
        <v/>
      </c>
    </row>
    <row r="147" spans="1:41" x14ac:dyDescent="0.3">
      <c r="A147" s="24" t="s">
        <v>215</v>
      </c>
      <c r="B147" s="24" t="s">
        <v>614</v>
      </c>
      <c r="C147" s="25" t="s">
        <v>616</v>
      </c>
      <c r="D147" s="26">
        <v>19.100000000000001</v>
      </c>
      <c r="E147" s="34" t="s">
        <v>39</v>
      </c>
      <c r="F147" s="27" t="s">
        <v>54</v>
      </c>
      <c r="G147" s="28">
        <v>44453</v>
      </c>
      <c r="H147" s="28">
        <v>44477</v>
      </c>
      <c r="I147" s="24">
        <v>12</v>
      </c>
      <c r="J147" s="24" t="s">
        <v>33</v>
      </c>
      <c r="K147" s="24" t="s">
        <v>619</v>
      </c>
      <c r="L147" s="24" t="str">
        <f t="shared" si="16"/>
        <v>Not tested</v>
      </c>
      <c r="M147" s="23" t="s">
        <v>44</v>
      </c>
      <c r="N147" s="23" t="str">
        <f t="shared" si="17"/>
        <v/>
      </c>
      <c r="O147" s="24" t="s">
        <v>620</v>
      </c>
      <c r="P147" s="23">
        <v>3.5</v>
      </c>
      <c r="Q147" s="29">
        <v>2.0152999999999999</v>
      </c>
      <c r="R147" s="29">
        <v>1.8908</v>
      </c>
      <c r="S147" s="24" t="s">
        <v>619</v>
      </c>
      <c r="T147" s="24" t="str">
        <f t="shared" si="18"/>
        <v>Upper censored</v>
      </c>
      <c r="U147" s="24" t="s">
        <v>35</v>
      </c>
      <c r="V147" s="24" t="str">
        <f t="shared" si="19"/>
        <v/>
      </c>
      <c r="W147" s="24" t="s">
        <v>619</v>
      </c>
      <c r="X147" s="23">
        <v>3.2120000000000002</v>
      </c>
      <c r="Y147" s="23">
        <v>6.7601000000000004</v>
      </c>
      <c r="Z147" s="23"/>
      <c r="AA147" s="24" t="s">
        <v>619</v>
      </c>
      <c r="AB147" s="24" t="str">
        <f t="shared" si="20"/>
        <v>Normal</v>
      </c>
      <c r="AC147" s="23">
        <v>717972</v>
      </c>
      <c r="AD147" s="23">
        <v>71.797200000000004</v>
      </c>
      <c r="AE147" s="23" t="str">
        <f t="shared" si="21"/>
        <v/>
      </c>
      <c r="AF147" s="23"/>
      <c r="AG147" s="23" t="str">
        <f t="shared" si="22"/>
        <v/>
      </c>
      <c r="AH147" s="24" t="s">
        <v>619</v>
      </c>
      <c r="AI147" s="23">
        <v>2.8039999999999998</v>
      </c>
      <c r="AJ147" s="23">
        <v>2.7787000000000002</v>
      </c>
      <c r="AK147" s="23">
        <v>2.8079000000000001</v>
      </c>
      <c r="AL147" s="24" t="s">
        <v>619</v>
      </c>
      <c r="AM147" s="24"/>
      <c r="AN147" s="24"/>
      <c r="AO147" s="24" t="str">
        <f t="shared" si="23"/>
        <v/>
      </c>
    </row>
    <row r="148" spans="1:41" x14ac:dyDescent="0.3">
      <c r="A148" s="24" t="s">
        <v>218</v>
      </c>
      <c r="B148" s="24" t="s">
        <v>436</v>
      </c>
      <c r="C148" s="25" t="s">
        <v>616</v>
      </c>
      <c r="D148" s="26">
        <v>27</v>
      </c>
      <c r="E148" s="34" t="s">
        <v>31</v>
      </c>
      <c r="F148" s="27" t="s">
        <v>54</v>
      </c>
      <c r="G148" s="28">
        <v>44454</v>
      </c>
      <c r="H148" s="28">
        <v>44476</v>
      </c>
      <c r="I148" s="24">
        <v>15</v>
      </c>
      <c r="J148" s="24" t="s">
        <v>43</v>
      </c>
      <c r="K148" s="24" t="s">
        <v>619</v>
      </c>
      <c r="L148" s="24" t="str">
        <f t="shared" si="16"/>
        <v>Not tested</v>
      </c>
      <c r="M148" s="23" t="s">
        <v>44</v>
      </c>
      <c r="N148" s="23" t="str">
        <f t="shared" si="17"/>
        <v/>
      </c>
      <c r="O148" s="24" t="s">
        <v>620</v>
      </c>
      <c r="P148" s="23">
        <v>3.5</v>
      </c>
      <c r="Q148" s="29">
        <v>1.2378</v>
      </c>
      <c r="R148" s="29"/>
      <c r="S148" s="24" t="s">
        <v>619</v>
      </c>
      <c r="T148" s="24" t="str">
        <f t="shared" si="18"/>
        <v>Normal</v>
      </c>
      <c r="U148" s="24">
        <v>17.9251</v>
      </c>
      <c r="V148" s="24">
        <f t="shared" si="19"/>
        <v>17.9251</v>
      </c>
      <c r="W148" s="24" t="s">
        <v>619</v>
      </c>
      <c r="X148" s="23">
        <v>3.5</v>
      </c>
      <c r="Y148" s="23">
        <v>0.85870000000000002</v>
      </c>
      <c r="Z148" s="23"/>
      <c r="AA148" s="24" t="s">
        <v>618</v>
      </c>
      <c r="AB148" s="24" t="str">
        <f t="shared" si="20"/>
        <v>Upper censored</v>
      </c>
      <c r="AC148" s="23" t="s">
        <v>35</v>
      </c>
      <c r="AD148" s="23" t="s">
        <v>561</v>
      </c>
      <c r="AE148" s="23" t="str">
        <f t="shared" si="21"/>
        <v/>
      </c>
      <c r="AF148" s="23"/>
      <c r="AG148" s="23" t="str">
        <f t="shared" si="22"/>
        <v/>
      </c>
      <c r="AH148" s="24" t="s">
        <v>619</v>
      </c>
      <c r="AI148" s="23">
        <v>2.8340000000000001</v>
      </c>
      <c r="AJ148" s="23">
        <v>5.4090999999999996</v>
      </c>
      <c r="AK148" s="23"/>
      <c r="AL148" s="24" t="s">
        <v>619</v>
      </c>
      <c r="AM148" s="24"/>
      <c r="AN148" s="24"/>
      <c r="AO148" s="24" t="str">
        <f t="shared" si="23"/>
        <v/>
      </c>
    </row>
    <row r="149" spans="1:41" x14ac:dyDescent="0.3">
      <c r="A149" s="24" t="s">
        <v>219</v>
      </c>
      <c r="B149" s="24" t="s">
        <v>614</v>
      </c>
      <c r="C149" s="25" t="s">
        <v>616</v>
      </c>
      <c r="D149" s="26">
        <v>25.5</v>
      </c>
      <c r="E149" s="34" t="s">
        <v>47</v>
      </c>
      <c r="F149" s="27" t="s">
        <v>54</v>
      </c>
      <c r="G149" s="28">
        <v>44453</v>
      </c>
      <c r="H149" s="28">
        <v>44495</v>
      </c>
      <c r="I149" s="24">
        <v>12</v>
      </c>
      <c r="J149" s="24" t="s">
        <v>33</v>
      </c>
      <c r="K149" s="24" t="s">
        <v>619</v>
      </c>
      <c r="L149" s="24" t="str">
        <f t="shared" si="16"/>
        <v>Not tested</v>
      </c>
      <c r="M149" s="23" t="s">
        <v>44</v>
      </c>
      <c r="N149" s="23" t="str">
        <f t="shared" si="17"/>
        <v/>
      </c>
      <c r="O149" s="24" t="s">
        <v>620</v>
      </c>
      <c r="P149" s="23">
        <v>3.5</v>
      </c>
      <c r="Q149" s="29">
        <v>0.10290000000000001</v>
      </c>
      <c r="R149" s="29"/>
      <c r="S149" s="24" t="s">
        <v>618</v>
      </c>
      <c r="T149" s="24" t="str">
        <f t="shared" si="18"/>
        <v>Technical failure</v>
      </c>
      <c r="U149" s="24" t="s">
        <v>44</v>
      </c>
      <c r="V149" s="24" t="str">
        <f t="shared" si="19"/>
        <v/>
      </c>
      <c r="W149" s="24" t="s">
        <v>620</v>
      </c>
      <c r="X149" s="23">
        <v>3.23</v>
      </c>
      <c r="Y149" s="23">
        <v>1.4397</v>
      </c>
      <c r="Z149" s="23"/>
      <c r="AA149" s="24" t="s">
        <v>619</v>
      </c>
      <c r="AB149" s="24" t="str">
        <f t="shared" si="20"/>
        <v>Upper censored</v>
      </c>
      <c r="AC149" s="23" t="s">
        <v>35</v>
      </c>
      <c r="AD149" s="23" t="s">
        <v>561</v>
      </c>
      <c r="AE149" s="23" t="str">
        <f t="shared" si="21"/>
        <v/>
      </c>
      <c r="AF149" s="23"/>
      <c r="AG149" s="23" t="str">
        <f t="shared" si="22"/>
        <v/>
      </c>
      <c r="AH149" s="24" t="s">
        <v>619</v>
      </c>
      <c r="AI149" s="23">
        <v>2.85</v>
      </c>
      <c r="AJ149" s="23">
        <v>0.75160000000000005</v>
      </c>
      <c r="AK149" s="23"/>
      <c r="AL149" s="24" t="s">
        <v>618</v>
      </c>
      <c r="AM149" s="24">
        <v>210</v>
      </c>
      <c r="AN149" s="24">
        <v>0</v>
      </c>
      <c r="AO149" s="24">
        <f t="shared" si="23"/>
        <v>120</v>
      </c>
    </row>
    <row r="150" spans="1:41" x14ac:dyDescent="0.3">
      <c r="A150" s="24" t="s">
        <v>220</v>
      </c>
      <c r="B150" s="24" t="s">
        <v>436</v>
      </c>
      <c r="C150" s="25" t="s">
        <v>616</v>
      </c>
      <c r="D150" s="26">
        <v>27.3</v>
      </c>
      <c r="E150" s="34" t="s">
        <v>31</v>
      </c>
      <c r="F150" s="27" t="s">
        <v>54</v>
      </c>
      <c r="G150" s="28">
        <v>44454</v>
      </c>
      <c r="H150" s="28">
        <v>44476</v>
      </c>
      <c r="I150" s="24">
        <v>15</v>
      </c>
      <c r="J150" s="24" t="s">
        <v>43</v>
      </c>
      <c r="K150" s="24" t="s">
        <v>619</v>
      </c>
      <c r="L150" s="24" t="str">
        <f t="shared" si="16"/>
        <v>Not tested</v>
      </c>
      <c r="M150" s="23" t="s">
        <v>44</v>
      </c>
      <c r="N150" s="23" t="str">
        <f t="shared" si="17"/>
        <v/>
      </c>
      <c r="O150" s="24" t="s">
        <v>620</v>
      </c>
      <c r="P150" s="23">
        <v>3.5</v>
      </c>
      <c r="Q150" s="29">
        <v>0.38929999999999998</v>
      </c>
      <c r="R150" s="29"/>
      <c r="S150" s="24" t="s">
        <v>618</v>
      </c>
      <c r="T150" s="24" t="str">
        <f t="shared" si="18"/>
        <v>Technical failure</v>
      </c>
      <c r="U150" s="24" t="s">
        <v>44</v>
      </c>
      <c r="V150" s="24" t="str">
        <f t="shared" si="19"/>
        <v/>
      </c>
      <c r="W150" s="24" t="s">
        <v>620</v>
      </c>
      <c r="X150" s="23">
        <v>3.0649999999999999</v>
      </c>
      <c r="Y150" s="23">
        <v>1.7656000000000001</v>
      </c>
      <c r="Z150" s="23"/>
      <c r="AA150" s="24" t="s">
        <v>619</v>
      </c>
      <c r="AB150" s="24" t="str">
        <f t="shared" si="20"/>
        <v>Not tested</v>
      </c>
      <c r="AC150" s="23" t="s">
        <v>44</v>
      </c>
      <c r="AD150" s="23" t="s">
        <v>561</v>
      </c>
      <c r="AE150" s="23" t="str">
        <f t="shared" si="21"/>
        <v/>
      </c>
      <c r="AF150" s="23"/>
      <c r="AG150" s="23" t="str">
        <f t="shared" si="22"/>
        <v/>
      </c>
      <c r="AH150" s="24" t="s">
        <v>620</v>
      </c>
      <c r="AI150" s="23">
        <v>2.8580000000000001</v>
      </c>
      <c r="AJ150" s="23">
        <v>1.0586</v>
      </c>
      <c r="AK150" s="23"/>
      <c r="AL150" s="24" t="s">
        <v>618</v>
      </c>
      <c r="AM150" s="24">
        <v>210</v>
      </c>
      <c r="AN150" s="24">
        <v>0</v>
      </c>
      <c r="AO150" s="24" t="str">
        <f t="shared" si="23"/>
        <v/>
      </c>
    </row>
    <row r="151" spans="1:41" x14ac:dyDescent="0.3">
      <c r="A151" s="24" t="s">
        <v>221</v>
      </c>
      <c r="B151" s="24" t="s">
        <v>436</v>
      </c>
      <c r="C151" s="25"/>
      <c r="D151" s="26">
        <v>17.8</v>
      </c>
      <c r="E151" s="34" t="s">
        <v>39</v>
      </c>
      <c r="F151" s="27" t="s">
        <v>54</v>
      </c>
      <c r="G151" s="28">
        <v>44453</v>
      </c>
      <c r="H151" s="28">
        <v>44476</v>
      </c>
      <c r="I151" s="24">
        <v>12</v>
      </c>
      <c r="J151" s="24" t="s">
        <v>33</v>
      </c>
      <c r="K151" s="24" t="s">
        <v>619</v>
      </c>
      <c r="L151" s="24" t="str">
        <f t="shared" si="16"/>
        <v>Not tested</v>
      </c>
      <c r="M151" s="23" t="s">
        <v>44</v>
      </c>
      <c r="N151" s="23" t="str">
        <f t="shared" si="17"/>
        <v/>
      </c>
      <c r="O151" s="24" t="s">
        <v>620</v>
      </c>
      <c r="P151" s="23">
        <v>3.5</v>
      </c>
      <c r="Q151" s="29">
        <v>1.4786999999999999</v>
      </c>
      <c r="R151" s="29"/>
      <c r="S151" s="24" t="s">
        <v>619</v>
      </c>
      <c r="T151" s="24" t="str">
        <f t="shared" si="18"/>
        <v>Upper censored</v>
      </c>
      <c r="U151" s="24" t="s">
        <v>35</v>
      </c>
      <c r="V151" s="24" t="str">
        <f t="shared" si="19"/>
        <v/>
      </c>
      <c r="W151" s="24" t="s">
        <v>619</v>
      </c>
      <c r="X151" s="23">
        <v>3.0880000000000001</v>
      </c>
      <c r="Y151" s="23">
        <v>6.1246999999999998</v>
      </c>
      <c r="Z151" s="23"/>
      <c r="AA151" s="24" t="s">
        <v>619</v>
      </c>
      <c r="AB151" s="24" t="str">
        <f t="shared" si="20"/>
        <v>Upper censored</v>
      </c>
      <c r="AC151" s="23" t="s">
        <v>35</v>
      </c>
      <c r="AD151" s="23" t="s">
        <v>561</v>
      </c>
      <c r="AE151" s="23" t="str">
        <f t="shared" si="21"/>
        <v/>
      </c>
      <c r="AF151" s="23"/>
      <c r="AG151" s="23" t="str">
        <f t="shared" si="22"/>
        <v/>
      </c>
      <c r="AH151" s="24" t="s">
        <v>619</v>
      </c>
      <c r="AI151" s="23">
        <v>2.863</v>
      </c>
      <c r="AJ151" s="23">
        <v>3.2433000000000001</v>
      </c>
      <c r="AK151" s="23"/>
      <c r="AL151" s="24" t="s">
        <v>619</v>
      </c>
      <c r="AM151" s="24">
        <v>210</v>
      </c>
      <c r="AN151" s="24">
        <v>0</v>
      </c>
      <c r="AO151" s="24">
        <f t="shared" si="23"/>
        <v>120</v>
      </c>
    </row>
    <row r="152" spans="1:41" x14ac:dyDescent="0.3">
      <c r="A152" s="24" t="s">
        <v>222</v>
      </c>
      <c r="B152" s="24" t="s">
        <v>614</v>
      </c>
      <c r="C152" s="25" t="s">
        <v>616</v>
      </c>
      <c r="D152" s="26">
        <v>17.100000000000001</v>
      </c>
      <c r="E152" s="34" t="s">
        <v>39</v>
      </c>
      <c r="F152" s="27" t="s">
        <v>54</v>
      </c>
      <c r="G152" s="28">
        <v>44453</v>
      </c>
      <c r="H152" s="28">
        <v>44476</v>
      </c>
      <c r="I152" s="24">
        <v>12</v>
      </c>
      <c r="J152" s="24" t="s">
        <v>33</v>
      </c>
      <c r="K152" s="24" t="s">
        <v>619</v>
      </c>
      <c r="L152" s="24" t="str">
        <f t="shared" si="16"/>
        <v>Not tested</v>
      </c>
      <c r="M152" s="23" t="s">
        <v>44</v>
      </c>
      <c r="N152" s="23" t="str">
        <f t="shared" si="17"/>
        <v/>
      </c>
      <c r="O152" s="24" t="s">
        <v>620</v>
      </c>
      <c r="P152" s="23">
        <v>3.5</v>
      </c>
      <c r="Q152" s="29">
        <v>2.9620000000000002</v>
      </c>
      <c r="R152" s="29"/>
      <c r="S152" s="24" t="s">
        <v>619</v>
      </c>
      <c r="T152" s="24" t="str">
        <f t="shared" si="18"/>
        <v>Upper censored</v>
      </c>
      <c r="U152" s="24" t="s">
        <v>35</v>
      </c>
      <c r="V152" s="24" t="str">
        <f t="shared" si="19"/>
        <v/>
      </c>
      <c r="W152" s="24" t="s">
        <v>619</v>
      </c>
      <c r="X152" s="23">
        <v>3.2370000000000001</v>
      </c>
      <c r="Y152" s="23">
        <v>0.97670000000000001</v>
      </c>
      <c r="Z152" s="23"/>
      <c r="AA152" s="24" t="s">
        <v>618</v>
      </c>
      <c r="AB152" s="24" t="str">
        <f t="shared" si="20"/>
        <v>Upper censored</v>
      </c>
      <c r="AC152" s="23" t="s">
        <v>35</v>
      </c>
      <c r="AD152" s="23" t="s">
        <v>561</v>
      </c>
      <c r="AE152" s="23" t="str">
        <f t="shared" si="21"/>
        <v/>
      </c>
      <c r="AF152" s="23"/>
      <c r="AG152" s="23" t="str">
        <f t="shared" si="22"/>
        <v/>
      </c>
      <c r="AH152" s="24" t="s">
        <v>619</v>
      </c>
      <c r="AI152" s="23">
        <v>2.867</v>
      </c>
      <c r="AJ152" s="23">
        <v>0.4531</v>
      </c>
      <c r="AK152" s="23"/>
      <c r="AL152" s="24" t="s">
        <v>618</v>
      </c>
      <c r="AM152" s="24">
        <v>210</v>
      </c>
      <c r="AN152" s="24">
        <v>0</v>
      </c>
      <c r="AO152" s="24">
        <f t="shared" si="23"/>
        <v>120</v>
      </c>
    </row>
    <row r="153" spans="1:41" x14ac:dyDescent="0.3">
      <c r="A153" s="24" t="s">
        <v>223</v>
      </c>
      <c r="B153" s="24" t="s">
        <v>614</v>
      </c>
      <c r="C153" s="25"/>
      <c r="D153" s="26">
        <v>12.4</v>
      </c>
      <c r="E153" s="34" t="s">
        <v>41</v>
      </c>
      <c r="F153" s="27" t="s">
        <v>54</v>
      </c>
      <c r="G153" s="28">
        <v>44453</v>
      </c>
      <c r="H153" s="28">
        <v>44477</v>
      </c>
      <c r="I153" s="24">
        <v>12</v>
      </c>
      <c r="J153" s="24" t="s">
        <v>33</v>
      </c>
      <c r="K153" s="24" t="s">
        <v>618</v>
      </c>
      <c r="L153" s="24" t="str">
        <f t="shared" si="16"/>
        <v>Not tested</v>
      </c>
      <c r="M153" s="23" t="s">
        <v>44</v>
      </c>
      <c r="N153" s="23" t="str">
        <f t="shared" si="17"/>
        <v/>
      </c>
      <c r="O153" s="23" t="s">
        <v>620</v>
      </c>
      <c r="P153" s="23">
        <v>3.5</v>
      </c>
      <c r="Q153" s="29">
        <v>0.19</v>
      </c>
      <c r="R153" s="29"/>
      <c r="S153" s="24" t="s">
        <v>618</v>
      </c>
      <c r="T153" s="24" t="str">
        <f t="shared" si="18"/>
        <v>Technical failure</v>
      </c>
      <c r="U153" s="24" t="s">
        <v>44</v>
      </c>
      <c r="V153" s="24" t="str">
        <f t="shared" si="19"/>
        <v/>
      </c>
      <c r="W153" s="24" t="s">
        <v>620</v>
      </c>
      <c r="X153" s="23">
        <v>3.218</v>
      </c>
      <c r="Y153" s="23">
        <v>2.3283999999999998</v>
      </c>
      <c r="Z153" s="23"/>
      <c r="AA153" s="24" t="s">
        <v>619</v>
      </c>
      <c r="AB153" s="24" t="str">
        <f t="shared" si="20"/>
        <v>Upper censored</v>
      </c>
      <c r="AC153" s="23" t="s">
        <v>35</v>
      </c>
      <c r="AD153" s="23" t="s">
        <v>561</v>
      </c>
      <c r="AE153" s="23" t="str">
        <f t="shared" si="21"/>
        <v/>
      </c>
      <c r="AF153" s="23"/>
      <c r="AG153" s="23" t="str">
        <f t="shared" si="22"/>
        <v/>
      </c>
      <c r="AH153" s="24" t="s">
        <v>619</v>
      </c>
      <c r="AI153" s="23">
        <v>2.8679999999999999</v>
      </c>
      <c r="AJ153" s="23">
        <v>1.1503000000000001</v>
      </c>
      <c r="AK153" s="23"/>
      <c r="AL153" s="24" t="s">
        <v>619</v>
      </c>
      <c r="AM153" s="24">
        <v>210</v>
      </c>
      <c r="AN153" s="24">
        <v>0</v>
      </c>
      <c r="AO153" s="24">
        <f t="shared" si="23"/>
        <v>120</v>
      </c>
    </row>
    <row r="154" spans="1:41" x14ac:dyDescent="0.3">
      <c r="A154" s="24" t="s">
        <v>224</v>
      </c>
      <c r="B154" s="24" t="s">
        <v>436</v>
      </c>
      <c r="C154" s="30" t="s">
        <v>616</v>
      </c>
      <c r="D154" s="26">
        <v>19.399999999999999</v>
      </c>
      <c r="E154" s="34" t="s">
        <v>39</v>
      </c>
      <c r="F154" s="27" t="s">
        <v>54</v>
      </c>
      <c r="G154" s="28">
        <v>44453</v>
      </c>
      <c r="H154" s="28">
        <v>44477</v>
      </c>
      <c r="I154" s="24">
        <v>12</v>
      </c>
      <c r="J154" s="24" t="s">
        <v>33</v>
      </c>
      <c r="K154" s="24" t="s">
        <v>618</v>
      </c>
      <c r="L154" s="24" t="str">
        <f t="shared" si="16"/>
        <v>Not tested</v>
      </c>
      <c r="M154" s="23" t="s">
        <v>44</v>
      </c>
      <c r="N154" s="23" t="str">
        <f t="shared" si="17"/>
        <v/>
      </c>
      <c r="O154" s="24" t="s">
        <v>620</v>
      </c>
      <c r="P154" s="23">
        <v>3.5</v>
      </c>
      <c r="Q154" s="29">
        <v>8.9499999999999996E-2</v>
      </c>
      <c r="R154" s="29"/>
      <c r="S154" s="24" t="s">
        <v>618</v>
      </c>
      <c r="T154" s="24" t="str">
        <f t="shared" si="18"/>
        <v>Upper censored</v>
      </c>
      <c r="U154" s="24" t="s">
        <v>35</v>
      </c>
      <c r="V154" s="24" t="str">
        <f t="shared" si="19"/>
        <v/>
      </c>
      <c r="W154" s="24" t="s">
        <v>619</v>
      </c>
      <c r="X154" s="23">
        <v>3.5</v>
      </c>
      <c r="Y154" s="23">
        <v>1.5792999999999999</v>
      </c>
      <c r="Z154" s="23"/>
      <c r="AA154" s="24" t="s">
        <v>619</v>
      </c>
      <c r="AB154" s="24" t="str">
        <f t="shared" si="20"/>
        <v>Upper censored</v>
      </c>
      <c r="AC154" s="23" t="s">
        <v>35</v>
      </c>
      <c r="AD154" s="23" t="s">
        <v>561</v>
      </c>
      <c r="AE154" s="23" t="str">
        <f t="shared" si="21"/>
        <v/>
      </c>
      <c r="AF154" s="23"/>
      <c r="AG154" s="23" t="str">
        <f t="shared" si="22"/>
        <v/>
      </c>
      <c r="AH154" s="24" t="s">
        <v>619</v>
      </c>
      <c r="AI154" s="23">
        <v>2.8679999999999999</v>
      </c>
      <c r="AJ154" s="23">
        <v>1.0134000000000001</v>
      </c>
      <c r="AK154" s="23"/>
      <c r="AL154" s="24" t="s">
        <v>618</v>
      </c>
      <c r="AM154" s="24">
        <v>210</v>
      </c>
      <c r="AN154" s="24">
        <v>0</v>
      </c>
      <c r="AO154" s="24">
        <f t="shared" si="23"/>
        <v>120</v>
      </c>
    </row>
    <row r="155" spans="1:41" x14ac:dyDescent="0.3">
      <c r="A155" s="24" t="s">
        <v>225</v>
      </c>
      <c r="B155" s="24" t="s">
        <v>436</v>
      </c>
      <c r="C155" s="25"/>
      <c r="D155" s="26">
        <v>32.799999999999997</v>
      </c>
      <c r="E155" s="34" t="s">
        <v>47</v>
      </c>
      <c r="F155" s="27" t="s">
        <v>54</v>
      </c>
      <c r="G155" s="28">
        <v>44453</v>
      </c>
      <c r="H155" s="28">
        <v>44476</v>
      </c>
      <c r="I155" s="24">
        <v>15</v>
      </c>
      <c r="J155" s="24" t="s">
        <v>43</v>
      </c>
      <c r="K155" s="24" t="s">
        <v>618</v>
      </c>
      <c r="L155" s="24" t="str">
        <f t="shared" si="16"/>
        <v>Not tested</v>
      </c>
      <c r="M155" s="23" t="s">
        <v>44</v>
      </c>
      <c r="N155" s="23" t="str">
        <f t="shared" si="17"/>
        <v/>
      </c>
      <c r="O155" s="24" t="s">
        <v>620</v>
      </c>
      <c r="P155" s="23">
        <v>3.5</v>
      </c>
      <c r="Q155" s="29">
        <v>0.46589999999999998</v>
      </c>
      <c r="R155" s="29"/>
      <c r="S155" s="24" t="s">
        <v>618</v>
      </c>
      <c r="T155" s="24" t="str">
        <f t="shared" si="18"/>
        <v>Upper censored</v>
      </c>
      <c r="U155" s="24" t="s">
        <v>35</v>
      </c>
      <c r="V155" s="24" t="str">
        <f t="shared" si="19"/>
        <v/>
      </c>
      <c r="W155" s="24" t="s">
        <v>619</v>
      </c>
      <c r="X155" s="23">
        <v>3.1850000000000001</v>
      </c>
      <c r="Y155" s="23">
        <v>6.8182</v>
      </c>
      <c r="Z155" s="23"/>
      <c r="AA155" s="24" t="s">
        <v>619</v>
      </c>
      <c r="AB155" s="24" t="str">
        <f t="shared" si="20"/>
        <v>Normal</v>
      </c>
      <c r="AC155" s="23">
        <v>718694</v>
      </c>
      <c r="AD155" s="23">
        <v>71.869399999999999</v>
      </c>
      <c r="AE155" s="23" t="str">
        <f t="shared" si="21"/>
        <v/>
      </c>
      <c r="AF155" s="23"/>
      <c r="AG155" s="23" t="str">
        <f t="shared" si="22"/>
        <v/>
      </c>
      <c r="AH155" s="24" t="s">
        <v>619</v>
      </c>
      <c r="AI155" s="23">
        <v>2.8690000000000002</v>
      </c>
      <c r="AJ155" s="23">
        <v>3.5512000000000001</v>
      </c>
      <c r="AK155" s="23"/>
      <c r="AL155" s="24" t="s">
        <v>618</v>
      </c>
      <c r="AM155" s="24"/>
      <c r="AN155" s="24"/>
      <c r="AO155" s="24" t="str">
        <f t="shared" si="23"/>
        <v/>
      </c>
    </row>
    <row r="156" spans="1:41" x14ac:dyDescent="0.3">
      <c r="A156" s="24" t="s">
        <v>226</v>
      </c>
      <c r="B156" s="24" t="s">
        <v>436</v>
      </c>
      <c r="C156" s="25" t="s">
        <v>616</v>
      </c>
      <c r="D156" s="26">
        <v>28.6</v>
      </c>
      <c r="E156" s="34" t="s">
        <v>47</v>
      </c>
      <c r="F156" s="27" t="s">
        <v>54</v>
      </c>
      <c r="G156" s="28">
        <v>44453</v>
      </c>
      <c r="H156" s="28">
        <v>44477</v>
      </c>
      <c r="I156" s="24">
        <v>12</v>
      </c>
      <c r="J156" s="24" t="s">
        <v>33</v>
      </c>
      <c r="K156" s="24" t="s">
        <v>618</v>
      </c>
      <c r="L156" s="24" t="str">
        <f t="shared" si="16"/>
        <v>Not tested</v>
      </c>
      <c r="M156" s="23" t="s">
        <v>44</v>
      </c>
      <c r="N156" s="23" t="str">
        <f t="shared" si="17"/>
        <v/>
      </c>
      <c r="O156" s="24" t="s">
        <v>620</v>
      </c>
      <c r="P156" s="23">
        <v>3.5</v>
      </c>
      <c r="Q156" s="29">
        <v>0.28170000000000001</v>
      </c>
      <c r="R156" s="29">
        <v>0.28170000000000001</v>
      </c>
      <c r="S156" s="24" t="s">
        <v>618</v>
      </c>
      <c r="T156" s="24" t="str">
        <f t="shared" si="18"/>
        <v>Upper censored</v>
      </c>
      <c r="U156" s="24" t="s">
        <v>35</v>
      </c>
      <c r="V156" s="24" t="str">
        <f t="shared" si="19"/>
        <v/>
      </c>
      <c r="W156" s="24" t="s">
        <v>619</v>
      </c>
      <c r="X156" s="23">
        <v>3.3889999999999998</v>
      </c>
      <c r="Y156" s="23">
        <v>0.33410000000000001</v>
      </c>
      <c r="Z156" s="23"/>
      <c r="AA156" s="24" t="s">
        <v>618</v>
      </c>
      <c r="AB156" s="24" t="str">
        <f t="shared" si="20"/>
        <v>Upper censored</v>
      </c>
      <c r="AC156" s="23" t="s">
        <v>35</v>
      </c>
      <c r="AD156" s="23" t="s">
        <v>561</v>
      </c>
      <c r="AE156" s="23" t="str">
        <f t="shared" si="21"/>
        <v/>
      </c>
      <c r="AF156" s="23"/>
      <c r="AG156" s="23" t="str">
        <f t="shared" si="22"/>
        <v/>
      </c>
      <c r="AH156" s="24" t="s">
        <v>619</v>
      </c>
      <c r="AI156" s="23">
        <v>2.8690000000000002</v>
      </c>
      <c r="AJ156" s="23">
        <v>0.2046</v>
      </c>
      <c r="AK156" s="23"/>
      <c r="AL156" s="24" t="s">
        <v>618</v>
      </c>
      <c r="AM156" s="24">
        <v>210</v>
      </c>
      <c r="AN156" s="24">
        <v>0</v>
      </c>
      <c r="AO156" s="24">
        <f t="shared" si="23"/>
        <v>120</v>
      </c>
    </row>
    <row r="157" spans="1:41" x14ac:dyDescent="0.3">
      <c r="A157" s="24" t="s">
        <v>228</v>
      </c>
      <c r="B157" s="24" t="s">
        <v>436</v>
      </c>
      <c r="C157" s="25" t="s">
        <v>616</v>
      </c>
      <c r="D157" s="26">
        <v>24.9</v>
      </c>
      <c r="E157" s="34" t="s">
        <v>31</v>
      </c>
      <c r="F157" s="27" t="s">
        <v>54</v>
      </c>
      <c r="G157" s="28">
        <v>44453</v>
      </c>
      <c r="H157" s="28">
        <v>44477</v>
      </c>
      <c r="I157" s="24">
        <v>12</v>
      </c>
      <c r="J157" s="24" t="s">
        <v>33</v>
      </c>
      <c r="K157" s="24" t="s">
        <v>619</v>
      </c>
      <c r="L157" s="24" t="str">
        <f t="shared" si="16"/>
        <v>Not tested</v>
      </c>
      <c r="M157" s="23" t="s">
        <v>44</v>
      </c>
      <c r="N157" s="23" t="str">
        <f t="shared" si="17"/>
        <v/>
      </c>
      <c r="O157" s="24" t="s">
        <v>620</v>
      </c>
      <c r="P157" s="23">
        <v>3.5</v>
      </c>
      <c r="Q157" s="29">
        <v>1.3241000000000001</v>
      </c>
      <c r="R157" s="29"/>
      <c r="S157" s="24" t="s">
        <v>619</v>
      </c>
      <c r="T157" s="24" t="str">
        <f t="shared" si="18"/>
        <v>Normal</v>
      </c>
      <c r="U157" s="24">
        <v>30.3657</v>
      </c>
      <c r="V157" s="24">
        <f t="shared" si="19"/>
        <v>30.3657</v>
      </c>
      <c r="W157" s="24" t="s">
        <v>619</v>
      </c>
      <c r="X157" s="23">
        <v>3.2440000000000002</v>
      </c>
      <c r="Y157" s="23">
        <v>1.1075999999999999</v>
      </c>
      <c r="Z157" s="23"/>
      <c r="AA157" s="24" t="s">
        <v>619</v>
      </c>
      <c r="AB157" s="24" t="str">
        <f t="shared" si="20"/>
        <v>Upper censored</v>
      </c>
      <c r="AC157" s="23" t="s">
        <v>35</v>
      </c>
      <c r="AD157" s="23" t="s">
        <v>561</v>
      </c>
      <c r="AE157" s="23" t="str">
        <f t="shared" si="21"/>
        <v/>
      </c>
      <c r="AF157" s="23"/>
      <c r="AG157" s="23" t="str">
        <f t="shared" si="22"/>
        <v/>
      </c>
      <c r="AH157" s="24" t="s">
        <v>619</v>
      </c>
      <c r="AI157" s="23">
        <v>2.871</v>
      </c>
      <c r="AJ157" s="23">
        <v>5.4690000000000003</v>
      </c>
      <c r="AK157" s="23"/>
      <c r="AL157" s="24" t="s">
        <v>619</v>
      </c>
      <c r="AM157" s="24"/>
      <c r="AN157" s="24"/>
      <c r="AO157" s="24" t="str">
        <f t="shared" si="23"/>
        <v/>
      </c>
    </row>
    <row r="158" spans="1:41" x14ac:dyDescent="0.3">
      <c r="A158" s="24" t="s">
        <v>229</v>
      </c>
      <c r="B158" s="24" t="s">
        <v>436</v>
      </c>
      <c r="C158" s="25"/>
      <c r="D158" s="26">
        <v>32.1</v>
      </c>
      <c r="E158" s="34" t="s">
        <v>47</v>
      </c>
      <c r="F158" s="27" t="s">
        <v>54</v>
      </c>
      <c r="G158" s="28">
        <v>44454</v>
      </c>
      <c r="H158" s="28">
        <v>44476</v>
      </c>
      <c r="I158" s="24">
        <v>15</v>
      </c>
      <c r="J158" s="24" t="s">
        <v>43</v>
      </c>
      <c r="K158" s="24" t="s">
        <v>618</v>
      </c>
      <c r="L158" s="24" t="str">
        <f t="shared" si="16"/>
        <v>Not tested</v>
      </c>
      <c r="M158" s="23" t="s">
        <v>44</v>
      </c>
      <c r="N158" s="23" t="str">
        <f t="shared" si="17"/>
        <v/>
      </c>
      <c r="O158" s="23" t="s">
        <v>620</v>
      </c>
      <c r="P158" s="23">
        <v>3.5</v>
      </c>
      <c r="Q158" s="29">
        <v>0.22819999999999999</v>
      </c>
      <c r="R158" s="29"/>
      <c r="S158" s="24" t="s">
        <v>618</v>
      </c>
      <c r="T158" s="24" t="str">
        <f t="shared" si="18"/>
        <v>Upper censored</v>
      </c>
      <c r="U158" s="24" t="s">
        <v>35</v>
      </c>
      <c r="V158" s="24" t="str">
        <f t="shared" si="19"/>
        <v/>
      </c>
      <c r="W158" s="24" t="s">
        <v>619</v>
      </c>
      <c r="X158" s="23">
        <v>2.923</v>
      </c>
      <c r="Y158" s="23">
        <v>0.16700000000000001</v>
      </c>
      <c r="Z158" s="23"/>
      <c r="AA158" s="24" t="s">
        <v>618</v>
      </c>
      <c r="AB158" s="24" t="str">
        <f t="shared" si="20"/>
        <v>Normal</v>
      </c>
      <c r="AC158" s="23">
        <v>729493</v>
      </c>
      <c r="AD158" s="23">
        <v>72.949299999999994</v>
      </c>
      <c r="AE158" s="23" t="str">
        <f t="shared" si="21"/>
        <v/>
      </c>
      <c r="AF158" s="23"/>
      <c r="AG158" s="23" t="str">
        <f t="shared" si="22"/>
        <v/>
      </c>
      <c r="AH158" s="24" t="s">
        <v>619</v>
      </c>
      <c r="AI158" s="23">
        <v>2.8940000000000001</v>
      </c>
      <c r="AJ158" s="23">
        <v>0.20039999999999999</v>
      </c>
      <c r="AK158" s="23"/>
      <c r="AL158" s="24" t="s">
        <v>618</v>
      </c>
      <c r="AM158" s="24">
        <v>182</v>
      </c>
      <c r="AN158" s="24">
        <v>1</v>
      </c>
      <c r="AO158" s="24" t="str">
        <f t="shared" si="23"/>
        <v/>
      </c>
    </row>
    <row r="159" spans="1:41" x14ac:dyDescent="0.3">
      <c r="A159" s="24" t="s">
        <v>230</v>
      </c>
      <c r="B159" s="24" t="s">
        <v>436</v>
      </c>
      <c r="C159" s="25" t="s">
        <v>615</v>
      </c>
      <c r="D159" s="26">
        <v>18.5</v>
      </c>
      <c r="E159" s="34" t="s">
        <v>39</v>
      </c>
      <c r="F159" s="27" t="s">
        <v>54</v>
      </c>
      <c r="G159" s="28">
        <v>44454</v>
      </c>
      <c r="H159" s="28">
        <v>44476</v>
      </c>
      <c r="I159" s="24">
        <v>15</v>
      </c>
      <c r="J159" s="24" t="s">
        <v>43</v>
      </c>
      <c r="K159" s="24" t="s">
        <v>619</v>
      </c>
      <c r="L159" s="24" t="str">
        <f t="shared" si="16"/>
        <v>Not tested</v>
      </c>
      <c r="M159" s="23" t="s">
        <v>44</v>
      </c>
      <c r="N159" s="23" t="str">
        <f t="shared" si="17"/>
        <v/>
      </c>
      <c r="O159" s="24" t="s">
        <v>620</v>
      </c>
      <c r="P159" s="23">
        <v>3.5</v>
      </c>
      <c r="Q159" s="29">
        <v>0.13320000000000001</v>
      </c>
      <c r="R159" s="29"/>
      <c r="S159" s="24" t="s">
        <v>618</v>
      </c>
      <c r="T159" s="24" t="str">
        <f t="shared" si="18"/>
        <v>Normal</v>
      </c>
      <c r="U159" s="24">
        <v>70.463200000000001</v>
      </c>
      <c r="V159" s="24">
        <f t="shared" si="19"/>
        <v>70.463200000000001</v>
      </c>
      <c r="W159" s="24" t="s">
        <v>619</v>
      </c>
      <c r="X159" s="23">
        <v>3.3069999999999999</v>
      </c>
      <c r="Y159" s="23">
        <v>3.9799000000000002</v>
      </c>
      <c r="Z159" s="23"/>
      <c r="AA159" s="24" t="s">
        <v>618</v>
      </c>
      <c r="AB159" s="24" t="str">
        <f t="shared" si="20"/>
        <v>Normal</v>
      </c>
      <c r="AC159" s="23">
        <v>611591</v>
      </c>
      <c r="AD159" s="23">
        <v>61.159100000000002</v>
      </c>
      <c r="AE159" s="23" t="str">
        <f t="shared" si="21"/>
        <v/>
      </c>
      <c r="AF159" s="23"/>
      <c r="AG159" s="23" t="str">
        <f t="shared" si="22"/>
        <v/>
      </c>
      <c r="AH159" s="24" t="s">
        <v>619</v>
      </c>
      <c r="AI159" s="23">
        <v>2.8980000000000001</v>
      </c>
      <c r="AJ159" s="23">
        <v>2.0499999999999998</v>
      </c>
      <c r="AK159" s="23"/>
      <c r="AL159" s="24" t="s">
        <v>619</v>
      </c>
      <c r="AM159" s="24"/>
      <c r="AN159" s="24"/>
      <c r="AO159" s="24" t="str">
        <f t="shared" si="23"/>
        <v/>
      </c>
    </row>
    <row r="160" spans="1:41" x14ac:dyDescent="0.3">
      <c r="A160" s="24" t="s">
        <v>231</v>
      </c>
      <c r="B160" s="24" t="s">
        <v>436</v>
      </c>
      <c r="C160" s="30" t="s">
        <v>615</v>
      </c>
      <c r="D160" s="26">
        <v>22.9</v>
      </c>
      <c r="E160" s="34" t="s">
        <v>39</v>
      </c>
      <c r="F160" s="27" t="s">
        <v>54</v>
      </c>
      <c r="G160" s="28">
        <v>44453</v>
      </c>
      <c r="H160" s="28">
        <v>44476</v>
      </c>
      <c r="I160" s="24">
        <v>14</v>
      </c>
      <c r="J160" s="24" t="s">
        <v>43</v>
      </c>
      <c r="K160" s="24" t="s">
        <v>618</v>
      </c>
      <c r="L160" s="24" t="str">
        <f t="shared" si="16"/>
        <v>Not tested</v>
      </c>
      <c r="M160" s="23" t="s">
        <v>44</v>
      </c>
      <c r="N160" s="23" t="str">
        <f t="shared" si="17"/>
        <v/>
      </c>
      <c r="O160" s="24" t="s">
        <v>620</v>
      </c>
      <c r="P160" s="23">
        <v>3.5</v>
      </c>
      <c r="Q160" s="29">
        <v>0.1956</v>
      </c>
      <c r="R160" s="29"/>
      <c r="S160" s="24" t="s">
        <v>618</v>
      </c>
      <c r="T160" s="24" t="str">
        <f t="shared" si="18"/>
        <v>Upper censored</v>
      </c>
      <c r="U160" s="23" t="s">
        <v>35</v>
      </c>
      <c r="V160" s="24" t="str">
        <f t="shared" si="19"/>
        <v/>
      </c>
      <c r="W160" s="24" t="s">
        <v>619</v>
      </c>
      <c r="X160" s="23">
        <v>3.0129999999999999</v>
      </c>
      <c r="Y160" s="23">
        <v>4.4200000000000003E-2</v>
      </c>
      <c r="Z160" s="23"/>
      <c r="AA160" s="24" t="s">
        <v>618</v>
      </c>
      <c r="AB160" s="24" t="str">
        <f t="shared" si="20"/>
        <v>Upper censored</v>
      </c>
      <c r="AC160" s="23" t="s">
        <v>35</v>
      </c>
      <c r="AD160" s="23" t="s">
        <v>561</v>
      </c>
      <c r="AE160" s="23" t="str">
        <f t="shared" si="21"/>
        <v/>
      </c>
      <c r="AF160" s="23"/>
      <c r="AG160" s="23" t="str">
        <f t="shared" si="22"/>
        <v/>
      </c>
      <c r="AH160" s="24" t="s">
        <v>619</v>
      </c>
      <c r="AI160" s="23">
        <v>2.9260000000000002</v>
      </c>
      <c r="AJ160" s="23">
        <v>8.6099999999999996E-2</v>
      </c>
      <c r="AK160" s="23"/>
      <c r="AL160" s="24" t="s">
        <v>618</v>
      </c>
      <c r="AM160" s="24">
        <v>210</v>
      </c>
      <c r="AN160" s="24">
        <v>0</v>
      </c>
      <c r="AO160" s="24">
        <f t="shared" si="23"/>
        <v>120</v>
      </c>
    </row>
    <row r="161" spans="1:41" x14ac:dyDescent="0.3">
      <c r="A161" s="24" t="s">
        <v>232</v>
      </c>
      <c r="B161" s="24" t="s">
        <v>614</v>
      </c>
      <c r="C161" s="25"/>
      <c r="D161" s="26">
        <v>18.3</v>
      </c>
      <c r="E161" s="34" t="s">
        <v>39</v>
      </c>
      <c r="F161" s="27" t="s">
        <v>54</v>
      </c>
      <c r="G161" s="28">
        <v>44453</v>
      </c>
      <c r="H161" s="28">
        <v>44476</v>
      </c>
      <c r="I161" s="24">
        <v>12</v>
      </c>
      <c r="J161" s="24" t="s">
        <v>33</v>
      </c>
      <c r="K161" s="24" t="s">
        <v>618</v>
      </c>
      <c r="L161" s="24" t="str">
        <f t="shared" si="16"/>
        <v>Not tested</v>
      </c>
      <c r="M161" s="23" t="s">
        <v>44</v>
      </c>
      <c r="N161" s="23" t="str">
        <f t="shared" si="17"/>
        <v/>
      </c>
      <c r="O161" s="24" t="s">
        <v>620</v>
      </c>
      <c r="P161" s="23">
        <v>3.5</v>
      </c>
      <c r="Q161" s="29">
        <v>2.5301999999999998</v>
      </c>
      <c r="R161" s="29"/>
      <c r="S161" s="24" t="s">
        <v>619</v>
      </c>
      <c r="T161" s="24" t="str">
        <f t="shared" si="18"/>
        <v>Normal</v>
      </c>
      <c r="U161" s="24">
        <v>25.5944</v>
      </c>
      <c r="V161" s="24">
        <f t="shared" si="19"/>
        <v>25.5944</v>
      </c>
      <c r="W161" s="24" t="s">
        <v>619</v>
      </c>
      <c r="X161" s="23">
        <v>3.1850000000000001</v>
      </c>
      <c r="Y161" s="23">
        <v>0.85619999999999996</v>
      </c>
      <c r="Z161" s="23"/>
      <c r="AA161" s="24" t="s">
        <v>618</v>
      </c>
      <c r="AB161" s="24" t="str">
        <f t="shared" si="20"/>
        <v>Normal</v>
      </c>
      <c r="AC161" s="23">
        <v>188068</v>
      </c>
      <c r="AD161" s="23">
        <v>18.806799999999999</v>
      </c>
      <c r="AE161" s="23" t="str">
        <f t="shared" si="21"/>
        <v/>
      </c>
      <c r="AF161" s="23"/>
      <c r="AG161" s="23" t="str">
        <f t="shared" si="22"/>
        <v/>
      </c>
      <c r="AH161" s="24" t="s">
        <v>619</v>
      </c>
      <c r="AI161" s="23">
        <v>2.94</v>
      </c>
      <c r="AJ161" s="23">
        <v>0.41070000000000001</v>
      </c>
      <c r="AK161" s="23"/>
      <c r="AL161" s="24" t="s">
        <v>618</v>
      </c>
      <c r="AM161" s="24"/>
      <c r="AN161" s="24"/>
      <c r="AO161" s="24" t="str">
        <f t="shared" si="23"/>
        <v/>
      </c>
    </row>
    <row r="162" spans="1:41" x14ac:dyDescent="0.3">
      <c r="A162" s="24" t="s">
        <v>233</v>
      </c>
      <c r="B162" s="24" t="s">
        <v>436</v>
      </c>
      <c r="C162" s="25"/>
      <c r="D162" s="26">
        <v>33.5</v>
      </c>
      <c r="E162" s="34" t="s">
        <v>47</v>
      </c>
      <c r="F162" s="27" t="s">
        <v>54</v>
      </c>
      <c r="G162" s="28">
        <v>44460</v>
      </c>
      <c r="H162" s="28">
        <v>44481</v>
      </c>
      <c r="I162" s="24">
        <v>12</v>
      </c>
      <c r="J162" s="24" t="s">
        <v>33</v>
      </c>
      <c r="K162" s="24" t="s">
        <v>618</v>
      </c>
      <c r="L162" s="24" t="str">
        <f t="shared" si="16"/>
        <v>Not tested</v>
      </c>
      <c r="M162" s="23" t="s">
        <v>44</v>
      </c>
      <c r="N162" s="23" t="str">
        <f t="shared" si="17"/>
        <v/>
      </c>
      <c r="O162" s="24" t="s">
        <v>620</v>
      </c>
      <c r="P162" s="23">
        <v>3.5</v>
      </c>
      <c r="Q162" s="29">
        <v>9.01E-2</v>
      </c>
      <c r="R162" s="29"/>
      <c r="S162" s="24" t="s">
        <v>618</v>
      </c>
      <c r="T162" s="24" t="str">
        <f t="shared" si="18"/>
        <v>Upper censored</v>
      </c>
      <c r="U162" s="24" t="s">
        <v>35</v>
      </c>
      <c r="V162" s="24" t="str">
        <f t="shared" si="19"/>
        <v/>
      </c>
      <c r="W162" s="24" t="s">
        <v>619</v>
      </c>
      <c r="X162" s="23">
        <v>3.5</v>
      </c>
      <c r="Y162" s="23">
        <v>0.25829999999999997</v>
      </c>
      <c r="Z162" s="23"/>
      <c r="AA162" s="24" t="s">
        <v>618</v>
      </c>
      <c r="AB162" s="24" t="str">
        <f t="shared" si="20"/>
        <v>Upper censored</v>
      </c>
      <c r="AC162" s="23" t="s">
        <v>35</v>
      </c>
      <c r="AD162" s="23" t="s">
        <v>561</v>
      </c>
      <c r="AE162" s="23" t="str">
        <f t="shared" si="21"/>
        <v/>
      </c>
      <c r="AF162" s="23"/>
      <c r="AG162" s="23" t="str">
        <f t="shared" si="22"/>
        <v/>
      </c>
      <c r="AH162" s="24" t="s">
        <v>619</v>
      </c>
      <c r="AI162" s="23">
        <v>2.9430000000000001</v>
      </c>
      <c r="AJ162" s="23">
        <v>0.22539999999999999</v>
      </c>
      <c r="AK162" s="23"/>
      <c r="AL162" s="24" t="s">
        <v>618</v>
      </c>
      <c r="AM162" s="24">
        <v>210</v>
      </c>
      <c r="AN162" s="24">
        <v>0</v>
      </c>
      <c r="AO162" s="24">
        <f t="shared" si="23"/>
        <v>120</v>
      </c>
    </row>
    <row r="163" spans="1:41" x14ac:dyDescent="0.3">
      <c r="A163" s="24" t="s">
        <v>234</v>
      </c>
      <c r="B163" s="24" t="s">
        <v>436</v>
      </c>
      <c r="C163" s="25" t="s">
        <v>615</v>
      </c>
      <c r="D163" s="26">
        <v>16.600000000000001</v>
      </c>
      <c r="E163" s="34" t="s">
        <v>39</v>
      </c>
      <c r="F163" s="27" t="s">
        <v>54</v>
      </c>
      <c r="G163" s="28">
        <v>44453</v>
      </c>
      <c r="H163" s="28">
        <v>44477</v>
      </c>
      <c r="I163" s="24">
        <v>12</v>
      </c>
      <c r="J163" s="24" t="s">
        <v>33</v>
      </c>
      <c r="K163" s="24" t="s">
        <v>618</v>
      </c>
      <c r="L163" s="24" t="str">
        <f t="shared" si="16"/>
        <v>Not tested</v>
      </c>
      <c r="M163" s="23" t="s">
        <v>44</v>
      </c>
      <c r="N163" s="23" t="str">
        <f t="shared" si="17"/>
        <v/>
      </c>
      <c r="O163" s="24" t="s">
        <v>620</v>
      </c>
      <c r="P163" s="23">
        <v>3.5</v>
      </c>
      <c r="Q163" s="29">
        <v>2.0455999999999999</v>
      </c>
      <c r="R163" s="29"/>
      <c r="S163" s="24" t="s">
        <v>619</v>
      </c>
      <c r="T163" s="24" t="str">
        <f t="shared" si="18"/>
        <v>Technical failure</v>
      </c>
      <c r="U163" s="24" t="s">
        <v>44</v>
      </c>
      <c r="V163" s="24" t="str">
        <f t="shared" si="19"/>
        <v/>
      </c>
      <c r="W163" s="24" t="s">
        <v>620</v>
      </c>
      <c r="X163" s="23">
        <v>3.198</v>
      </c>
      <c r="Y163" s="23">
        <v>1.2759</v>
      </c>
      <c r="Z163" s="23"/>
      <c r="AA163" s="24" t="s">
        <v>619</v>
      </c>
      <c r="AB163" s="24" t="str">
        <f t="shared" si="20"/>
        <v>Upper censored</v>
      </c>
      <c r="AC163" s="23" t="s">
        <v>35</v>
      </c>
      <c r="AD163" s="23" t="s">
        <v>561</v>
      </c>
      <c r="AE163" s="23" t="str">
        <f t="shared" si="21"/>
        <v/>
      </c>
      <c r="AF163" s="23"/>
      <c r="AG163" s="23" t="str">
        <f t="shared" si="22"/>
        <v/>
      </c>
      <c r="AH163" s="24" t="s">
        <v>619</v>
      </c>
      <c r="AI163" s="23">
        <v>2.9550000000000001</v>
      </c>
      <c r="AJ163" s="23">
        <v>1.0785</v>
      </c>
      <c r="AK163" s="23">
        <v>1.0496000000000001</v>
      </c>
      <c r="AL163" s="24" t="s">
        <v>618</v>
      </c>
      <c r="AM163" s="24">
        <v>210</v>
      </c>
      <c r="AN163" s="24">
        <v>0</v>
      </c>
      <c r="AO163" s="24">
        <f t="shared" si="23"/>
        <v>120</v>
      </c>
    </row>
    <row r="164" spans="1:41" x14ac:dyDescent="0.3">
      <c r="A164" s="24" t="s">
        <v>236</v>
      </c>
      <c r="B164" s="24" t="s">
        <v>436</v>
      </c>
      <c r="C164" s="30" t="s">
        <v>616</v>
      </c>
      <c r="D164" s="26">
        <v>16.899999999999999</v>
      </c>
      <c r="E164" s="34" t="s">
        <v>39</v>
      </c>
      <c r="F164" s="27" t="s">
        <v>54</v>
      </c>
      <c r="G164" s="28">
        <v>44453</v>
      </c>
      <c r="H164" s="28">
        <v>44482</v>
      </c>
      <c r="I164" s="24">
        <v>15</v>
      </c>
      <c r="J164" s="24" t="s">
        <v>43</v>
      </c>
      <c r="K164" s="24" t="s">
        <v>618</v>
      </c>
      <c r="L164" s="24" t="str">
        <f t="shared" si="16"/>
        <v>Not tested</v>
      </c>
      <c r="M164" s="23" t="s">
        <v>44</v>
      </c>
      <c r="N164" s="23" t="str">
        <f t="shared" si="17"/>
        <v/>
      </c>
      <c r="O164" s="24" t="s">
        <v>620</v>
      </c>
      <c r="P164" s="23">
        <v>3.5</v>
      </c>
      <c r="Q164" s="29">
        <v>0.21759999999999999</v>
      </c>
      <c r="R164" s="29"/>
      <c r="S164" s="24" t="s">
        <v>618</v>
      </c>
      <c r="T164" s="24" t="str">
        <f t="shared" si="18"/>
        <v>Normal</v>
      </c>
      <c r="U164" s="24">
        <v>0.36170000000000002</v>
      </c>
      <c r="V164" s="24">
        <f t="shared" si="19"/>
        <v>0.36170000000000002</v>
      </c>
      <c r="W164" s="24" t="s">
        <v>618</v>
      </c>
      <c r="X164" s="23">
        <v>3.5</v>
      </c>
      <c r="Y164" s="23">
        <v>8.1699999999999995E-2</v>
      </c>
      <c r="Z164" s="23"/>
      <c r="AA164" s="24" t="s">
        <v>618</v>
      </c>
      <c r="AB164" s="24" t="str">
        <f t="shared" si="20"/>
        <v>Normal</v>
      </c>
      <c r="AC164" s="23">
        <v>0.16220000000000001</v>
      </c>
      <c r="AD164" s="23">
        <v>0.16220000000000001</v>
      </c>
      <c r="AE164" s="23" t="str">
        <f t="shared" si="21"/>
        <v/>
      </c>
      <c r="AF164" s="23"/>
      <c r="AG164" s="23" t="str">
        <f t="shared" si="22"/>
        <v/>
      </c>
      <c r="AH164" s="24" t="s">
        <v>618</v>
      </c>
      <c r="AI164" s="23">
        <v>2.9550000000000001</v>
      </c>
      <c r="AJ164" s="23">
        <v>7.5800000000000006E-2</v>
      </c>
      <c r="AK164" s="23"/>
      <c r="AL164" s="24" t="s">
        <v>618</v>
      </c>
      <c r="AM164" s="24"/>
      <c r="AN164" s="24"/>
      <c r="AO164" s="24" t="str">
        <f t="shared" si="23"/>
        <v/>
      </c>
    </row>
    <row r="165" spans="1:41" x14ac:dyDescent="0.3">
      <c r="A165" s="24" t="s">
        <v>237</v>
      </c>
      <c r="B165" s="24" t="s">
        <v>436</v>
      </c>
      <c r="C165" s="25" t="s">
        <v>616</v>
      </c>
      <c r="D165" s="26">
        <v>36.5</v>
      </c>
      <c r="E165" s="34" t="s">
        <v>47</v>
      </c>
      <c r="F165" s="27" t="s">
        <v>54</v>
      </c>
      <c r="G165" s="28">
        <v>44453</v>
      </c>
      <c r="H165" s="28">
        <v>44477</v>
      </c>
      <c r="I165" s="24">
        <v>15</v>
      </c>
      <c r="J165" s="24" t="s">
        <v>43</v>
      </c>
      <c r="K165" s="24" t="s">
        <v>618</v>
      </c>
      <c r="L165" s="24" t="str">
        <f t="shared" si="16"/>
        <v>Not tested</v>
      </c>
      <c r="M165" s="23" t="s">
        <v>44</v>
      </c>
      <c r="N165" s="23" t="str">
        <f t="shared" si="17"/>
        <v/>
      </c>
      <c r="O165" s="24" t="s">
        <v>620</v>
      </c>
      <c r="P165" s="23">
        <v>3.5</v>
      </c>
      <c r="Q165" s="29">
        <v>7.3800000000000004E-2</v>
      </c>
      <c r="R165" s="29"/>
      <c r="S165" s="24" t="s">
        <v>618</v>
      </c>
      <c r="T165" s="24" t="str">
        <f t="shared" si="18"/>
        <v>Normal</v>
      </c>
      <c r="U165" s="24">
        <v>22.245999999999999</v>
      </c>
      <c r="V165" s="24">
        <f t="shared" si="19"/>
        <v>22.245999999999999</v>
      </c>
      <c r="W165" s="24" t="s">
        <v>619</v>
      </c>
      <c r="X165" s="23">
        <v>3.262</v>
      </c>
      <c r="Y165" s="23">
        <v>2.8273999999999999</v>
      </c>
      <c r="Z165" s="23"/>
      <c r="AA165" s="24" t="s">
        <v>619</v>
      </c>
      <c r="AB165" s="24" t="str">
        <f t="shared" si="20"/>
        <v>Normal</v>
      </c>
      <c r="AC165" s="23">
        <v>82134</v>
      </c>
      <c r="AD165" s="23">
        <v>8.2134</v>
      </c>
      <c r="AE165" s="23" t="str">
        <f t="shared" si="21"/>
        <v/>
      </c>
      <c r="AF165" s="23"/>
      <c r="AG165" s="23" t="str">
        <f t="shared" si="22"/>
        <v/>
      </c>
      <c r="AH165" t="s">
        <v>621</v>
      </c>
      <c r="AI165" s="23">
        <v>2.964</v>
      </c>
      <c r="AJ165" s="23">
        <v>0.90610000000000002</v>
      </c>
      <c r="AK165" s="23"/>
      <c r="AL165" s="24" t="s">
        <v>618</v>
      </c>
      <c r="AM165" s="24"/>
      <c r="AN165" s="24"/>
      <c r="AO165" s="24" t="str">
        <f t="shared" si="23"/>
        <v/>
      </c>
    </row>
    <row r="166" spans="1:41" x14ac:dyDescent="0.3">
      <c r="A166" s="24" t="s">
        <v>238</v>
      </c>
      <c r="B166" s="24" t="s">
        <v>436</v>
      </c>
      <c r="C166" s="30" t="s">
        <v>616</v>
      </c>
      <c r="D166" s="26">
        <v>18.899999999999999</v>
      </c>
      <c r="E166" s="34" t="s">
        <v>39</v>
      </c>
      <c r="F166" s="27" t="s">
        <v>54</v>
      </c>
      <c r="G166" s="28">
        <v>44453</v>
      </c>
      <c r="H166" s="28">
        <v>44477</v>
      </c>
      <c r="I166" s="24">
        <v>12</v>
      </c>
      <c r="J166" s="24" t="s">
        <v>33</v>
      </c>
      <c r="K166" s="24" t="s">
        <v>618</v>
      </c>
      <c r="L166" s="24" t="str">
        <f t="shared" si="16"/>
        <v>Not tested</v>
      </c>
      <c r="M166" s="23" t="s">
        <v>44</v>
      </c>
      <c r="N166" s="23" t="str">
        <f t="shared" si="17"/>
        <v/>
      </c>
      <c r="O166" s="24" t="s">
        <v>620</v>
      </c>
      <c r="P166" s="23">
        <v>3.5</v>
      </c>
      <c r="Q166" s="29">
        <v>0.14169999999999999</v>
      </c>
      <c r="R166" s="29"/>
      <c r="S166" s="24" t="s">
        <v>618</v>
      </c>
      <c r="T166" s="24" t="str">
        <f t="shared" si="18"/>
        <v>Technical failure</v>
      </c>
      <c r="U166" s="24" t="s">
        <v>44</v>
      </c>
      <c r="V166" s="24" t="str">
        <f t="shared" si="19"/>
        <v/>
      </c>
      <c r="W166" s="24" t="s">
        <v>620</v>
      </c>
      <c r="X166" s="23">
        <v>3.468</v>
      </c>
      <c r="Y166" s="23">
        <v>3.6998000000000002</v>
      </c>
      <c r="Z166" s="23"/>
      <c r="AA166" s="24" t="s">
        <v>619</v>
      </c>
      <c r="AB166" s="24" t="str">
        <f t="shared" si="20"/>
        <v>Upper censored</v>
      </c>
      <c r="AC166" s="23" t="s">
        <v>35</v>
      </c>
      <c r="AD166" s="23" t="s">
        <v>561</v>
      </c>
      <c r="AE166" s="23" t="str">
        <f t="shared" si="21"/>
        <v/>
      </c>
      <c r="AF166" s="23"/>
      <c r="AG166" s="23" t="str">
        <f t="shared" si="22"/>
        <v/>
      </c>
      <c r="AH166" s="24" t="s">
        <v>619</v>
      </c>
      <c r="AI166" s="23">
        <v>2.9710000000000001</v>
      </c>
      <c r="AJ166" s="23">
        <v>1.7231000000000001</v>
      </c>
      <c r="AK166" s="23">
        <v>1.7934000000000001</v>
      </c>
      <c r="AL166" s="24" t="s">
        <v>619</v>
      </c>
      <c r="AM166" s="24">
        <v>210</v>
      </c>
      <c r="AN166" s="24">
        <v>0</v>
      </c>
      <c r="AO166" s="24">
        <f t="shared" si="23"/>
        <v>120</v>
      </c>
    </row>
    <row r="167" spans="1:41" x14ac:dyDescent="0.3">
      <c r="A167" s="24" t="s">
        <v>240</v>
      </c>
      <c r="B167" s="24" t="s">
        <v>436</v>
      </c>
      <c r="C167" s="30" t="s">
        <v>616</v>
      </c>
      <c r="D167" s="26">
        <v>17.899999999999999</v>
      </c>
      <c r="E167" s="34" t="s">
        <v>39</v>
      </c>
      <c r="F167" s="27" t="s">
        <v>54</v>
      </c>
      <c r="G167" s="28">
        <v>44453</v>
      </c>
      <c r="H167" s="28">
        <v>44482</v>
      </c>
      <c r="I167" s="24">
        <v>15</v>
      </c>
      <c r="J167" s="24" t="s">
        <v>43</v>
      </c>
      <c r="K167" s="24" t="s">
        <v>619</v>
      </c>
      <c r="L167" s="24" t="str">
        <f t="shared" si="16"/>
        <v>Not tested</v>
      </c>
      <c r="M167" s="23" t="s">
        <v>44</v>
      </c>
      <c r="N167" s="23" t="str">
        <f t="shared" si="17"/>
        <v/>
      </c>
      <c r="O167" s="24" t="s">
        <v>620</v>
      </c>
      <c r="P167" s="23">
        <v>3.5</v>
      </c>
      <c r="Q167" s="29">
        <v>7.0000000000000007E-2</v>
      </c>
      <c r="R167" s="29"/>
      <c r="S167" s="24" t="s">
        <v>618</v>
      </c>
      <c r="T167" s="24" t="str">
        <f t="shared" si="18"/>
        <v>Upper censored</v>
      </c>
      <c r="U167" s="24" t="s">
        <v>35</v>
      </c>
      <c r="V167" s="24" t="str">
        <f t="shared" si="19"/>
        <v/>
      </c>
      <c r="W167" s="24" t="s">
        <v>619</v>
      </c>
      <c r="X167" s="23">
        <v>3.1240000000000001</v>
      </c>
      <c r="Y167" s="23">
        <v>-0.1166</v>
      </c>
      <c r="Z167" s="23"/>
      <c r="AA167" s="24" t="s">
        <v>618</v>
      </c>
      <c r="AB167" s="24" t="str">
        <f t="shared" si="20"/>
        <v>Not tested</v>
      </c>
      <c r="AC167" s="23" t="s">
        <v>44</v>
      </c>
      <c r="AD167" s="23" t="s">
        <v>561</v>
      </c>
      <c r="AE167" s="23" t="str">
        <f t="shared" si="21"/>
        <v/>
      </c>
      <c r="AF167" s="23"/>
      <c r="AG167" s="23" t="str">
        <f t="shared" si="22"/>
        <v/>
      </c>
      <c r="AH167" s="24" t="s">
        <v>620</v>
      </c>
      <c r="AI167" s="23">
        <v>2.972</v>
      </c>
      <c r="AJ167" s="23">
        <v>2.8967000000000001</v>
      </c>
      <c r="AK167" s="23"/>
      <c r="AL167" s="24" t="s">
        <v>619</v>
      </c>
      <c r="AM167" s="24">
        <v>210</v>
      </c>
      <c r="AN167" s="24">
        <v>0</v>
      </c>
      <c r="AO167" s="24" t="str">
        <f t="shared" si="23"/>
        <v/>
      </c>
    </row>
    <row r="168" spans="1:41" x14ac:dyDescent="0.3">
      <c r="A168" s="24" t="s">
        <v>241</v>
      </c>
      <c r="B168" s="24" t="s">
        <v>436</v>
      </c>
      <c r="C168" s="25"/>
      <c r="D168" s="26">
        <v>16.3</v>
      </c>
      <c r="E168" s="34" t="s">
        <v>39</v>
      </c>
      <c r="F168" s="27" t="s">
        <v>54</v>
      </c>
      <c r="G168" s="28">
        <v>44454</v>
      </c>
      <c r="H168" s="28">
        <v>44477</v>
      </c>
      <c r="I168" s="24">
        <v>12</v>
      </c>
      <c r="J168" s="24" t="s">
        <v>33</v>
      </c>
      <c r="K168" s="24" t="s">
        <v>619</v>
      </c>
      <c r="L168" s="24" t="str">
        <f t="shared" si="16"/>
        <v>Not tested</v>
      </c>
      <c r="M168" s="23" t="s">
        <v>44</v>
      </c>
      <c r="N168" s="23" t="str">
        <f t="shared" si="17"/>
        <v/>
      </c>
      <c r="O168" s="24" t="s">
        <v>620</v>
      </c>
      <c r="P168" s="23">
        <v>3.5</v>
      </c>
      <c r="Q168" s="29">
        <v>1.5553999999999999</v>
      </c>
      <c r="R168" s="29"/>
      <c r="S168" s="24" t="s">
        <v>619</v>
      </c>
      <c r="T168" s="24" t="str">
        <f t="shared" si="18"/>
        <v>Upper censored</v>
      </c>
      <c r="U168" s="24" t="s">
        <v>35</v>
      </c>
      <c r="V168" s="24" t="str">
        <f t="shared" si="19"/>
        <v/>
      </c>
      <c r="W168" s="24" t="s">
        <v>619</v>
      </c>
      <c r="X168" s="23">
        <v>3.4929999999999999</v>
      </c>
      <c r="Y168" s="23">
        <v>6.0716999999999999</v>
      </c>
      <c r="Z168" s="23"/>
      <c r="AA168" s="24" t="s">
        <v>619</v>
      </c>
      <c r="AB168" s="24" t="str">
        <f t="shared" si="20"/>
        <v>Not tested</v>
      </c>
      <c r="AC168" s="23" t="s">
        <v>44</v>
      </c>
      <c r="AD168" s="23" t="s">
        <v>561</v>
      </c>
      <c r="AE168" s="23" t="str">
        <f t="shared" si="21"/>
        <v/>
      </c>
      <c r="AF168" s="23"/>
      <c r="AG168" s="23" t="str">
        <f t="shared" si="22"/>
        <v/>
      </c>
      <c r="AH168" s="24" t="s">
        <v>620</v>
      </c>
      <c r="AI168" s="23">
        <v>2.9780000000000002</v>
      </c>
      <c r="AJ168" s="23">
        <v>3.093</v>
      </c>
      <c r="AK168" s="23"/>
      <c r="AL168" s="24" t="s">
        <v>619</v>
      </c>
      <c r="AM168" s="24">
        <v>210</v>
      </c>
      <c r="AN168" s="24">
        <v>0</v>
      </c>
      <c r="AO168" s="24" t="str">
        <f t="shared" si="23"/>
        <v/>
      </c>
    </row>
    <row r="169" spans="1:41" x14ac:dyDescent="0.3">
      <c r="A169" s="24" t="s">
        <v>242</v>
      </c>
      <c r="B169" s="24" t="s">
        <v>436</v>
      </c>
      <c r="C169" s="25" t="s">
        <v>615</v>
      </c>
      <c r="D169" s="26">
        <v>18.5</v>
      </c>
      <c r="E169" s="34" t="s">
        <v>39</v>
      </c>
      <c r="F169" s="27" t="s">
        <v>54</v>
      </c>
      <c r="G169" s="28">
        <v>44453</v>
      </c>
      <c r="H169" s="28">
        <v>44480</v>
      </c>
      <c r="I169" s="24">
        <v>12</v>
      </c>
      <c r="J169" s="24" t="s">
        <v>33</v>
      </c>
      <c r="K169" s="24" t="s">
        <v>618</v>
      </c>
      <c r="L169" s="24" t="str">
        <f t="shared" si="16"/>
        <v>Not tested</v>
      </c>
      <c r="M169" s="23" t="s">
        <v>44</v>
      </c>
      <c r="N169" s="23" t="str">
        <f t="shared" si="17"/>
        <v/>
      </c>
      <c r="O169" s="24" t="s">
        <v>620</v>
      </c>
      <c r="P169" s="23">
        <v>3.5</v>
      </c>
      <c r="Q169" s="29">
        <v>0.99550000000000005</v>
      </c>
      <c r="R169" s="29"/>
      <c r="S169" s="24" t="s">
        <v>618</v>
      </c>
      <c r="T169" s="24" t="str">
        <f t="shared" si="18"/>
        <v>Upper censored</v>
      </c>
      <c r="U169" s="24" t="s">
        <v>35</v>
      </c>
      <c r="V169" s="24" t="str">
        <f t="shared" si="19"/>
        <v/>
      </c>
      <c r="W169" s="24" t="s">
        <v>619</v>
      </c>
      <c r="X169" s="23">
        <v>3.5</v>
      </c>
      <c r="Y169" s="23">
        <v>6.7610999999999999</v>
      </c>
      <c r="Z169" s="23"/>
      <c r="AA169" s="24" t="s">
        <v>619</v>
      </c>
      <c r="AB169" s="24" t="str">
        <f t="shared" si="20"/>
        <v>Upper censored</v>
      </c>
      <c r="AC169" s="23" t="s">
        <v>35</v>
      </c>
      <c r="AD169" s="23" t="s">
        <v>561</v>
      </c>
      <c r="AE169" s="23" t="str">
        <f t="shared" si="21"/>
        <v/>
      </c>
      <c r="AF169" s="23"/>
      <c r="AG169" s="23" t="str">
        <f t="shared" si="22"/>
        <v/>
      </c>
      <c r="AH169" s="24" t="s">
        <v>619</v>
      </c>
      <c r="AI169" s="23">
        <v>2.9820000000000002</v>
      </c>
      <c r="AJ169" s="23">
        <v>3.1183000000000001</v>
      </c>
      <c r="AK169" s="23"/>
      <c r="AL169" s="24" t="s">
        <v>619</v>
      </c>
      <c r="AM169" s="24">
        <v>210</v>
      </c>
      <c r="AN169" s="24">
        <v>0</v>
      </c>
      <c r="AO169" s="24">
        <f t="shared" si="23"/>
        <v>120</v>
      </c>
    </row>
    <row r="170" spans="1:41" x14ac:dyDescent="0.3">
      <c r="A170" s="24" t="s">
        <v>243</v>
      </c>
      <c r="B170" s="24" t="s">
        <v>614</v>
      </c>
      <c r="C170" s="25" t="s">
        <v>615</v>
      </c>
      <c r="D170" s="26">
        <v>15.7</v>
      </c>
      <c r="E170" s="34" t="s">
        <v>41</v>
      </c>
      <c r="F170" s="27" t="s">
        <v>54</v>
      </c>
      <c r="G170" s="28">
        <v>44454</v>
      </c>
      <c r="H170" s="28">
        <v>44476</v>
      </c>
      <c r="I170" s="24">
        <v>15</v>
      </c>
      <c r="J170" s="24" t="s">
        <v>43</v>
      </c>
      <c r="K170" s="24" t="s">
        <v>618</v>
      </c>
      <c r="L170" s="24" t="str">
        <f t="shared" si="16"/>
        <v>Not tested</v>
      </c>
      <c r="M170" s="23" t="s">
        <v>44</v>
      </c>
      <c r="N170" s="23" t="str">
        <f t="shared" si="17"/>
        <v/>
      </c>
      <c r="O170" s="24" t="s">
        <v>620</v>
      </c>
      <c r="P170" s="23">
        <v>3.5</v>
      </c>
      <c r="Q170" s="29">
        <v>5.9200000000000003E-2</v>
      </c>
      <c r="R170" s="29"/>
      <c r="S170" s="24" t="s">
        <v>618</v>
      </c>
      <c r="T170" s="24" t="str">
        <f t="shared" si="18"/>
        <v>Normal</v>
      </c>
      <c r="U170" s="24">
        <v>0.65569999999999995</v>
      </c>
      <c r="V170" s="24">
        <f t="shared" si="19"/>
        <v>0.65569999999999995</v>
      </c>
      <c r="W170" s="24" t="s">
        <v>618</v>
      </c>
      <c r="X170" s="23">
        <v>3.5</v>
      </c>
      <c r="Y170" s="23">
        <v>7.1400000000000005E-2</v>
      </c>
      <c r="Z170" s="23"/>
      <c r="AA170" s="24" t="s">
        <v>618</v>
      </c>
      <c r="AB170" s="24" t="str">
        <f t="shared" si="20"/>
        <v>Normal</v>
      </c>
      <c r="AC170" s="23">
        <v>12967</v>
      </c>
      <c r="AD170" s="23">
        <v>1.2967</v>
      </c>
      <c r="AE170" s="23" t="str">
        <f t="shared" si="21"/>
        <v/>
      </c>
      <c r="AF170" s="23"/>
      <c r="AG170" s="23" t="str">
        <f t="shared" si="22"/>
        <v/>
      </c>
      <c r="AH170" s="24" t="s">
        <v>618</v>
      </c>
      <c r="AI170" s="23">
        <v>2.984</v>
      </c>
      <c r="AJ170" s="23">
        <v>-5.1999999999999998E-3</v>
      </c>
      <c r="AK170" s="23"/>
      <c r="AL170" s="24" t="s">
        <v>618</v>
      </c>
      <c r="AM170" s="24"/>
      <c r="AN170" s="24"/>
      <c r="AO170" s="24" t="str">
        <f t="shared" si="23"/>
        <v/>
      </c>
    </row>
    <row r="171" spans="1:41" x14ac:dyDescent="0.3">
      <c r="A171" s="24" t="s">
        <v>244</v>
      </c>
      <c r="B171" s="24" t="s">
        <v>614</v>
      </c>
      <c r="C171" s="25"/>
      <c r="D171" s="26">
        <v>21.8</v>
      </c>
      <c r="E171" s="34" t="s">
        <v>31</v>
      </c>
      <c r="F171" s="27" t="s">
        <v>54</v>
      </c>
      <c r="G171" s="28">
        <v>44453</v>
      </c>
      <c r="H171" s="28">
        <v>44477</v>
      </c>
      <c r="I171" s="24">
        <v>12</v>
      </c>
      <c r="J171" s="24" t="s">
        <v>33</v>
      </c>
      <c r="K171" s="24" t="s">
        <v>618</v>
      </c>
      <c r="L171" s="24" t="str">
        <f t="shared" si="16"/>
        <v>Not tested</v>
      </c>
      <c r="M171" s="23" t="s">
        <v>44</v>
      </c>
      <c r="N171" s="23" t="str">
        <f t="shared" si="17"/>
        <v/>
      </c>
      <c r="O171" s="24" t="s">
        <v>620</v>
      </c>
      <c r="P171" s="23">
        <v>3.5</v>
      </c>
      <c r="Q171" s="29">
        <v>2.0872999999999999</v>
      </c>
      <c r="R171" s="29">
        <v>2.1987000000000001</v>
      </c>
      <c r="S171" s="24" t="s">
        <v>619</v>
      </c>
      <c r="T171" s="24" t="str">
        <f t="shared" si="18"/>
        <v>Technical failure</v>
      </c>
      <c r="U171" s="24" t="s">
        <v>44</v>
      </c>
      <c r="V171" s="24" t="str">
        <f t="shared" si="19"/>
        <v/>
      </c>
      <c r="W171" s="24" t="s">
        <v>620</v>
      </c>
      <c r="X171" s="23">
        <v>3.42</v>
      </c>
      <c r="Y171" s="23">
        <v>0.96860000000000002</v>
      </c>
      <c r="Z171" s="23"/>
      <c r="AA171" s="24" t="s">
        <v>618</v>
      </c>
      <c r="AB171" s="24" t="str">
        <f t="shared" si="20"/>
        <v>Upper censored</v>
      </c>
      <c r="AC171" s="23" t="s">
        <v>35</v>
      </c>
      <c r="AD171" s="23" t="s">
        <v>561</v>
      </c>
      <c r="AE171" s="23" t="str">
        <f t="shared" si="21"/>
        <v/>
      </c>
      <c r="AF171" s="23"/>
      <c r="AG171" s="23" t="str">
        <f t="shared" si="22"/>
        <v/>
      </c>
      <c r="AH171" s="24" t="s">
        <v>619</v>
      </c>
      <c r="AI171" s="23">
        <v>2.99</v>
      </c>
      <c r="AJ171" s="23">
        <v>6.952</v>
      </c>
      <c r="AK171" s="23">
        <v>6.7828999999999997</v>
      </c>
      <c r="AL171" s="24" t="s">
        <v>619</v>
      </c>
      <c r="AM171" s="24">
        <v>210</v>
      </c>
      <c r="AN171" s="24">
        <v>0</v>
      </c>
      <c r="AO171" s="24">
        <f t="shared" si="23"/>
        <v>120</v>
      </c>
    </row>
    <row r="172" spans="1:41" x14ac:dyDescent="0.3">
      <c r="A172" s="24" t="s">
        <v>247</v>
      </c>
      <c r="B172" s="24" t="s">
        <v>614</v>
      </c>
      <c r="C172" s="25"/>
      <c r="D172" s="26">
        <v>20.2</v>
      </c>
      <c r="E172" s="34" t="s">
        <v>39</v>
      </c>
      <c r="F172" s="27" t="s">
        <v>54</v>
      </c>
      <c r="G172" s="28">
        <v>44454</v>
      </c>
      <c r="H172" s="28">
        <v>44476</v>
      </c>
      <c r="I172" s="24">
        <v>15</v>
      </c>
      <c r="J172" s="24" t="s">
        <v>43</v>
      </c>
      <c r="K172" s="24" t="s">
        <v>618</v>
      </c>
      <c r="L172" s="24" t="str">
        <f t="shared" si="16"/>
        <v>Not tested</v>
      </c>
      <c r="M172" s="23" t="s">
        <v>44</v>
      </c>
      <c r="N172" s="23" t="str">
        <f t="shared" si="17"/>
        <v/>
      </c>
      <c r="O172" s="24" t="s">
        <v>620</v>
      </c>
      <c r="P172" s="23">
        <v>3.5</v>
      </c>
      <c r="Q172" s="29">
        <v>8.6699999999999999E-2</v>
      </c>
      <c r="R172" s="29"/>
      <c r="S172" s="24" t="s">
        <v>618</v>
      </c>
      <c r="T172" s="24" t="str">
        <f t="shared" si="18"/>
        <v>Upper censored</v>
      </c>
      <c r="U172" s="24" t="s">
        <v>35</v>
      </c>
      <c r="V172" s="24" t="str">
        <f t="shared" si="19"/>
        <v/>
      </c>
      <c r="W172" s="24" t="s">
        <v>619</v>
      </c>
      <c r="X172" s="23">
        <v>3.4529999999999998</v>
      </c>
      <c r="Y172" s="23">
        <v>5.3600000000000002E-2</v>
      </c>
      <c r="Z172" s="23"/>
      <c r="AA172" s="24" t="s">
        <v>618</v>
      </c>
      <c r="AB172" s="24" t="str">
        <f t="shared" si="20"/>
        <v>Not tested</v>
      </c>
      <c r="AC172" s="23" t="s">
        <v>44</v>
      </c>
      <c r="AD172" s="23" t="s">
        <v>561</v>
      </c>
      <c r="AE172" s="23" t="str">
        <f t="shared" si="21"/>
        <v/>
      </c>
      <c r="AF172" s="23"/>
      <c r="AG172" s="23" t="str">
        <f t="shared" si="22"/>
        <v/>
      </c>
      <c r="AH172" s="24" t="s">
        <v>620</v>
      </c>
      <c r="AI172" s="23">
        <v>2.9910000000000001</v>
      </c>
      <c r="AJ172" s="23">
        <v>2.419</v>
      </c>
      <c r="AK172" s="23"/>
      <c r="AL172" s="24" t="s">
        <v>619</v>
      </c>
      <c r="AM172" s="24">
        <v>210</v>
      </c>
      <c r="AN172" s="24">
        <v>0</v>
      </c>
      <c r="AO172" s="24" t="str">
        <f t="shared" si="23"/>
        <v/>
      </c>
    </row>
    <row r="173" spans="1:41" x14ac:dyDescent="0.3">
      <c r="A173" s="24" t="s">
        <v>248</v>
      </c>
      <c r="B173" s="24" t="s">
        <v>614</v>
      </c>
      <c r="C173" s="30"/>
      <c r="D173" s="26">
        <v>18</v>
      </c>
      <c r="E173" s="34" t="s">
        <v>39</v>
      </c>
      <c r="F173" s="27" t="s">
        <v>54</v>
      </c>
      <c r="G173" s="28">
        <v>44453</v>
      </c>
      <c r="H173" s="28">
        <v>44477</v>
      </c>
      <c r="I173" s="24">
        <v>12</v>
      </c>
      <c r="J173" s="24" t="s">
        <v>33</v>
      </c>
      <c r="K173" s="24" t="s">
        <v>618</v>
      </c>
      <c r="L173" s="24" t="str">
        <f t="shared" si="16"/>
        <v>Not tested</v>
      </c>
      <c r="M173" s="23" t="s">
        <v>44</v>
      </c>
      <c r="N173" s="23" t="str">
        <f t="shared" si="17"/>
        <v/>
      </c>
      <c r="O173" s="24" t="s">
        <v>620</v>
      </c>
      <c r="P173" s="23">
        <v>3.5</v>
      </c>
      <c r="Q173" s="29">
        <v>9.9299999999999999E-2</v>
      </c>
      <c r="R173" s="29"/>
      <c r="S173" s="24" t="s">
        <v>618</v>
      </c>
      <c r="T173" s="24" t="str">
        <f t="shared" si="18"/>
        <v>Technical failure</v>
      </c>
      <c r="U173" s="24" t="s">
        <v>44</v>
      </c>
      <c r="V173" s="24" t="str">
        <f t="shared" si="19"/>
        <v/>
      </c>
      <c r="W173" s="24" t="s">
        <v>620</v>
      </c>
      <c r="X173" s="23">
        <v>2.3149999999999999</v>
      </c>
      <c r="Y173" s="23">
        <v>0.5605</v>
      </c>
      <c r="Z173" s="23"/>
      <c r="AA173" s="24" t="s">
        <v>618</v>
      </c>
      <c r="AB173" s="24" t="str">
        <f t="shared" si="20"/>
        <v>Upper censored</v>
      </c>
      <c r="AC173" s="24" t="s">
        <v>35</v>
      </c>
      <c r="AD173" s="23" t="s">
        <v>561</v>
      </c>
      <c r="AE173" s="23" t="str">
        <f t="shared" si="21"/>
        <v/>
      </c>
      <c r="AF173" s="24"/>
      <c r="AG173" s="23" t="str">
        <f t="shared" si="22"/>
        <v/>
      </c>
      <c r="AH173" s="24" t="s">
        <v>619</v>
      </c>
      <c r="AI173" s="23">
        <v>2.9969999999999999</v>
      </c>
      <c r="AJ173" s="23">
        <v>1.2273000000000001</v>
      </c>
      <c r="AK173" s="23"/>
      <c r="AL173" s="24" t="s">
        <v>619</v>
      </c>
      <c r="AM173" s="24">
        <v>210</v>
      </c>
      <c r="AN173" s="24">
        <v>0</v>
      </c>
      <c r="AO173" s="24">
        <f t="shared" si="23"/>
        <v>120</v>
      </c>
    </row>
    <row r="174" spans="1:41" x14ac:dyDescent="0.3">
      <c r="A174" s="24" t="s">
        <v>249</v>
      </c>
      <c r="B174" s="24" t="s">
        <v>436</v>
      </c>
      <c r="C174" s="25" t="s">
        <v>615</v>
      </c>
      <c r="D174" s="26">
        <v>23.8</v>
      </c>
      <c r="E174" s="34" t="s">
        <v>31</v>
      </c>
      <c r="F174" s="27" t="s">
        <v>54</v>
      </c>
      <c r="G174" s="28">
        <v>44453</v>
      </c>
      <c r="H174" s="28">
        <v>44477</v>
      </c>
      <c r="I174" s="24">
        <v>12</v>
      </c>
      <c r="J174" s="24" t="s">
        <v>33</v>
      </c>
      <c r="K174" s="24" t="s">
        <v>619</v>
      </c>
      <c r="L174" s="24" t="str">
        <f t="shared" si="16"/>
        <v>Not tested</v>
      </c>
      <c r="M174" s="23" t="s">
        <v>44</v>
      </c>
      <c r="N174" s="23" t="str">
        <f t="shared" si="17"/>
        <v/>
      </c>
      <c r="O174" s="24" t="s">
        <v>620</v>
      </c>
      <c r="P174" s="23">
        <v>3.5</v>
      </c>
      <c r="Q174" s="23">
        <v>1.296</v>
      </c>
      <c r="R174" s="23"/>
      <c r="S174" s="23" t="s">
        <v>619</v>
      </c>
      <c r="T174" s="24" t="str">
        <f t="shared" si="18"/>
        <v>Upper censored</v>
      </c>
      <c r="U174" s="24" t="s">
        <v>35</v>
      </c>
      <c r="V174" s="24" t="str">
        <f t="shared" si="19"/>
        <v/>
      </c>
      <c r="W174" s="24" t="s">
        <v>619</v>
      </c>
      <c r="X174" s="23">
        <v>3.5</v>
      </c>
      <c r="Y174" s="23">
        <v>0.8</v>
      </c>
      <c r="Z174" s="23"/>
      <c r="AA174" s="24" t="s">
        <v>618</v>
      </c>
      <c r="AB174" s="24" t="str">
        <f t="shared" si="20"/>
        <v>Upper censored</v>
      </c>
      <c r="AC174" s="23" t="s">
        <v>35</v>
      </c>
      <c r="AD174" s="23" t="s">
        <v>561</v>
      </c>
      <c r="AE174" s="23" t="str">
        <f t="shared" si="21"/>
        <v/>
      </c>
      <c r="AF174" s="23"/>
      <c r="AG174" s="23" t="str">
        <f t="shared" si="22"/>
        <v/>
      </c>
      <c r="AH174" s="24" t="s">
        <v>619</v>
      </c>
      <c r="AI174" s="23">
        <v>3</v>
      </c>
      <c r="AJ174" s="23">
        <v>6.1169000000000002</v>
      </c>
      <c r="AK174" s="23"/>
      <c r="AL174" s="24" t="s">
        <v>619</v>
      </c>
      <c r="AM174" s="24">
        <v>210</v>
      </c>
      <c r="AN174" s="24">
        <v>0</v>
      </c>
      <c r="AO174" s="24">
        <f t="shared" si="23"/>
        <v>120</v>
      </c>
    </row>
    <row r="175" spans="1:41" x14ac:dyDescent="0.3">
      <c r="A175" s="24" t="s">
        <v>250</v>
      </c>
      <c r="B175" s="24" t="s">
        <v>436</v>
      </c>
      <c r="C175" s="30"/>
      <c r="D175" s="26">
        <v>16.8</v>
      </c>
      <c r="E175" s="34" t="s">
        <v>39</v>
      </c>
      <c r="F175" s="27" t="s">
        <v>54</v>
      </c>
      <c r="G175" s="28">
        <v>44453</v>
      </c>
      <c r="H175" s="28">
        <v>44477</v>
      </c>
      <c r="I175" s="24">
        <v>12</v>
      </c>
      <c r="J175" s="24" t="s">
        <v>33</v>
      </c>
      <c r="K175" s="24" t="s">
        <v>618</v>
      </c>
      <c r="L175" s="24" t="str">
        <f t="shared" si="16"/>
        <v>Not tested</v>
      </c>
      <c r="M175" s="23" t="s">
        <v>44</v>
      </c>
      <c r="N175" s="23" t="str">
        <f t="shared" si="17"/>
        <v/>
      </c>
      <c r="O175" s="24" t="s">
        <v>620</v>
      </c>
      <c r="P175" s="23">
        <v>3.5</v>
      </c>
      <c r="Q175" s="29">
        <v>0.48370000000000002</v>
      </c>
      <c r="R175" s="29"/>
      <c r="S175" s="24" t="s">
        <v>618</v>
      </c>
      <c r="T175" s="24" t="str">
        <f t="shared" si="18"/>
        <v>Upper censored</v>
      </c>
      <c r="U175" s="24" t="s">
        <v>35</v>
      </c>
      <c r="V175" s="24" t="str">
        <f t="shared" si="19"/>
        <v/>
      </c>
      <c r="W175" s="24" t="s">
        <v>619</v>
      </c>
      <c r="X175" s="23">
        <v>3.294</v>
      </c>
      <c r="Y175" s="23">
        <v>0.32290000000000002</v>
      </c>
      <c r="Z175" s="23"/>
      <c r="AA175" s="24" t="s">
        <v>618</v>
      </c>
      <c r="AB175" s="24" t="str">
        <f t="shared" si="20"/>
        <v>Normal</v>
      </c>
      <c r="AC175" s="24">
        <v>76.87</v>
      </c>
      <c r="AD175" s="23">
        <v>76.87</v>
      </c>
      <c r="AE175" s="23" t="str">
        <f t="shared" si="21"/>
        <v/>
      </c>
      <c r="AF175" s="24"/>
      <c r="AG175" s="23" t="str">
        <f t="shared" si="22"/>
        <v/>
      </c>
      <c r="AH175" s="24" t="s">
        <v>619</v>
      </c>
      <c r="AI175" s="23">
        <v>3.004</v>
      </c>
      <c r="AJ175" s="23">
        <v>0.15290000000000001</v>
      </c>
      <c r="AK175" s="23"/>
      <c r="AL175" s="24" t="s">
        <v>618</v>
      </c>
      <c r="AM175" s="24">
        <v>182</v>
      </c>
      <c r="AN175" s="24">
        <v>1</v>
      </c>
      <c r="AO175" s="24" t="str">
        <f t="shared" si="23"/>
        <v/>
      </c>
    </row>
    <row r="176" spans="1:41" x14ac:dyDescent="0.3">
      <c r="A176" s="24" t="s">
        <v>251</v>
      </c>
      <c r="B176" s="24" t="s">
        <v>436</v>
      </c>
      <c r="C176" s="30"/>
      <c r="D176" s="26">
        <v>18.7</v>
      </c>
      <c r="E176" s="34" t="s">
        <v>39</v>
      </c>
      <c r="F176" s="27" t="s">
        <v>54</v>
      </c>
      <c r="G176" s="28">
        <v>44453</v>
      </c>
      <c r="H176" s="28">
        <v>44482</v>
      </c>
      <c r="I176" s="24">
        <v>15</v>
      </c>
      <c r="J176" s="24" t="s">
        <v>43</v>
      </c>
      <c r="K176" s="24" t="s">
        <v>618</v>
      </c>
      <c r="L176" s="24" t="str">
        <f t="shared" si="16"/>
        <v>Not tested</v>
      </c>
      <c r="M176" s="23" t="s">
        <v>44</v>
      </c>
      <c r="N176" s="23" t="str">
        <f t="shared" si="17"/>
        <v/>
      </c>
      <c r="O176" s="24" t="s">
        <v>620</v>
      </c>
      <c r="P176" s="23">
        <v>3.5</v>
      </c>
      <c r="Q176" s="29">
        <v>7.9799999999999996E-2</v>
      </c>
      <c r="R176" s="29"/>
      <c r="S176" s="24" t="s">
        <v>618</v>
      </c>
      <c r="T176" s="24" t="str">
        <f t="shared" si="18"/>
        <v>Upper censored</v>
      </c>
      <c r="U176" s="24" t="s">
        <v>35</v>
      </c>
      <c r="V176" s="24" t="str">
        <f t="shared" si="19"/>
        <v/>
      </c>
      <c r="W176" s="24" t="s">
        <v>619</v>
      </c>
      <c r="X176" s="23">
        <v>3.464</v>
      </c>
      <c r="Y176" s="23">
        <v>0.11210000000000001</v>
      </c>
      <c r="Z176" s="23"/>
      <c r="AA176" s="24" t="s">
        <v>618</v>
      </c>
      <c r="AB176" s="24" t="str">
        <f t="shared" si="20"/>
        <v>Not tested</v>
      </c>
      <c r="AC176" s="23" t="s">
        <v>44</v>
      </c>
      <c r="AD176" s="23" t="s">
        <v>561</v>
      </c>
      <c r="AE176" s="23" t="str">
        <f t="shared" si="21"/>
        <v/>
      </c>
      <c r="AF176" s="23"/>
      <c r="AG176" s="23" t="str">
        <f t="shared" si="22"/>
        <v/>
      </c>
      <c r="AH176" s="24" t="s">
        <v>620</v>
      </c>
      <c r="AI176" s="23">
        <v>3.004</v>
      </c>
      <c r="AJ176" s="23">
        <v>2.5806</v>
      </c>
      <c r="AK176" s="23"/>
      <c r="AL176" s="24" t="s">
        <v>619</v>
      </c>
      <c r="AM176" s="24">
        <v>210</v>
      </c>
      <c r="AN176" s="24">
        <v>0</v>
      </c>
      <c r="AO176" s="24" t="str">
        <f t="shared" si="23"/>
        <v/>
      </c>
    </row>
    <row r="177" spans="1:41" x14ac:dyDescent="0.3">
      <c r="A177" s="24" t="s">
        <v>252</v>
      </c>
      <c r="B177" s="24" t="s">
        <v>436</v>
      </c>
      <c r="C177" s="25" t="s">
        <v>615</v>
      </c>
      <c r="D177" s="26">
        <v>19.8</v>
      </c>
      <c r="E177" s="34" t="s">
        <v>39</v>
      </c>
      <c r="F177" s="27" t="s">
        <v>54</v>
      </c>
      <c r="G177" s="28">
        <v>44453</v>
      </c>
      <c r="H177" s="28">
        <v>44477</v>
      </c>
      <c r="I177" s="24">
        <v>12</v>
      </c>
      <c r="J177" s="24" t="s">
        <v>33</v>
      </c>
      <c r="K177" s="24" t="s">
        <v>618</v>
      </c>
      <c r="L177" s="24" t="str">
        <f t="shared" si="16"/>
        <v>Not tested</v>
      </c>
      <c r="M177" s="23" t="s">
        <v>44</v>
      </c>
      <c r="N177" s="23" t="str">
        <f t="shared" si="17"/>
        <v/>
      </c>
      <c r="O177" s="24" t="s">
        <v>620</v>
      </c>
      <c r="P177" s="23">
        <v>3.5</v>
      </c>
      <c r="Q177" s="29">
        <v>0.90990000000000004</v>
      </c>
      <c r="R177" s="29"/>
      <c r="S177" s="24" t="s">
        <v>619</v>
      </c>
      <c r="T177" s="24" t="str">
        <f t="shared" si="18"/>
        <v>Upper censored</v>
      </c>
      <c r="U177" s="24" t="s">
        <v>35</v>
      </c>
      <c r="V177" s="24" t="str">
        <f t="shared" si="19"/>
        <v/>
      </c>
      <c r="W177" s="24" t="s">
        <v>619</v>
      </c>
      <c r="X177" s="23">
        <v>2.9359999999999999</v>
      </c>
      <c r="Y177" s="23">
        <v>0.59409999999999996</v>
      </c>
      <c r="Z177" s="23"/>
      <c r="AA177" s="24" t="s">
        <v>618</v>
      </c>
      <c r="AB177" s="24" t="str">
        <f t="shared" si="20"/>
        <v>Upper censored</v>
      </c>
      <c r="AC177" s="23" t="s">
        <v>35</v>
      </c>
      <c r="AD177" s="23" t="s">
        <v>561</v>
      </c>
      <c r="AE177" s="23" t="str">
        <f t="shared" si="21"/>
        <v/>
      </c>
      <c r="AF177" s="23"/>
      <c r="AG177" s="23" t="str">
        <f t="shared" si="22"/>
        <v/>
      </c>
      <c r="AH177" s="24" t="s">
        <v>619</v>
      </c>
      <c r="AI177" s="23">
        <v>3.0049999999999999</v>
      </c>
      <c r="AJ177" s="23">
        <v>4.0190000000000001</v>
      </c>
      <c r="AK177" s="23"/>
      <c r="AL177" s="24" t="s">
        <v>619</v>
      </c>
      <c r="AM177" s="24">
        <v>210</v>
      </c>
      <c r="AN177" s="24">
        <v>0</v>
      </c>
      <c r="AO177" s="24">
        <f t="shared" si="23"/>
        <v>120</v>
      </c>
    </row>
    <row r="178" spans="1:41" x14ac:dyDescent="0.3">
      <c r="A178" s="24" t="s">
        <v>253</v>
      </c>
      <c r="B178" s="24" t="s">
        <v>436</v>
      </c>
      <c r="C178" s="25"/>
      <c r="D178" s="26">
        <v>24.8</v>
      </c>
      <c r="E178" s="34" t="s">
        <v>31</v>
      </c>
      <c r="F178" s="27" t="s">
        <v>54</v>
      </c>
      <c r="G178" s="28">
        <v>44453</v>
      </c>
      <c r="H178" s="28">
        <v>44477</v>
      </c>
      <c r="I178" s="24">
        <v>12</v>
      </c>
      <c r="J178" s="24" t="s">
        <v>33</v>
      </c>
      <c r="K178" s="24" t="s">
        <v>618</v>
      </c>
      <c r="L178" s="24" t="str">
        <f t="shared" si="16"/>
        <v>Not tested</v>
      </c>
      <c r="M178" s="23" t="s">
        <v>44</v>
      </c>
      <c r="N178" s="23" t="str">
        <f t="shared" si="17"/>
        <v/>
      </c>
      <c r="O178" s="24" t="s">
        <v>620</v>
      </c>
      <c r="P178" s="23">
        <v>3.5</v>
      </c>
      <c r="Q178" s="29">
        <v>0.1096</v>
      </c>
      <c r="R178" s="29"/>
      <c r="S178" s="24" t="s">
        <v>618</v>
      </c>
      <c r="T178" s="24" t="str">
        <f t="shared" si="18"/>
        <v>Normal</v>
      </c>
      <c r="U178" s="24">
        <v>99.099100000000007</v>
      </c>
      <c r="V178" s="24">
        <f t="shared" si="19"/>
        <v>99.099100000000007</v>
      </c>
      <c r="W178" s="24" t="s">
        <v>619</v>
      </c>
      <c r="X178" s="23">
        <v>3.3530000000000002</v>
      </c>
      <c r="Y178" s="23">
        <v>0.1205</v>
      </c>
      <c r="Z178" s="23"/>
      <c r="AA178" s="24" t="s">
        <v>618</v>
      </c>
      <c r="AB178" s="24" t="str">
        <f t="shared" si="20"/>
        <v>Normal</v>
      </c>
      <c r="AC178" s="23">
        <v>497696</v>
      </c>
      <c r="AD178" s="23">
        <v>49.769599999999997</v>
      </c>
      <c r="AE178" s="23" t="str">
        <f t="shared" si="21"/>
        <v/>
      </c>
      <c r="AF178" s="23"/>
      <c r="AG178" s="23" t="str">
        <f t="shared" si="22"/>
        <v/>
      </c>
      <c r="AH178" s="24" t="s">
        <v>619</v>
      </c>
      <c r="AI178" s="23">
        <v>3.008</v>
      </c>
      <c r="AJ178" s="23">
        <v>0.1211</v>
      </c>
      <c r="AK178" s="23"/>
      <c r="AL178" s="24" t="s">
        <v>618</v>
      </c>
      <c r="AM178" s="24">
        <v>92</v>
      </c>
      <c r="AN178" s="24">
        <v>1</v>
      </c>
      <c r="AO178" s="24" t="str">
        <f t="shared" si="23"/>
        <v/>
      </c>
    </row>
    <row r="179" spans="1:41" x14ac:dyDescent="0.3">
      <c r="A179" s="24" t="s">
        <v>254</v>
      </c>
      <c r="B179" s="24" t="s">
        <v>436</v>
      </c>
      <c r="C179" s="25" t="s">
        <v>616</v>
      </c>
      <c r="D179" s="26">
        <v>29.2</v>
      </c>
      <c r="E179" s="34" t="s">
        <v>47</v>
      </c>
      <c r="F179" s="27" t="s">
        <v>54</v>
      </c>
      <c r="G179" s="28">
        <v>44453</v>
      </c>
      <c r="H179" s="28">
        <v>44477</v>
      </c>
      <c r="I179" s="24">
        <v>12</v>
      </c>
      <c r="J179" s="24" t="s">
        <v>33</v>
      </c>
      <c r="K179" s="24" t="s">
        <v>619</v>
      </c>
      <c r="L179" s="24" t="str">
        <f t="shared" si="16"/>
        <v>Not tested</v>
      </c>
      <c r="M179" s="23" t="s">
        <v>44</v>
      </c>
      <c r="N179" s="23" t="str">
        <f t="shared" si="17"/>
        <v/>
      </c>
      <c r="O179" s="24" t="s">
        <v>620</v>
      </c>
      <c r="P179" s="23">
        <v>3.5</v>
      </c>
      <c r="Q179" s="29">
        <v>1.1384000000000001</v>
      </c>
      <c r="R179" s="29"/>
      <c r="S179" s="24" t="s">
        <v>619</v>
      </c>
      <c r="T179" s="24" t="str">
        <f t="shared" si="18"/>
        <v>Upper censored</v>
      </c>
      <c r="U179" s="24" t="s">
        <v>35</v>
      </c>
      <c r="V179" s="24" t="str">
        <f t="shared" si="19"/>
        <v/>
      </c>
      <c r="W179" s="24" t="s">
        <v>619</v>
      </c>
      <c r="X179" s="23">
        <v>3.3420000000000001</v>
      </c>
      <c r="Y179" s="23">
        <v>0.81169999999999998</v>
      </c>
      <c r="Z179" s="23"/>
      <c r="AA179" s="24" t="s">
        <v>618</v>
      </c>
      <c r="AB179" s="24" t="str">
        <f t="shared" si="20"/>
        <v>Upper censored</v>
      </c>
      <c r="AC179" s="23" t="s">
        <v>35</v>
      </c>
      <c r="AD179" s="23" t="s">
        <v>561</v>
      </c>
      <c r="AE179" s="23" t="str">
        <f t="shared" si="21"/>
        <v/>
      </c>
      <c r="AF179" s="23"/>
      <c r="AG179" s="23" t="str">
        <f t="shared" si="22"/>
        <v/>
      </c>
      <c r="AH179" s="24" t="s">
        <v>619</v>
      </c>
      <c r="AI179" s="23">
        <v>3.0110000000000001</v>
      </c>
      <c r="AJ179" s="23">
        <v>0.39460000000000001</v>
      </c>
      <c r="AK179" s="23"/>
      <c r="AL179" s="24" t="s">
        <v>618</v>
      </c>
      <c r="AM179" s="24">
        <v>210</v>
      </c>
      <c r="AN179" s="24">
        <v>0</v>
      </c>
      <c r="AO179" s="24">
        <f t="shared" si="23"/>
        <v>120</v>
      </c>
    </row>
    <row r="180" spans="1:41" x14ac:dyDescent="0.3">
      <c r="A180" s="24" t="s">
        <v>255</v>
      </c>
      <c r="B180" s="24" t="s">
        <v>436</v>
      </c>
      <c r="C180" s="25"/>
      <c r="D180" s="26">
        <v>31.9</v>
      </c>
      <c r="E180" s="34" t="s">
        <v>47</v>
      </c>
      <c r="F180" s="27" t="s">
        <v>54</v>
      </c>
      <c r="G180" s="28">
        <v>44454</v>
      </c>
      <c r="H180" s="28">
        <v>44476</v>
      </c>
      <c r="I180" s="24">
        <v>15</v>
      </c>
      <c r="J180" s="24" t="s">
        <v>43</v>
      </c>
      <c r="K180" s="24" t="s">
        <v>619</v>
      </c>
      <c r="L180" s="24" t="str">
        <f t="shared" si="16"/>
        <v>Not tested</v>
      </c>
      <c r="M180" s="23" t="s">
        <v>44</v>
      </c>
      <c r="N180" s="23" t="str">
        <f t="shared" si="17"/>
        <v/>
      </c>
      <c r="O180" s="24" t="s">
        <v>620</v>
      </c>
      <c r="P180" s="23">
        <v>3.5</v>
      </c>
      <c r="Q180" s="29">
        <v>2.7622</v>
      </c>
      <c r="R180" s="29"/>
      <c r="S180" s="24" t="s">
        <v>619</v>
      </c>
      <c r="T180" s="24" t="str">
        <f t="shared" si="18"/>
        <v>Upper censored</v>
      </c>
      <c r="U180" s="24" t="s">
        <v>35</v>
      </c>
      <c r="V180" s="24" t="str">
        <f t="shared" si="19"/>
        <v/>
      </c>
      <c r="W180" s="24" t="s">
        <v>619</v>
      </c>
      <c r="X180" s="23">
        <v>3.1930000000000001</v>
      </c>
      <c r="Y180" s="23">
        <v>6.9573999999999998</v>
      </c>
      <c r="Z180" s="23"/>
      <c r="AA180" s="24" t="s">
        <v>619</v>
      </c>
      <c r="AB180" s="24" t="str">
        <f t="shared" si="20"/>
        <v>Upper censored</v>
      </c>
      <c r="AC180" s="23" t="s">
        <v>35</v>
      </c>
      <c r="AD180" s="23" t="s">
        <v>561</v>
      </c>
      <c r="AE180" s="23" t="str">
        <f t="shared" si="21"/>
        <v/>
      </c>
      <c r="AF180" s="23"/>
      <c r="AG180" s="23" t="str">
        <f t="shared" si="22"/>
        <v/>
      </c>
      <c r="AH180" s="24" t="s">
        <v>619</v>
      </c>
      <c r="AI180" s="23">
        <v>3.03</v>
      </c>
      <c r="AJ180" s="23">
        <v>4.2954999999999997</v>
      </c>
      <c r="AK180" s="23"/>
      <c r="AL180" s="24" t="s">
        <v>619</v>
      </c>
      <c r="AM180" s="24"/>
      <c r="AN180" s="24"/>
      <c r="AO180" s="24" t="str">
        <f t="shared" si="23"/>
        <v/>
      </c>
    </row>
    <row r="181" spans="1:41" x14ac:dyDescent="0.3">
      <c r="A181" s="24" t="s">
        <v>256</v>
      </c>
      <c r="B181" s="24" t="s">
        <v>614</v>
      </c>
      <c r="C181" s="30" t="s">
        <v>616</v>
      </c>
      <c r="D181" s="26">
        <v>27.5</v>
      </c>
      <c r="E181" s="34" t="s">
        <v>47</v>
      </c>
      <c r="F181" s="27" t="s">
        <v>54</v>
      </c>
      <c r="G181" s="28">
        <v>44453</v>
      </c>
      <c r="H181" s="28">
        <v>44476</v>
      </c>
      <c r="I181" s="24">
        <v>15</v>
      </c>
      <c r="J181" s="24" t="s">
        <v>43</v>
      </c>
      <c r="K181" s="24" t="s">
        <v>618</v>
      </c>
      <c r="L181" s="24" t="str">
        <f t="shared" si="16"/>
        <v>Not tested</v>
      </c>
      <c r="M181" s="23" t="s">
        <v>44</v>
      </c>
      <c r="N181" s="23" t="str">
        <f t="shared" si="17"/>
        <v/>
      </c>
      <c r="O181" s="24" t="s">
        <v>620</v>
      </c>
      <c r="P181" s="23">
        <v>3.5</v>
      </c>
      <c r="Q181" s="29">
        <v>0.79479999999999995</v>
      </c>
      <c r="R181" s="29"/>
      <c r="S181" s="24" t="s">
        <v>618</v>
      </c>
      <c r="T181" s="24" t="str">
        <f t="shared" si="18"/>
        <v>Upper censored</v>
      </c>
      <c r="U181" s="24" t="s">
        <v>35</v>
      </c>
      <c r="V181" s="24" t="str">
        <f t="shared" si="19"/>
        <v/>
      </c>
      <c r="W181" s="24" t="s">
        <v>619</v>
      </c>
      <c r="X181" s="23">
        <v>3.419</v>
      </c>
      <c r="Y181" s="23">
        <v>0.65249999999999997</v>
      </c>
      <c r="Z181" s="23"/>
      <c r="AA181" s="24" t="s">
        <v>618</v>
      </c>
      <c r="AB181" s="24" t="str">
        <f t="shared" si="20"/>
        <v>Upper censored</v>
      </c>
      <c r="AC181" s="23" t="s">
        <v>35</v>
      </c>
      <c r="AD181" s="23" t="s">
        <v>561</v>
      </c>
      <c r="AE181" s="23" t="str">
        <f t="shared" si="21"/>
        <v/>
      </c>
      <c r="AF181" s="23"/>
      <c r="AG181" s="23" t="str">
        <f t="shared" si="22"/>
        <v/>
      </c>
      <c r="AH181" s="24" t="s">
        <v>619</v>
      </c>
      <c r="AI181" s="23">
        <v>3.052</v>
      </c>
      <c r="AJ181" s="23">
        <v>2.1507999999999998</v>
      </c>
      <c r="AK181" s="23"/>
      <c r="AL181" s="24" t="s">
        <v>619</v>
      </c>
      <c r="AM181" s="24">
        <v>210</v>
      </c>
      <c r="AN181" s="24">
        <v>0</v>
      </c>
      <c r="AO181" s="24">
        <f t="shared" si="23"/>
        <v>120</v>
      </c>
    </row>
    <row r="182" spans="1:41" x14ac:dyDescent="0.3">
      <c r="A182" s="24" t="s">
        <v>257</v>
      </c>
      <c r="B182" s="24" t="s">
        <v>436</v>
      </c>
      <c r="C182" s="25"/>
      <c r="D182" s="26">
        <v>15.8</v>
      </c>
      <c r="E182" s="34" t="s">
        <v>41</v>
      </c>
      <c r="F182" s="27" t="s">
        <v>54</v>
      </c>
      <c r="G182" s="28">
        <v>44454</v>
      </c>
      <c r="H182" s="28">
        <v>44476</v>
      </c>
      <c r="I182" s="24">
        <v>15</v>
      </c>
      <c r="J182" s="24" t="s">
        <v>43</v>
      </c>
      <c r="K182" s="24" t="s">
        <v>619</v>
      </c>
      <c r="L182" s="24" t="str">
        <f t="shared" si="16"/>
        <v>Not tested</v>
      </c>
      <c r="M182" s="23" t="s">
        <v>44</v>
      </c>
      <c r="N182" s="23" t="str">
        <f t="shared" si="17"/>
        <v/>
      </c>
      <c r="O182" s="24" t="s">
        <v>620</v>
      </c>
      <c r="P182" s="23">
        <v>3.5</v>
      </c>
      <c r="Q182" s="29">
        <v>0.1633</v>
      </c>
      <c r="R182" s="29"/>
      <c r="S182" s="24" t="s">
        <v>618</v>
      </c>
      <c r="T182" s="24" t="str">
        <f t="shared" si="18"/>
        <v>Technical failure</v>
      </c>
      <c r="U182" s="24" t="s">
        <v>44</v>
      </c>
      <c r="V182" s="24" t="str">
        <f t="shared" si="19"/>
        <v/>
      </c>
      <c r="W182" s="24" t="s">
        <v>620</v>
      </c>
      <c r="X182" s="23">
        <v>3.5</v>
      </c>
      <c r="Y182" s="23">
        <v>1.9554</v>
      </c>
      <c r="Z182" s="23"/>
      <c r="AA182" s="24" t="s">
        <v>618</v>
      </c>
      <c r="AB182" s="24" t="str">
        <f t="shared" si="20"/>
        <v>Not tested</v>
      </c>
      <c r="AC182" s="23" t="s">
        <v>44</v>
      </c>
      <c r="AD182" s="23" t="s">
        <v>561</v>
      </c>
      <c r="AE182" s="23" t="str">
        <f t="shared" si="21"/>
        <v/>
      </c>
      <c r="AF182" s="23"/>
      <c r="AG182" s="23" t="str">
        <f t="shared" si="22"/>
        <v/>
      </c>
      <c r="AH182" s="24" t="s">
        <v>620</v>
      </c>
      <c r="AI182" s="23">
        <v>3.0539999999999998</v>
      </c>
      <c r="AJ182" s="23">
        <v>0.85170000000000001</v>
      </c>
      <c r="AK182" s="23"/>
      <c r="AL182" s="24" t="s">
        <v>618</v>
      </c>
      <c r="AM182" s="24">
        <v>210</v>
      </c>
      <c r="AN182" s="24">
        <v>0</v>
      </c>
      <c r="AO182" s="24" t="str">
        <f t="shared" si="23"/>
        <v/>
      </c>
    </row>
    <row r="183" spans="1:41" x14ac:dyDescent="0.3">
      <c r="A183" s="24" t="s">
        <v>258</v>
      </c>
      <c r="B183" s="24" t="s">
        <v>436</v>
      </c>
      <c r="C183" s="25" t="s">
        <v>616</v>
      </c>
      <c r="D183" s="26">
        <v>16.100000000000001</v>
      </c>
      <c r="E183" s="34" t="s">
        <v>39</v>
      </c>
      <c r="F183" s="27" t="s">
        <v>54</v>
      </c>
      <c r="G183" s="28">
        <v>44453</v>
      </c>
      <c r="H183" s="28">
        <v>44477</v>
      </c>
      <c r="I183" s="24">
        <v>12</v>
      </c>
      <c r="J183" s="24" t="s">
        <v>33</v>
      </c>
      <c r="K183" s="24" t="s">
        <v>618</v>
      </c>
      <c r="L183" s="24" t="str">
        <f t="shared" si="16"/>
        <v>Not tested</v>
      </c>
      <c r="M183" s="23" t="s">
        <v>44</v>
      </c>
      <c r="N183" s="23" t="str">
        <f t="shared" si="17"/>
        <v/>
      </c>
      <c r="O183" s="24" t="s">
        <v>620</v>
      </c>
      <c r="P183" s="23">
        <v>3.5</v>
      </c>
      <c r="Q183" s="29">
        <v>2.222</v>
      </c>
      <c r="R183" s="29"/>
      <c r="S183" s="24" t="s">
        <v>619</v>
      </c>
      <c r="T183" s="24" t="str">
        <f t="shared" si="18"/>
        <v>Technical failure</v>
      </c>
      <c r="U183" s="24" t="s">
        <v>44</v>
      </c>
      <c r="V183" s="24" t="str">
        <f t="shared" si="19"/>
        <v/>
      </c>
      <c r="W183" s="24" t="s">
        <v>620</v>
      </c>
      <c r="X183" s="23">
        <v>3.105</v>
      </c>
      <c r="Y183" s="23">
        <v>1.4614</v>
      </c>
      <c r="Z183" s="23"/>
      <c r="AA183" s="24" t="s">
        <v>619</v>
      </c>
      <c r="AB183" s="24" t="str">
        <f t="shared" si="20"/>
        <v>Upper censored</v>
      </c>
      <c r="AC183" s="23" t="s">
        <v>35</v>
      </c>
      <c r="AD183" s="23" t="s">
        <v>561</v>
      </c>
      <c r="AE183" s="23" t="str">
        <f t="shared" si="21"/>
        <v/>
      </c>
      <c r="AF183" s="23"/>
      <c r="AG183" s="23" t="str">
        <f t="shared" si="22"/>
        <v/>
      </c>
      <c r="AH183" s="24" t="s">
        <v>619</v>
      </c>
      <c r="AI183" s="23">
        <v>3.0569999999999999</v>
      </c>
      <c r="AJ183" s="23">
        <v>0.94059999999999999</v>
      </c>
      <c r="AK183" s="23"/>
      <c r="AL183" s="24" t="s">
        <v>618</v>
      </c>
      <c r="AM183" s="24">
        <v>210</v>
      </c>
      <c r="AN183" s="24">
        <v>0</v>
      </c>
      <c r="AO183" s="24">
        <f t="shared" si="23"/>
        <v>120</v>
      </c>
    </row>
    <row r="184" spans="1:41" x14ac:dyDescent="0.3">
      <c r="A184" s="24" t="s">
        <v>259</v>
      </c>
      <c r="B184" s="24" t="s">
        <v>436</v>
      </c>
      <c r="C184" s="25"/>
      <c r="D184" s="26">
        <v>17.8</v>
      </c>
      <c r="E184" s="34" t="s">
        <v>39</v>
      </c>
      <c r="F184" s="27" t="s">
        <v>54</v>
      </c>
      <c r="G184" s="28">
        <v>44454</v>
      </c>
      <c r="H184" s="28">
        <v>44476</v>
      </c>
      <c r="I184" s="24">
        <v>15</v>
      </c>
      <c r="J184" s="24" t="s">
        <v>43</v>
      </c>
      <c r="K184" s="24" t="s">
        <v>618</v>
      </c>
      <c r="L184" s="24" t="str">
        <f t="shared" si="16"/>
        <v>Not tested</v>
      </c>
      <c r="M184" s="23" t="s">
        <v>44</v>
      </c>
      <c r="N184" s="23" t="str">
        <f t="shared" si="17"/>
        <v/>
      </c>
      <c r="O184" s="24" t="s">
        <v>620</v>
      </c>
      <c r="P184" s="23">
        <v>3.5</v>
      </c>
      <c r="Q184" s="29">
        <v>0.45639999999999997</v>
      </c>
      <c r="R184" s="29"/>
      <c r="S184" s="24" t="s">
        <v>618</v>
      </c>
      <c r="T184" s="24" t="str">
        <f t="shared" si="18"/>
        <v>Upper censored</v>
      </c>
      <c r="U184" s="24" t="s">
        <v>35</v>
      </c>
      <c r="V184" s="24" t="str">
        <f t="shared" si="19"/>
        <v/>
      </c>
      <c r="W184" s="24" t="s">
        <v>619</v>
      </c>
      <c r="X184" s="23">
        <v>3.5</v>
      </c>
      <c r="Y184" s="23">
        <v>6.0067000000000004</v>
      </c>
      <c r="Z184" s="23"/>
      <c r="AA184" s="24" t="s">
        <v>619</v>
      </c>
      <c r="AB184" s="24" t="str">
        <f t="shared" si="20"/>
        <v>Upper censored</v>
      </c>
      <c r="AC184" s="23" t="s">
        <v>35</v>
      </c>
      <c r="AD184" s="23" t="s">
        <v>561</v>
      </c>
      <c r="AE184" s="23" t="str">
        <f t="shared" si="21"/>
        <v/>
      </c>
      <c r="AF184" s="23"/>
      <c r="AG184" s="23" t="str">
        <f t="shared" si="22"/>
        <v/>
      </c>
      <c r="AH184" s="24" t="s">
        <v>619</v>
      </c>
      <c r="AI184" s="23">
        <v>3.0630000000000002</v>
      </c>
      <c r="AJ184" s="23">
        <v>1.9759</v>
      </c>
      <c r="AK184" s="23"/>
      <c r="AL184" s="24" t="s">
        <v>619</v>
      </c>
      <c r="AM184" s="24">
        <v>210</v>
      </c>
      <c r="AN184" s="24">
        <v>0</v>
      </c>
      <c r="AO184" s="24">
        <f t="shared" si="23"/>
        <v>120</v>
      </c>
    </row>
    <row r="185" spans="1:41" x14ac:dyDescent="0.3">
      <c r="A185" s="24" t="s">
        <v>260</v>
      </c>
      <c r="B185" s="24" t="s">
        <v>614</v>
      </c>
      <c r="C185" s="25" t="s">
        <v>616</v>
      </c>
      <c r="D185" s="26">
        <v>19.2</v>
      </c>
      <c r="E185" s="34" t="s">
        <v>39</v>
      </c>
      <c r="F185" s="27" t="s">
        <v>54</v>
      </c>
      <c r="G185" s="28">
        <v>44453</v>
      </c>
      <c r="H185" s="28">
        <v>44477</v>
      </c>
      <c r="I185" s="24">
        <v>11</v>
      </c>
      <c r="J185" s="24" t="s">
        <v>33</v>
      </c>
      <c r="K185" s="24" t="s">
        <v>618</v>
      </c>
      <c r="L185" s="24" t="str">
        <f t="shared" si="16"/>
        <v>Not tested</v>
      </c>
      <c r="M185" s="23" t="s">
        <v>44</v>
      </c>
      <c r="N185" s="23" t="str">
        <f t="shared" si="17"/>
        <v/>
      </c>
      <c r="O185" s="24" t="s">
        <v>620</v>
      </c>
      <c r="P185" s="23">
        <v>3.5</v>
      </c>
      <c r="Q185" s="29">
        <v>2.1173000000000002</v>
      </c>
      <c r="R185" s="29"/>
      <c r="S185" s="24" t="s">
        <v>619</v>
      </c>
      <c r="T185" s="24" t="str">
        <f t="shared" si="18"/>
        <v>Technical failure</v>
      </c>
      <c r="U185" s="24" t="s">
        <v>44</v>
      </c>
      <c r="V185" s="24" t="str">
        <f t="shared" si="19"/>
        <v/>
      </c>
      <c r="W185" s="24" t="s">
        <v>620</v>
      </c>
      <c r="X185" s="23">
        <v>3.5</v>
      </c>
      <c r="Y185" s="23">
        <v>1.9095</v>
      </c>
      <c r="Z185" s="23"/>
      <c r="AA185" s="24" t="s">
        <v>619</v>
      </c>
      <c r="AB185" s="24" t="str">
        <f t="shared" si="20"/>
        <v>Not tested</v>
      </c>
      <c r="AC185" s="23" t="s">
        <v>44</v>
      </c>
      <c r="AD185" s="23" t="s">
        <v>561</v>
      </c>
      <c r="AE185" s="23" t="str">
        <f t="shared" si="21"/>
        <v/>
      </c>
      <c r="AF185" s="23"/>
      <c r="AG185" s="23" t="str">
        <f t="shared" si="22"/>
        <v/>
      </c>
      <c r="AH185" s="24" t="s">
        <v>620</v>
      </c>
      <c r="AI185" s="23">
        <v>3.089</v>
      </c>
      <c r="AJ185" s="23">
        <v>7.0434000000000001</v>
      </c>
      <c r="AK185" s="23">
        <v>7.1736000000000004</v>
      </c>
      <c r="AL185" s="24" t="s">
        <v>619</v>
      </c>
      <c r="AM185" s="24">
        <v>210</v>
      </c>
      <c r="AN185" s="24">
        <v>0</v>
      </c>
      <c r="AO185" s="24" t="str">
        <f t="shared" si="23"/>
        <v/>
      </c>
    </row>
    <row r="186" spans="1:41" x14ac:dyDescent="0.3">
      <c r="A186" s="24" t="s">
        <v>262</v>
      </c>
      <c r="B186" s="24" t="s">
        <v>436</v>
      </c>
      <c r="C186" s="30" t="s">
        <v>616</v>
      </c>
      <c r="D186" s="26">
        <v>25.9</v>
      </c>
      <c r="E186" s="34" t="s">
        <v>47</v>
      </c>
      <c r="F186" s="27" t="s">
        <v>54</v>
      </c>
      <c r="G186" s="28">
        <v>44453</v>
      </c>
      <c r="H186" s="28">
        <v>44504</v>
      </c>
      <c r="I186" s="24">
        <v>12</v>
      </c>
      <c r="J186" s="24" t="s">
        <v>33</v>
      </c>
      <c r="K186" s="24" t="s">
        <v>618</v>
      </c>
      <c r="L186" s="24" t="str">
        <f t="shared" si="16"/>
        <v>Not tested</v>
      </c>
      <c r="M186" s="23" t="s">
        <v>44</v>
      </c>
      <c r="N186" s="23" t="str">
        <f t="shared" si="17"/>
        <v/>
      </c>
      <c r="O186" s="24" t="s">
        <v>620</v>
      </c>
      <c r="P186" s="23">
        <v>3.5</v>
      </c>
      <c r="Q186" s="29">
        <v>9.1200000000000003E-2</v>
      </c>
      <c r="R186" s="29"/>
      <c r="S186" s="24" t="s">
        <v>618</v>
      </c>
      <c r="T186" s="24" t="str">
        <f t="shared" si="18"/>
        <v>Technical failure</v>
      </c>
      <c r="U186" s="24" t="s">
        <v>44</v>
      </c>
      <c r="V186" s="24" t="str">
        <f t="shared" si="19"/>
        <v/>
      </c>
      <c r="W186" s="24" t="s">
        <v>620</v>
      </c>
      <c r="X186" s="23">
        <v>3.5</v>
      </c>
      <c r="Y186" s="23">
        <v>2.3094000000000001</v>
      </c>
      <c r="Z186" s="23"/>
      <c r="AA186" s="24" t="s">
        <v>619</v>
      </c>
      <c r="AB186" s="24" t="str">
        <f t="shared" si="20"/>
        <v>Upper censored</v>
      </c>
      <c r="AC186" s="23" t="s">
        <v>35</v>
      </c>
      <c r="AD186" s="23" t="s">
        <v>561</v>
      </c>
      <c r="AE186" s="23" t="str">
        <f t="shared" si="21"/>
        <v/>
      </c>
      <c r="AF186" s="23"/>
      <c r="AG186" s="23" t="str">
        <f t="shared" si="22"/>
        <v/>
      </c>
      <c r="AH186" s="24" t="s">
        <v>619</v>
      </c>
      <c r="AI186" s="23">
        <v>3.0910000000000002</v>
      </c>
      <c r="AJ186" s="23">
        <v>0.70040000000000002</v>
      </c>
      <c r="AK186" s="23"/>
      <c r="AL186" s="24" t="s">
        <v>618</v>
      </c>
      <c r="AM186" s="24">
        <v>210</v>
      </c>
      <c r="AN186" s="24">
        <v>0</v>
      </c>
      <c r="AO186" s="24">
        <f t="shared" si="23"/>
        <v>120</v>
      </c>
    </row>
    <row r="187" spans="1:41" x14ac:dyDescent="0.3">
      <c r="A187" s="24" t="s">
        <v>263</v>
      </c>
      <c r="B187" s="24" t="s">
        <v>614</v>
      </c>
      <c r="C187" s="25"/>
      <c r="D187" s="26">
        <v>15.5</v>
      </c>
      <c r="E187" s="34" t="s">
        <v>41</v>
      </c>
      <c r="F187" s="27" t="s">
        <v>54</v>
      </c>
      <c r="G187" s="28">
        <v>44453</v>
      </c>
      <c r="H187" s="28">
        <v>44477</v>
      </c>
      <c r="I187" s="24">
        <v>14</v>
      </c>
      <c r="J187" s="24" t="s">
        <v>43</v>
      </c>
      <c r="K187" s="24" t="s">
        <v>618</v>
      </c>
      <c r="L187" s="24" t="str">
        <f t="shared" si="16"/>
        <v>Not tested</v>
      </c>
      <c r="M187" s="23" t="s">
        <v>44</v>
      </c>
      <c r="N187" s="23" t="str">
        <f t="shared" si="17"/>
        <v/>
      </c>
      <c r="O187" s="24" t="s">
        <v>620</v>
      </c>
      <c r="P187" s="23">
        <v>3.5</v>
      </c>
      <c r="Q187" s="29">
        <v>0.54949999999999999</v>
      </c>
      <c r="R187" s="29"/>
      <c r="S187" s="24" t="s">
        <v>618</v>
      </c>
      <c r="T187" s="24" t="str">
        <f t="shared" si="18"/>
        <v>Upper censored</v>
      </c>
      <c r="U187" s="24" t="s">
        <v>35</v>
      </c>
      <c r="V187" s="24" t="str">
        <f t="shared" si="19"/>
        <v/>
      </c>
      <c r="W187" s="24" t="s">
        <v>619</v>
      </c>
      <c r="X187" s="23">
        <v>3.3879999999999999</v>
      </c>
      <c r="Y187" s="23">
        <v>5.2141000000000002</v>
      </c>
      <c r="Z187" s="23"/>
      <c r="AA187" s="24" t="s">
        <v>619</v>
      </c>
      <c r="AB187" s="24" t="str">
        <f t="shared" si="20"/>
        <v>Upper censored</v>
      </c>
      <c r="AC187" s="23" t="s">
        <v>35</v>
      </c>
      <c r="AD187" s="23" t="s">
        <v>561</v>
      </c>
      <c r="AE187" s="23" t="str">
        <f t="shared" si="21"/>
        <v/>
      </c>
      <c r="AF187" s="23"/>
      <c r="AG187" s="23" t="str">
        <f t="shared" si="22"/>
        <v/>
      </c>
      <c r="AH187" s="24" t="s">
        <v>619</v>
      </c>
      <c r="AI187" s="23">
        <v>3.1030000000000002</v>
      </c>
      <c r="AJ187" s="23">
        <v>2.4384999999999999</v>
      </c>
      <c r="AK187" s="23"/>
      <c r="AL187" s="24" t="s">
        <v>619</v>
      </c>
      <c r="AM187" s="24"/>
      <c r="AN187" s="24"/>
      <c r="AO187" s="24" t="str">
        <f t="shared" si="23"/>
        <v/>
      </c>
    </row>
    <row r="188" spans="1:41" x14ac:dyDescent="0.3">
      <c r="A188" s="24" t="s">
        <v>264</v>
      </c>
      <c r="B188" s="24" t="s">
        <v>436</v>
      </c>
      <c r="C188" s="25" t="s">
        <v>616</v>
      </c>
      <c r="D188" s="26">
        <v>23.1</v>
      </c>
      <c r="E188" s="34" t="s">
        <v>31</v>
      </c>
      <c r="F188" s="27" t="s">
        <v>54</v>
      </c>
      <c r="G188" s="28">
        <v>44453</v>
      </c>
      <c r="H188" s="28">
        <v>44477</v>
      </c>
      <c r="I188" s="24">
        <v>12</v>
      </c>
      <c r="J188" s="24" t="s">
        <v>33</v>
      </c>
      <c r="K188" s="24" t="s">
        <v>619</v>
      </c>
      <c r="L188" s="24" t="str">
        <f t="shared" si="16"/>
        <v>Not tested</v>
      </c>
      <c r="M188" s="23" t="s">
        <v>44</v>
      </c>
      <c r="N188" s="23" t="str">
        <f t="shared" si="17"/>
        <v/>
      </c>
      <c r="O188" s="24" t="s">
        <v>620</v>
      </c>
      <c r="P188" s="23">
        <v>3.5</v>
      </c>
      <c r="Q188" s="29">
        <v>1.0403</v>
      </c>
      <c r="R188" s="29"/>
      <c r="S188" s="24" t="s">
        <v>618</v>
      </c>
      <c r="T188" s="24" t="str">
        <f t="shared" si="18"/>
        <v>Normal</v>
      </c>
      <c r="U188" s="24">
        <v>5.2971000000000004</v>
      </c>
      <c r="V188" s="24">
        <f t="shared" si="19"/>
        <v>5.2971000000000004</v>
      </c>
      <c r="W188" s="24" t="s">
        <v>618</v>
      </c>
      <c r="X188" s="23">
        <v>3.4660000000000002</v>
      </c>
      <c r="Y188" s="23">
        <v>0.40210000000000001</v>
      </c>
      <c r="Z188" s="23"/>
      <c r="AA188" s="24" t="s">
        <v>618</v>
      </c>
      <c r="AB188" s="24" t="str">
        <f t="shared" si="20"/>
        <v>Normal</v>
      </c>
      <c r="AC188" s="23">
        <v>579263</v>
      </c>
      <c r="AD188" s="23">
        <v>57.926299999999998</v>
      </c>
      <c r="AE188" s="23" t="str">
        <f t="shared" si="21"/>
        <v/>
      </c>
      <c r="AF188" s="23"/>
      <c r="AG188" s="23" t="str">
        <f t="shared" si="22"/>
        <v/>
      </c>
      <c r="AH188" s="24" t="s">
        <v>619</v>
      </c>
      <c r="AI188" s="23">
        <v>3.109</v>
      </c>
      <c r="AJ188" s="23">
        <v>2.8809999999999998</v>
      </c>
      <c r="AK188" s="23"/>
      <c r="AL188" s="24" t="s">
        <v>619</v>
      </c>
      <c r="AM188" s="24"/>
      <c r="AN188" s="24"/>
      <c r="AO188" s="24" t="str">
        <f t="shared" si="23"/>
        <v/>
      </c>
    </row>
    <row r="189" spans="1:41" x14ac:dyDescent="0.3">
      <c r="A189" s="24" t="s">
        <v>265</v>
      </c>
      <c r="B189" s="24" t="s">
        <v>614</v>
      </c>
      <c r="C189" s="30"/>
      <c r="D189" s="26">
        <v>16.7</v>
      </c>
      <c r="E189" s="34" t="s">
        <v>39</v>
      </c>
      <c r="F189" s="27" t="s">
        <v>54</v>
      </c>
      <c r="G189" s="28">
        <v>44453</v>
      </c>
      <c r="H189" s="28">
        <v>44477</v>
      </c>
      <c r="I189" s="24">
        <v>12</v>
      </c>
      <c r="J189" s="24" t="s">
        <v>33</v>
      </c>
      <c r="K189" s="24" t="s">
        <v>618</v>
      </c>
      <c r="L189" s="24" t="str">
        <f t="shared" si="16"/>
        <v>Not tested</v>
      </c>
      <c r="M189" s="23" t="s">
        <v>44</v>
      </c>
      <c r="N189" s="23" t="str">
        <f t="shared" si="17"/>
        <v/>
      </c>
      <c r="O189" s="24" t="s">
        <v>620</v>
      </c>
      <c r="P189" s="23">
        <v>3.5</v>
      </c>
      <c r="Q189" s="29">
        <v>0.38900000000000001</v>
      </c>
      <c r="R189" s="29"/>
      <c r="S189" s="24" t="s">
        <v>618</v>
      </c>
      <c r="T189" s="24" t="str">
        <f t="shared" si="18"/>
        <v>Upper censored</v>
      </c>
      <c r="U189" s="24" t="s">
        <v>35</v>
      </c>
      <c r="V189" s="24" t="str">
        <f t="shared" si="19"/>
        <v/>
      </c>
      <c r="W189" s="24" t="s">
        <v>619</v>
      </c>
      <c r="X189" s="23">
        <v>3.1560000000000001</v>
      </c>
      <c r="Y189" s="23">
        <v>2.9668999999999999</v>
      </c>
      <c r="Z189" s="23"/>
      <c r="AA189" s="24" t="s">
        <v>619</v>
      </c>
      <c r="AB189" s="24" t="str">
        <f t="shared" si="20"/>
        <v>Upper censored</v>
      </c>
      <c r="AC189" s="23" t="s">
        <v>35</v>
      </c>
      <c r="AD189" s="23" t="s">
        <v>561</v>
      </c>
      <c r="AE189" s="23" t="str">
        <f t="shared" si="21"/>
        <v/>
      </c>
      <c r="AF189" s="23"/>
      <c r="AG189" s="23" t="str">
        <f t="shared" si="22"/>
        <v/>
      </c>
      <c r="AH189" s="24" t="s">
        <v>619</v>
      </c>
      <c r="AI189" s="23">
        <v>3.1190000000000002</v>
      </c>
      <c r="AJ189" s="23">
        <v>1.0102</v>
      </c>
      <c r="AK189" s="23"/>
      <c r="AL189" s="24" t="s">
        <v>618</v>
      </c>
      <c r="AM189" s="24">
        <v>210</v>
      </c>
      <c r="AN189" s="24">
        <v>0</v>
      </c>
      <c r="AO189" s="24">
        <f t="shared" si="23"/>
        <v>120</v>
      </c>
    </row>
    <row r="190" spans="1:41" x14ac:dyDescent="0.3">
      <c r="A190" s="24" t="s">
        <v>266</v>
      </c>
      <c r="B190" s="24" t="s">
        <v>614</v>
      </c>
      <c r="C190" s="25" t="s">
        <v>616</v>
      </c>
      <c r="D190" s="26">
        <v>20.9</v>
      </c>
      <c r="E190" s="34" t="s">
        <v>39</v>
      </c>
      <c r="F190" s="27" t="s">
        <v>54</v>
      </c>
      <c r="G190" s="28">
        <v>44453</v>
      </c>
      <c r="H190" s="28">
        <v>44476</v>
      </c>
      <c r="I190" s="24">
        <v>12</v>
      </c>
      <c r="J190" s="24" t="s">
        <v>33</v>
      </c>
      <c r="K190" s="24" t="s">
        <v>618</v>
      </c>
      <c r="L190" s="24" t="str">
        <f t="shared" si="16"/>
        <v>Not tested</v>
      </c>
      <c r="M190" s="23" t="s">
        <v>44</v>
      </c>
      <c r="N190" s="23" t="str">
        <f t="shared" si="17"/>
        <v/>
      </c>
      <c r="O190" s="24" t="s">
        <v>620</v>
      </c>
      <c r="P190" s="23">
        <v>3.5</v>
      </c>
      <c r="Q190" s="29">
        <v>2.6465000000000001</v>
      </c>
      <c r="R190" s="29"/>
      <c r="S190" s="24" t="s">
        <v>619</v>
      </c>
      <c r="T190" s="24" t="str">
        <f t="shared" si="18"/>
        <v>Upper censored</v>
      </c>
      <c r="U190" s="24" t="s">
        <v>35</v>
      </c>
      <c r="V190" s="24" t="str">
        <f t="shared" si="19"/>
        <v/>
      </c>
      <c r="W190" s="24" t="s">
        <v>619</v>
      </c>
      <c r="X190" s="23">
        <v>3.5</v>
      </c>
      <c r="Y190" s="23">
        <v>5.1473000000000004</v>
      </c>
      <c r="Z190" s="23"/>
      <c r="AA190" s="24" t="s">
        <v>618</v>
      </c>
      <c r="AB190" s="24" t="str">
        <f t="shared" si="20"/>
        <v>Normal</v>
      </c>
      <c r="AC190" s="23">
        <v>99095</v>
      </c>
      <c r="AD190" s="23">
        <v>9.9094999999999995</v>
      </c>
      <c r="AE190" s="23" t="str">
        <f t="shared" si="21"/>
        <v/>
      </c>
      <c r="AF190" s="23"/>
      <c r="AG190" s="23" t="str">
        <f t="shared" si="22"/>
        <v/>
      </c>
      <c r="AH190" s="24" t="s">
        <v>619</v>
      </c>
      <c r="AI190" s="23">
        <v>3.133</v>
      </c>
      <c r="AJ190" s="23">
        <v>1.8448</v>
      </c>
      <c r="AK190" s="23"/>
      <c r="AL190" s="24" t="s">
        <v>619</v>
      </c>
      <c r="AM190" s="24"/>
      <c r="AN190" s="24"/>
      <c r="AO190" s="24" t="str">
        <f t="shared" si="23"/>
        <v/>
      </c>
    </row>
    <row r="191" spans="1:41" x14ac:dyDescent="0.3">
      <c r="A191" s="24" t="s">
        <v>267</v>
      </c>
      <c r="B191" s="24" t="s">
        <v>614</v>
      </c>
      <c r="C191" s="25"/>
      <c r="D191" s="26">
        <v>27.2</v>
      </c>
      <c r="E191" s="34" t="s">
        <v>47</v>
      </c>
      <c r="F191" s="27" t="s">
        <v>54</v>
      </c>
      <c r="G191" s="28">
        <v>44453</v>
      </c>
      <c r="H191" s="28">
        <v>44476</v>
      </c>
      <c r="I191" s="24">
        <v>11</v>
      </c>
      <c r="J191" s="24" t="s">
        <v>33</v>
      </c>
      <c r="K191" s="24" t="s">
        <v>619</v>
      </c>
      <c r="L191" s="24" t="str">
        <f t="shared" si="16"/>
        <v>Not tested</v>
      </c>
      <c r="M191" s="23" t="s">
        <v>44</v>
      </c>
      <c r="N191" s="23" t="str">
        <f t="shared" si="17"/>
        <v/>
      </c>
      <c r="O191" s="24" t="s">
        <v>620</v>
      </c>
      <c r="P191" s="23">
        <v>3.5</v>
      </c>
      <c r="Q191" s="29">
        <v>1.5189999999999999</v>
      </c>
      <c r="R191" s="29"/>
      <c r="S191" s="24" t="s">
        <v>619</v>
      </c>
      <c r="T191" s="24" t="str">
        <f t="shared" si="18"/>
        <v>Upper censored</v>
      </c>
      <c r="U191" s="24" t="s">
        <v>35</v>
      </c>
      <c r="V191" s="24" t="str">
        <f t="shared" si="19"/>
        <v/>
      </c>
      <c r="W191" s="24" t="s">
        <v>619</v>
      </c>
      <c r="X191" s="23">
        <v>2.9689999999999999</v>
      </c>
      <c r="Y191" s="23">
        <v>0.73880000000000001</v>
      </c>
      <c r="Z191" s="23"/>
      <c r="AA191" s="24" t="s">
        <v>618</v>
      </c>
      <c r="AB191" s="24" t="str">
        <f t="shared" si="20"/>
        <v>Upper censored</v>
      </c>
      <c r="AC191" s="23" t="s">
        <v>35</v>
      </c>
      <c r="AD191" s="23" t="s">
        <v>561</v>
      </c>
      <c r="AE191" s="23" t="str">
        <f t="shared" si="21"/>
        <v>Upper censored</v>
      </c>
      <c r="AF191" s="23" t="s">
        <v>35</v>
      </c>
      <c r="AG191" s="23" t="str">
        <f t="shared" si="22"/>
        <v/>
      </c>
      <c r="AH191" s="24" t="s">
        <v>619</v>
      </c>
      <c r="AI191" s="23">
        <v>3.1339999999999999</v>
      </c>
      <c r="AJ191" s="23">
        <v>0.4259</v>
      </c>
      <c r="AK191" s="23"/>
      <c r="AL191" s="24" t="s">
        <v>618</v>
      </c>
      <c r="AM191" s="24">
        <v>210</v>
      </c>
      <c r="AN191" s="24">
        <v>0</v>
      </c>
      <c r="AO191" s="24">
        <f t="shared" si="23"/>
        <v>120</v>
      </c>
    </row>
    <row r="192" spans="1:41" x14ac:dyDescent="0.3">
      <c r="A192" s="24" t="s">
        <v>268</v>
      </c>
      <c r="B192" s="24" t="s">
        <v>436</v>
      </c>
      <c r="C192" s="30" t="s">
        <v>616</v>
      </c>
      <c r="D192" s="26">
        <v>22.2</v>
      </c>
      <c r="E192" s="34" t="s">
        <v>31</v>
      </c>
      <c r="F192" s="27" t="s">
        <v>54</v>
      </c>
      <c r="G192" s="28">
        <v>44453</v>
      </c>
      <c r="H192" s="28">
        <v>44477</v>
      </c>
      <c r="I192" s="24">
        <v>12</v>
      </c>
      <c r="J192" s="24" t="s">
        <v>33</v>
      </c>
      <c r="K192" s="24" t="s">
        <v>619</v>
      </c>
      <c r="L192" s="24" t="str">
        <f t="shared" si="16"/>
        <v>Not tested</v>
      </c>
      <c r="M192" s="23" t="s">
        <v>44</v>
      </c>
      <c r="N192" s="23" t="str">
        <f t="shared" si="17"/>
        <v/>
      </c>
      <c r="O192" s="24" t="s">
        <v>620</v>
      </c>
      <c r="P192" s="23">
        <v>3.5</v>
      </c>
      <c r="Q192" s="29">
        <v>0.1384</v>
      </c>
      <c r="R192" s="29"/>
      <c r="S192" s="24" t="s">
        <v>618</v>
      </c>
      <c r="T192" s="24" t="str">
        <f t="shared" si="18"/>
        <v>Normal</v>
      </c>
      <c r="U192" s="24">
        <v>23.499099999999999</v>
      </c>
      <c r="V192" s="24">
        <f t="shared" si="19"/>
        <v>23.499099999999999</v>
      </c>
      <c r="W192" s="24" t="s">
        <v>619</v>
      </c>
      <c r="X192" s="23">
        <v>2.9359999999999999</v>
      </c>
      <c r="Y192" s="23">
        <v>1.3273999999999999</v>
      </c>
      <c r="Z192" s="23"/>
      <c r="AA192" s="24" t="s">
        <v>619</v>
      </c>
      <c r="AB192" s="24" t="str">
        <f t="shared" si="20"/>
        <v>Not tested</v>
      </c>
      <c r="AC192" s="24" t="s">
        <v>44</v>
      </c>
      <c r="AD192" s="23" t="s">
        <v>561</v>
      </c>
      <c r="AE192" s="23" t="str">
        <f t="shared" si="21"/>
        <v/>
      </c>
      <c r="AF192" s="24"/>
      <c r="AG192" s="23" t="str">
        <f t="shared" si="22"/>
        <v/>
      </c>
      <c r="AH192" s="24" t="s">
        <v>620</v>
      </c>
      <c r="AI192" s="23">
        <v>3.145</v>
      </c>
      <c r="AJ192" s="23">
        <v>0.74380000000000002</v>
      </c>
      <c r="AK192" s="23"/>
      <c r="AL192" s="24" t="s">
        <v>618</v>
      </c>
      <c r="AM192" s="24"/>
      <c r="AN192" s="24"/>
      <c r="AO192" s="24" t="str">
        <f t="shared" si="23"/>
        <v/>
      </c>
    </row>
    <row r="193" spans="1:41" x14ac:dyDescent="0.3">
      <c r="A193" s="24" t="s">
        <v>269</v>
      </c>
      <c r="B193" s="24" t="s">
        <v>436</v>
      </c>
      <c r="C193" s="25"/>
      <c r="D193" s="26">
        <v>26.5</v>
      </c>
      <c r="E193" s="34" t="s">
        <v>47</v>
      </c>
      <c r="F193" s="27" t="s">
        <v>54</v>
      </c>
      <c r="G193" s="28">
        <v>44453</v>
      </c>
      <c r="H193" s="28">
        <v>44477</v>
      </c>
      <c r="I193" s="24">
        <v>12</v>
      </c>
      <c r="J193" s="24" t="s">
        <v>33</v>
      </c>
      <c r="K193" s="24" t="s">
        <v>619</v>
      </c>
      <c r="L193" s="24" t="str">
        <f t="shared" si="16"/>
        <v>Not tested</v>
      </c>
      <c r="M193" s="23" t="s">
        <v>44</v>
      </c>
      <c r="N193" s="23" t="str">
        <f t="shared" si="17"/>
        <v/>
      </c>
      <c r="O193" s="24" t="s">
        <v>620</v>
      </c>
      <c r="P193" s="23">
        <v>3.5</v>
      </c>
      <c r="Q193" s="29">
        <v>1.3404</v>
      </c>
      <c r="R193" s="29"/>
      <c r="S193" s="24" t="s">
        <v>619</v>
      </c>
      <c r="T193" s="24" t="str">
        <f t="shared" si="18"/>
        <v>Upper censored</v>
      </c>
      <c r="U193" s="24" t="s">
        <v>35</v>
      </c>
      <c r="V193" s="24" t="str">
        <f t="shared" si="19"/>
        <v/>
      </c>
      <c r="W193" s="24" t="s">
        <v>619</v>
      </c>
      <c r="X193" s="23">
        <v>3.3410000000000002</v>
      </c>
      <c r="Y193" s="23">
        <v>5.8722000000000003</v>
      </c>
      <c r="Z193" s="23"/>
      <c r="AA193" s="24" t="s">
        <v>619</v>
      </c>
      <c r="AB193" s="24" t="str">
        <f t="shared" si="20"/>
        <v>Upper censored</v>
      </c>
      <c r="AC193" s="24" t="s">
        <v>35</v>
      </c>
      <c r="AD193" s="23" t="s">
        <v>561</v>
      </c>
      <c r="AE193" s="23" t="str">
        <f t="shared" si="21"/>
        <v/>
      </c>
      <c r="AF193" s="24"/>
      <c r="AG193" s="23" t="str">
        <f t="shared" si="22"/>
        <v/>
      </c>
      <c r="AH193" s="24" t="s">
        <v>619</v>
      </c>
      <c r="AI193" s="23">
        <v>3.1459999999999999</v>
      </c>
      <c r="AJ193" s="23">
        <v>2.5868000000000002</v>
      </c>
      <c r="AK193" s="23"/>
      <c r="AL193" s="24" t="s">
        <v>619</v>
      </c>
      <c r="AM193" s="24"/>
      <c r="AN193" s="24"/>
      <c r="AO193" s="24" t="str">
        <f t="shared" si="23"/>
        <v/>
      </c>
    </row>
    <row r="194" spans="1:41" x14ac:dyDescent="0.3">
      <c r="A194" s="24" t="s">
        <v>270</v>
      </c>
      <c r="B194" s="24" t="s">
        <v>436</v>
      </c>
      <c r="C194" s="25" t="s">
        <v>616</v>
      </c>
      <c r="D194" s="26">
        <v>30</v>
      </c>
      <c r="E194" s="34" t="s">
        <v>47</v>
      </c>
      <c r="F194" s="27" t="s">
        <v>54</v>
      </c>
      <c r="G194" s="28">
        <v>44458</v>
      </c>
      <c r="H194" s="28">
        <v>44477</v>
      </c>
      <c r="I194" s="24">
        <v>16</v>
      </c>
      <c r="J194" s="24" t="s">
        <v>43</v>
      </c>
      <c r="K194" s="24" t="s">
        <v>619</v>
      </c>
      <c r="L194" s="24" t="str">
        <f t="shared" si="16"/>
        <v>Not tested</v>
      </c>
      <c r="M194" s="23" t="s">
        <v>44</v>
      </c>
      <c r="N194" s="23" t="str">
        <f t="shared" si="17"/>
        <v/>
      </c>
      <c r="O194" s="24" t="s">
        <v>620</v>
      </c>
      <c r="P194" s="23">
        <v>3.5</v>
      </c>
      <c r="Q194" s="29">
        <v>9.01E-2</v>
      </c>
      <c r="R194" s="29"/>
      <c r="S194" s="24" t="s">
        <v>618</v>
      </c>
      <c r="T194" s="24" t="str">
        <f t="shared" si="18"/>
        <v>Upper censored</v>
      </c>
      <c r="U194" s="24" t="s">
        <v>35</v>
      </c>
      <c r="V194" s="24" t="str">
        <f t="shared" si="19"/>
        <v/>
      </c>
      <c r="W194" s="24" t="s">
        <v>619</v>
      </c>
      <c r="X194" s="23">
        <v>3.3889999999999998</v>
      </c>
      <c r="Y194" s="23">
        <v>9.9299999999999999E-2</v>
      </c>
      <c r="Z194" s="23"/>
      <c r="AA194" s="24" t="s">
        <v>618</v>
      </c>
      <c r="AB194" s="24" t="str">
        <f t="shared" si="20"/>
        <v>Upper censored</v>
      </c>
      <c r="AC194" s="23" t="s">
        <v>35</v>
      </c>
      <c r="AD194" s="23" t="s">
        <v>561</v>
      </c>
      <c r="AE194" s="23" t="str">
        <f t="shared" si="21"/>
        <v/>
      </c>
      <c r="AF194" s="23"/>
      <c r="AG194" s="23" t="str">
        <f t="shared" si="22"/>
        <v/>
      </c>
      <c r="AH194" s="24" t="s">
        <v>619</v>
      </c>
      <c r="AI194" s="23">
        <v>3.1840000000000002</v>
      </c>
      <c r="AJ194" s="23">
        <v>0.1004</v>
      </c>
      <c r="AK194" s="23">
        <v>0.1086</v>
      </c>
      <c r="AL194" s="24" t="s">
        <v>618</v>
      </c>
      <c r="AM194" s="24">
        <v>210</v>
      </c>
      <c r="AN194" s="24">
        <v>0</v>
      </c>
      <c r="AO194" s="24">
        <f t="shared" si="23"/>
        <v>120</v>
      </c>
    </row>
    <row r="195" spans="1:41" x14ac:dyDescent="0.3">
      <c r="A195" s="24" t="s">
        <v>272</v>
      </c>
      <c r="B195" s="24" t="s">
        <v>436</v>
      </c>
      <c r="C195" s="25" t="s">
        <v>615</v>
      </c>
      <c r="D195" s="26">
        <v>21.7</v>
      </c>
      <c r="E195" s="34" t="s">
        <v>39</v>
      </c>
      <c r="F195" s="27" t="s">
        <v>54</v>
      </c>
      <c r="G195" s="28">
        <v>44453</v>
      </c>
      <c r="H195" s="28">
        <v>44477</v>
      </c>
      <c r="I195" s="24">
        <v>12</v>
      </c>
      <c r="J195" s="24" t="s">
        <v>33</v>
      </c>
      <c r="K195" s="24" t="s">
        <v>618</v>
      </c>
      <c r="L195" s="24" t="str">
        <f t="shared" ref="L195:L258" si="24">IF(LEFT(M195,1)="&gt;","Upper censored",IF(M195="*****","Not tested","Normal"))</f>
        <v>Upper censored</v>
      </c>
      <c r="M195" s="23" t="s">
        <v>35</v>
      </c>
      <c r="N195" s="23" t="str">
        <f t="shared" ref="N195:N258" si="25">IFERROR(VALUE(M195),"")</f>
        <v/>
      </c>
      <c r="O195" s="24" t="s">
        <v>619</v>
      </c>
      <c r="P195" s="23">
        <v>3.5</v>
      </c>
      <c r="Q195" s="29">
        <v>0.79779999999999995</v>
      </c>
      <c r="R195" s="29"/>
      <c r="S195" s="24" t="s">
        <v>618</v>
      </c>
      <c r="T195" s="24" t="str">
        <f t="shared" ref="T195:T258" si="26">IF(LEFT(U195,1)="&gt;","Upper censored",IF(U195="*****","Technical failure","Normal"))</f>
        <v>Normal</v>
      </c>
      <c r="U195" s="24">
        <v>95.549300000000002</v>
      </c>
      <c r="V195" s="24">
        <f t="shared" ref="V195:V258" si="27">IFERROR(VALUE(U195),"")</f>
        <v>95.549300000000002</v>
      </c>
      <c r="W195" s="24" t="s">
        <v>619</v>
      </c>
      <c r="X195" s="23">
        <v>3.5</v>
      </c>
      <c r="Y195" s="23">
        <v>5.4569999999999999</v>
      </c>
      <c r="Z195" s="23"/>
      <c r="AA195" s="24" t="s">
        <v>619</v>
      </c>
      <c r="AB195" s="24" t="str">
        <f t="shared" ref="AB195:AB258" si="28">IF(LEFT(AC195,1)="&gt;","Upper censored",IF(AC195="*****","Not tested","Normal"))</f>
        <v>Normal</v>
      </c>
      <c r="AC195" s="23">
        <v>365217</v>
      </c>
      <c r="AD195" s="23">
        <v>36.521700000000003</v>
      </c>
      <c r="AE195" s="23" t="str">
        <f t="shared" ref="AE195:AE258" si="29">IF(ISBLANK(AF195),"",IF(LEFT(AF195,1)="&gt;","Upper censored",IF(AF195="*****","Not tested","Normal")))</f>
        <v/>
      </c>
      <c r="AF195" s="23"/>
      <c r="AG195" s="23" t="str">
        <f t="shared" ref="AG195:AG258" si="30">IF(ISBLANK(AF195),"",IFERROR(VALUE(AF195),""))</f>
        <v/>
      </c>
      <c r="AH195" s="24" t="s">
        <v>619</v>
      </c>
      <c r="AI195" s="23">
        <v>3.1850000000000001</v>
      </c>
      <c r="AJ195" s="23">
        <v>2.2684000000000002</v>
      </c>
      <c r="AK195" s="23"/>
      <c r="AL195" s="24" t="s">
        <v>619</v>
      </c>
      <c r="AM195" s="24"/>
      <c r="AN195" s="24"/>
      <c r="AO195" s="24" t="str">
        <f t="shared" ref="AO195:AO258" si="31">IF(ISBLANK(AM195),"",IF(AM195=92,IF(T195="Upper censored",120,""),IF(AB195="Upper censored",120,"")))</f>
        <v/>
      </c>
    </row>
    <row r="196" spans="1:41" x14ac:dyDescent="0.3">
      <c r="A196" s="24" t="s">
        <v>273</v>
      </c>
      <c r="B196" s="24" t="s">
        <v>436</v>
      </c>
      <c r="C196" s="30" t="s">
        <v>616</v>
      </c>
      <c r="D196" s="26">
        <v>15.5</v>
      </c>
      <c r="E196" s="34" t="s">
        <v>39</v>
      </c>
      <c r="F196" s="27" t="s">
        <v>54</v>
      </c>
      <c r="G196" s="28">
        <v>44453</v>
      </c>
      <c r="H196" s="28">
        <v>44477</v>
      </c>
      <c r="I196" s="24">
        <v>12</v>
      </c>
      <c r="J196" s="24" t="s">
        <v>33</v>
      </c>
      <c r="K196" s="24" t="s">
        <v>618</v>
      </c>
      <c r="L196" s="24" t="str">
        <f t="shared" si="24"/>
        <v>Not tested</v>
      </c>
      <c r="M196" s="23" t="s">
        <v>44</v>
      </c>
      <c r="N196" s="23" t="str">
        <f t="shared" si="25"/>
        <v/>
      </c>
      <c r="O196" s="24" t="s">
        <v>620</v>
      </c>
      <c r="P196" s="23">
        <v>3.5</v>
      </c>
      <c r="Q196" s="29">
        <v>9.1200000000000003E-2</v>
      </c>
      <c r="R196" s="29"/>
      <c r="S196" s="24" t="s">
        <v>618</v>
      </c>
      <c r="T196" s="24" t="str">
        <f t="shared" si="26"/>
        <v>Technical failure</v>
      </c>
      <c r="U196" s="24" t="s">
        <v>44</v>
      </c>
      <c r="V196" s="24" t="str">
        <f t="shared" si="27"/>
        <v/>
      </c>
      <c r="W196" s="24" t="s">
        <v>620</v>
      </c>
      <c r="X196" s="23">
        <v>3.3490000000000002</v>
      </c>
      <c r="Y196" s="23">
        <v>1.7108000000000001</v>
      </c>
      <c r="Z196" s="23"/>
      <c r="AA196" s="24" t="s">
        <v>619</v>
      </c>
      <c r="AB196" s="24" t="str">
        <f t="shared" si="28"/>
        <v>Upper censored</v>
      </c>
      <c r="AC196" s="23" t="s">
        <v>35</v>
      </c>
      <c r="AD196" s="23" t="s">
        <v>561</v>
      </c>
      <c r="AE196" s="23" t="str">
        <f t="shared" si="29"/>
        <v/>
      </c>
      <c r="AF196" s="23"/>
      <c r="AG196" s="23" t="str">
        <f t="shared" si="30"/>
        <v/>
      </c>
      <c r="AH196" s="24" t="s">
        <v>619</v>
      </c>
      <c r="AI196" s="23">
        <v>3.194</v>
      </c>
      <c r="AJ196" s="23">
        <v>0.89049999999999996</v>
      </c>
      <c r="AK196" s="23"/>
      <c r="AL196" s="24" t="s">
        <v>618</v>
      </c>
      <c r="AM196" s="24">
        <v>210</v>
      </c>
      <c r="AN196" s="24">
        <v>0</v>
      </c>
      <c r="AO196" s="24">
        <f t="shared" si="31"/>
        <v>120</v>
      </c>
    </row>
    <row r="197" spans="1:41" x14ac:dyDescent="0.3">
      <c r="A197" s="24" t="s">
        <v>274</v>
      </c>
      <c r="B197" s="24" t="s">
        <v>436</v>
      </c>
      <c r="C197" s="25"/>
      <c r="D197" s="26">
        <v>32.799999999999997</v>
      </c>
      <c r="E197" s="34" t="s">
        <v>47</v>
      </c>
      <c r="F197" s="27" t="s">
        <v>54</v>
      </c>
      <c r="G197" s="28">
        <v>44453</v>
      </c>
      <c r="H197" s="28">
        <v>44477</v>
      </c>
      <c r="I197" s="24">
        <v>15</v>
      </c>
      <c r="J197" s="24" t="s">
        <v>43</v>
      </c>
      <c r="K197" s="24" t="s">
        <v>619</v>
      </c>
      <c r="L197" s="24" t="str">
        <f t="shared" si="24"/>
        <v>Not tested</v>
      </c>
      <c r="M197" s="23" t="s">
        <v>44</v>
      </c>
      <c r="N197" s="23" t="str">
        <f t="shared" si="25"/>
        <v/>
      </c>
      <c r="O197" s="24" t="s">
        <v>620</v>
      </c>
      <c r="P197" s="23">
        <v>3.5</v>
      </c>
      <c r="Q197" s="29">
        <v>0.23269999999999999</v>
      </c>
      <c r="R197" s="29"/>
      <c r="S197" s="24" t="s">
        <v>618</v>
      </c>
      <c r="T197" s="24" t="str">
        <f t="shared" si="26"/>
        <v>Upper censored</v>
      </c>
      <c r="U197" s="24" t="s">
        <v>35</v>
      </c>
      <c r="V197" s="24" t="str">
        <f t="shared" si="27"/>
        <v/>
      </c>
      <c r="W197" s="24" t="s">
        <v>619</v>
      </c>
      <c r="X197" s="23">
        <v>3.2989999999999999</v>
      </c>
      <c r="Y197" s="24">
        <v>0.30580000000000002</v>
      </c>
      <c r="Z197" s="24">
        <v>0.2656</v>
      </c>
      <c r="AA197" s="24" t="s">
        <v>618</v>
      </c>
      <c r="AB197" s="24" t="str">
        <f t="shared" si="28"/>
        <v>Not tested</v>
      </c>
      <c r="AC197" s="23" t="s">
        <v>44</v>
      </c>
      <c r="AD197" s="23" t="s">
        <v>561</v>
      </c>
      <c r="AE197" s="23" t="str">
        <f t="shared" si="29"/>
        <v/>
      </c>
      <c r="AF197" s="23"/>
      <c r="AG197" s="23" t="str">
        <f t="shared" si="30"/>
        <v/>
      </c>
      <c r="AH197" s="24" t="s">
        <v>620</v>
      </c>
      <c r="AI197" s="23">
        <v>3.2010000000000001</v>
      </c>
      <c r="AJ197" s="23">
        <v>4.1920999999999999</v>
      </c>
      <c r="AK197" s="23"/>
      <c r="AL197" s="24" t="s">
        <v>619</v>
      </c>
      <c r="AM197" s="24">
        <v>210</v>
      </c>
      <c r="AN197" s="24">
        <v>0</v>
      </c>
      <c r="AO197" s="24" t="str">
        <f t="shared" si="31"/>
        <v/>
      </c>
    </row>
    <row r="198" spans="1:41" x14ac:dyDescent="0.3">
      <c r="A198" s="24" t="s">
        <v>276</v>
      </c>
      <c r="B198" s="24" t="s">
        <v>436</v>
      </c>
      <c r="C198" s="25"/>
      <c r="D198" s="26">
        <v>21.5</v>
      </c>
      <c r="E198" s="34" t="s">
        <v>39</v>
      </c>
      <c r="F198" s="27" t="s">
        <v>54</v>
      </c>
      <c r="G198" s="28">
        <v>44458</v>
      </c>
      <c r="H198" s="28">
        <v>44477</v>
      </c>
      <c r="I198" s="24">
        <v>15</v>
      </c>
      <c r="J198" s="24" t="s">
        <v>43</v>
      </c>
      <c r="K198" s="24" t="s">
        <v>619</v>
      </c>
      <c r="L198" s="24" t="str">
        <f t="shared" si="24"/>
        <v>Not tested</v>
      </c>
      <c r="M198" s="23" t="s">
        <v>44</v>
      </c>
      <c r="N198" s="23" t="str">
        <f t="shared" si="25"/>
        <v/>
      </c>
      <c r="O198" s="24" t="s">
        <v>620</v>
      </c>
      <c r="P198" s="23">
        <v>3.5</v>
      </c>
      <c r="Q198" s="29">
        <v>0.32440000000000002</v>
      </c>
      <c r="R198" s="29"/>
      <c r="S198" s="24" t="s">
        <v>618</v>
      </c>
      <c r="T198" s="24" t="str">
        <f t="shared" si="26"/>
        <v>Normal</v>
      </c>
      <c r="U198" s="24">
        <v>0.79490000000000005</v>
      </c>
      <c r="V198" s="24">
        <f t="shared" si="27"/>
        <v>0.79490000000000005</v>
      </c>
      <c r="W198" s="24" t="s">
        <v>618</v>
      </c>
      <c r="X198" s="23">
        <v>3.1150000000000002</v>
      </c>
      <c r="Y198" s="23">
        <v>0.2389</v>
      </c>
      <c r="Z198" s="23"/>
      <c r="AA198" s="24" t="s">
        <v>618</v>
      </c>
      <c r="AB198" s="24" t="str">
        <f t="shared" si="28"/>
        <v>Normal</v>
      </c>
      <c r="AC198" s="23">
        <v>10492</v>
      </c>
      <c r="AD198" s="23">
        <v>1.0491999999999999</v>
      </c>
      <c r="AE198" s="23" t="str">
        <f t="shared" si="29"/>
        <v/>
      </c>
      <c r="AF198" s="23"/>
      <c r="AG198" s="23" t="str">
        <f t="shared" si="30"/>
        <v/>
      </c>
      <c r="AH198" s="24" t="s">
        <v>618</v>
      </c>
      <c r="AI198" s="23">
        <v>3.2160000000000002</v>
      </c>
      <c r="AJ198" s="23">
        <v>0.26790000000000003</v>
      </c>
      <c r="AK198" s="23"/>
      <c r="AL198" s="24" t="s">
        <v>618</v>
      </c>
      <c r="AM198" s="24"/>
      <c r="AN198" s="24"/>
      <c r="AO198" s="24" t="str">
        <f t="shared" si="31"/>
        <v/>
      </c>
    </row>
    <row r="199" spans="1:41" x14ac:dyDescent="0.3">
      <c r="A199" s="24" t="s">
        <v>277</v>
      </c>
      <c r="B199" s="24" t="s">
        <v>436</v>
      </c>
      <c r="C199" s="25" t="s">
        <v>616</v>
      </c>
      <c r="D199" s="26">
        <v>20.399999999999999</v>
      </c>
      <c r="E199" s="34" t="s">
        <v>39</v>
      </c>
      <c r="F199" s="27" t="s">
        <v>54</v>
      </c>
      <c r="G199" s="28">
        <v>44453</v>
      </c>
      <c r="H199" s="28">
        <v>44476</v>
      </c>
      <c r="I199" s="24">
        <v>12</v>
      </c>
      <c r="J199" s="24" t="s">
        <v>33</v>
      </c>
      <c r="K199" s="24" t="s">
        <v>619</v>
      </c>
      <c r="L199" s="24" t="str">
        <f t="shared" si="24"/>
        <v>Not tested</v>
      </c>
      <c r="M199" s="23" t="s">
        <v>44</v>
      </c>
      <c r="N199" s="23" t="str">
        <f t="shared" si="25"/>
        <v/>
      </c>
      <c r="O199" s="24" t="s">
        <v>620</v>
      </c>
      <c r="P199" s="23">
        <v>3.5</v>
      </c>
      <c r="Q199" s="29">
        <v>3.4116</v>
      </c>
      <c r="R199" s="29"/>
      <c r="S199" s="24" t="s">
        <v>619</v>
      </c>
      <c r="T199" s="24" t="str">
        <f t="shared" si="26"/>
        <v>Upper censored</v>
      </c>
      <c r="U199" s="24" t="s">
        <v>35</v>
      </c>
      <c r="V199" s="24" t="str">
        <f t="shared" si="27"/>
        <v/>
      </c>
      <c r="W199" s="24" t="s">
        <v>619</v>
      </c>
      <c r="X199" s="23">
        <v>3.3610000000000002</v>
      </c>
      <c r="Y199" s="23">
        <v>5.7590000000000003</v>
      </c>
      <c r="Z199" s="23"/>
      <c r="AA199" s="24" t="s">
        <v>619</v>
      </c>
      <c r="AB199" s="24" t="str">
        <f t="shared" si="28"/>
        <v>Upper censored</v>
      </c>
      <c r="AC199" s="23" t="s">
        <v>35</v>
      </c>
      <c r="AD199" s="23" t="s">
        <v>561</v>
      </c>
      <c r="AE199" s="23" t="str">
        <f t="shared" si="29"/>
        <v/>
      </c>
      <c r="AF199" s="23"/>
      <c r="AG199" s="23" t="str">
        <f t="shared" si="30"/>
        <v/>
      </c>
      <c r="AH199" s="24" t="s">
        <v>619</v>
      </c>
      <c r="AI199" s="23">
        <v>3.222</v>
      </c>
      <c r="AJ199" s="23">
        <v>4.7253999999999996</v>
      </c>
      <c r="AK199" s="23"/>
      <c r="AL199" s="24" t="s">
        <v>619</v>
      </c>
      <c r="AM199" s="24">
        <v>210</v>
      </c>
      <c r="AN199" s="24">
        <v>0</v>
      </c>
      <c r="AO199" s="24">
        <f t="shared" si="31"/>
        <v>120</v>
      </c>
    </row>
    <row r="200" spans="1:41" x14ac:dyDescent="0.3">
      <c r="A200" s="24" t="s">
        <v>278</v>
      </c>
      <c r="B200" s="24" t="s">
        <v>614</v>
      </c>
      <c r="C200" s="25" t="s">
        <v>616</v>
      </c>
      <c r="D200" s="26">
        <v>20.8</v>
      </c>
      <c r="E200" s="34" t="s">
        <v>39</v>
      </c>
      <c r="F200" s="27" t="s">
        <v>54</v>
      </c>
      <c r="G200" s="28">
        <v>44453</v>
      </c>
      <c r="H200" s="28">
        <v>44477</v>
      </c>
      <c r="I200" s="24">
        <v>12</v>
      </c>
      <c r="J200" s="24" t="s">
        <v>33</v>
      </c>
      <c r="K200" s="24" t="s">
        <v>619</v>
      </c>
      <c r="L200" s="24" t="str">
        <f t="shared" si="24"/>
        <v>Not tested</v>
      </c>
      <c r="M200" s="23" t="s">
        <v>44</v>
      </c>
      <c r="N200" s="23" t="str">
        <f t="shared" si="25"/>
        <v/>
      </c>
      <c r="O200" s="23" t="s">
        <v>620</v>
      </c>
      <c r="P200" s="23">
        <v>3.5</v>
      </c>
      <c r="Q200" s="29">
        <v>0.25330000000000003</v>
      </c>
      <c r="R200" s="29"/>
      <c r="S200" s="24" t="s">
        <v>618</v>
      </c>
      <c r="T200" s="24" t="str">
        <f t="shared" si="26"/>
        <v>Technical failure</v>
      </c>
      <c r="U200" s="24" t="s">
        <v>44</v>
      </c>
      <c r="V200" s="24" t="str">
        <f t="shared" si="27"/>
        <v/>
      </c>
      <c r="W200" s="24" t="s">
        <v>620</v>
      </c>
      <c r="X200" s="23">
        <v>3.4780000000000002</v>
      </c>
      <c r="Y200" s="23">
        <v>1.4632000000000001</v>
      </c>
      <c r="Z200" s="23"/>
      <c r="AA200" s="24" t="s">
        <v>619</v>
      </c>
      <c r="AB200" s="24" t="str">
        <f t="shared" si="28"/>
        <v>Upper censored</v>
      </c>
      <c r="AC200" s="23" t="s">
        <v>35</v>
      </c>
      <c r="AD200" s="23" t="s">
        <v>561</v>
      </c>
      <c r="AE200" s="23" t="str">
        <f t="shared" si="29"/>
        <v/>
      </c>
      <c r="AF200" s="23"/>
      <c r="AG200" s="23" t="str">
        <f t="shared" si="30"/>
        <v/>
      </c>
      <c r="AH200" s="24" t="s">
        <v>619</v>
      </c>
      <c r="AI200" s="23">
        <v>3.222</v>
      </c>
      <c r="AJ200" s="23">
        <v>0.4551</v>
      </c>
      <c r="AK200" s="23"/>
      <c r="AL200" s="24" t="s">
        <v>618</v>
      </c>
      <c r="AM200" s="24">
        <v>210</v>
      </c>
      <c r="AN200" s="24">
        <v>0</v>
      </c>
      <c r="AO200" s="24">
        <f t="shared" si="31"/>
        <v>120</v>
      </c>
    </row>
    <row r="201" spans="1:41" x14ac:dyDescent="0.3">
      <c r="A201" s="24" t="s">
        <v>279</v>
      </c>
      <c r="B201" s="24" t="s">
        <v>614</v>
      </c>
      <c r="C201" s="25" t="s">
        <v>616</v>
      </c>
      <c r="D201" s="26">
        <v>16.399999999999999</v>
      </c>
      <c r="E201" s="34" t="s">
        <v>39</v>
      </c>
      <c r="F201" s="27" t="s">
        <v>54</v>
      </c>
      <c r="G201" s="28">
        <v>44453</v>
      </c>
      <c r="H201" s="28">
        <v>44477</v>
      </c>
      <c r="I201" s="24">
        <v>12</v>
      </c>
      <c r="J201" s="24" t="s">
        <v>33</v>
      </c>
      <c r="K201" s="24" t="s">
        <v>618</v>
      </c>
      <c r="L201" s="24" t="str">
        <f t="shared" si="24"/>
        <v>Not tested</v>
      </c>
      <c r="M201" s="23" t="s">
        <v>44</v>
      </c>
      <c r="N201" s="23" t="str">
        <f t="shared" si="25"/>
        <v/>
      </c>
      <c r="O201" s="24" t="s">
        <v>620</v>
      </c>
      <c r="P201" s="23">
        <v>3.5</v>
      </c>
      <c r="Q201" s="29">
        <v>0.1288</v>
      </c>
      <c r="R201" s="29"/>
      <c r="S201" s="24" t="s">
        <v>618</v>
      </c>
      <c r="T201" s="24" t="str">
        <f t="shared" si="26"/>
        <v>Technical failure</v>
      </c>
      <c r="U201" s="24" t="s">
        <v>44</v>
      </c>
      <c r="V201" s="24" t="str">
        <f t="shared" si="27"/>
        <v/>
      </c>
      <c r="W201" s="24" t="s">
        <v>620</v>
      </c>
      <c r="X201" s="23">
        <v>3.5</v>
      </c>
      <c r="Y201" s="23">
        <v>1.3158000000000001</v>
      </c>
      <c r="Z201" s="23"/>
      <c r="AA201" s="24" t="s">
        <v>619</v>
      </c>
      <c r="AB201" s="24" t="str">
        <f t="shared" si="28"/>
        <v>Upper censored</v>
      </c>
      <c r="AC201" s="23" t="s">
        <v>35</v>
      </c>
      <c r="AD201" s="23" t="s">
        <v>561</v>
      </c>
      <c r="AE201" s="23" t="str">
        <f t="shared" si="29"/>
        <v/>
      </c>
      <c r="AF201" s="23"/>
      <c r="AG201" s="23" t="str">
        <f t="shared" si="30"/>
        <v/>
      </c>
      <c r="AH201" s="24" t="s">
        <v>619</v>
      </c>
      <c r="AI201" s="23">
        <v>3.2240000000000002</v>
      </c>
      <c r="AJ201" s="23">
        <v>0.12939999999999999</v>
      </c>
      <c r="AK201" s="23"/>
      <c r="AL201" s="24" t="s">
        <v>618</v>
      </c>
      <c r="AM201" s="24">
        <v>210</v>
      </c>
      <c r="AN201" s="24">
        <v>0</v>
      </c>
      <c r="AO201" s="24">
        <f t="shared" si="31"/>
        <v>120</v>
      </c>
    </row>
    <row r="202" spans="1:41" x14ac:dyDescent="0.3">
      <c r="A202" s="24" t="s">
        <v>280</v>
      </c>
      <c r="B202" s="24" t="s">
        <v>436</v>
      </c>
      <c r="C202" s="25" t="s">
        <v>616</v>
      </c>
      <c r="D202" s="26">
        <v>29.5</v>
      </c>
      <c r="E202" s="34" t="s">
        <v>47</v>
      </c>
      <c r="F202" s="27" t="s">
        <v>54</v>
      </c>
      <c r="G202" s="28">
        <v>44453</v>
      </c>
      <c r="H202" s="28">
        <v>44477</v>
      </c>
      <c r="I202" s="24">
        <v>12</v>
      </c>
      <c r="J202" s="24" t="s">
        <v>33</v>
      </c>
      <c r="K202" s="24" t="s">
        <v>619</v>
      </c>
      <c r="L202" s="24" t="str">
        <f t="shared" si="24"/>
        <v>Not tested</v>
      </c>
      <c r="M202" s="23" t="s">
        <v>44</v>
      </c>
      <c r="N202" s="23" t="str">
        <f t="shared" si="25"/>
        <v/>
      </c>
      <c r="O202" s="24" t="s">
        <v>620</v>
      </c>
      <c r="P202" s="23">
        <v>3.5</v>
      </c>
      <c r="Q202" s="29">
        <v>0.57579999999999998</v>
      </c>
      <c r="R202" s="29">
        <v>0.622</v>
      </c>
      <c r="S202" s="24" t="s">
        <v>618</v>
      </c>
      <c r="T202" s="24" t="str">
        <f t="shared" si="26"/>
        <v>Normal</v>
      </c>
      <c r="U202" s="24">
        <v>1.9149</v>
      </c>
      <c r="V202" s="24">
        <f t="shared" si="27"/>
        <v>1.9149</v>
      </c>
      <c r="W202" s="24" t="s">
        <v>618</v>
      </c>
      <c r="X202" s="23">
        <v>3.5</v>
      </c>
      <c r="Y202" s="23">
        <v>0.3841</v>
      </c>
      <c r="Z202" s="23"/>
      <c r="AA202" s="24" t="s">
        <v>618</v>
      </c>
      <c r="AB202" s="24" t="str">
        <f t="shared" si="28"/>
        <v>Normal</v>
      </c>
      <c r="AC202" s="23">
        <v>26995</v>
      </c>
      <c r="AD202" s="23">
        <v>2.6995</v>
      </c>
      <c r="AE202" s="23" t="str">
        <f t="shared" si="29"/>
        <v/>
      </c>
      <c r="AF202" s="23"/>
      <c r="AG202" s="23" t="str">
        <f t="shared" si="30"/>
        <v/>
      </c>
      <c r="AH202" s="24" t="s">
        <v>618</v>
      </c>
      <c r="AI202" s="23">
        <v>3.2250000000000001</v>
      </c>
      <c r="AJ202" s="23">
        <v>0.57169999999999999</v>
      </c>
      <c r="AK202" s="23"/>
      <c r="AL202" s="24" t="s">
        <v>618</v>
      </c>
      <c r="AM202" s="24"/>
      <c r="AN202" s="24"/>
      <c r="AO202" s="24" t="str">
        <f t="shared" si="31"/>
        <v/>
      </c>
    </row>
    <row r="203" spans="1:41" x14ac:dyDescent="0.3">
      <c r="A203" s="24" t="s">
        <v>282</v>
      </c>
      <c r="B203" s="24" t="s">
        <v>436</v>
      </c>
      <c r="C203" s="25"/>
      <c r="D203" s="26">
        <v>19.100000000000001</v>
      </c>
      <c r="E203" s="34" t="s">
        <v>39</v>
      </c>
      <c r="F203" s="27" t="s">
        <v>54</v>
      </c>
      <c r="G203" s="28">
        <v>44454</v>
      </c>
      <c r="H203" s="28">
        <v>44476</v>
      </c>
      <c r="I203" s="24">
        <v>15</v>
      </c>
      <c r="J203" s="24" t="s">
        <v>43</v>
      </c>
      <c r="K203" s="24" t="s">
        <v>618</v>
      </c>
      <c r="L203" s="24" t="str">
        <f t="shared" si="24"/>
        <v>Not tested</v>
      </c>
      <c r="M203" s="23" t="s">
        <v>44</v>
      </c>
      <c r="N203" s="23" t="str">
        <f t="shared" si="25"/>
        <v/>
      </c>
      <c r="O203" s="24" t="s">
        <v>620</v>
      </c>
      <c r="P203" s="23">
        <v>3.5</v>
      </c>
      <c r="Q203" s="29">
        <v>0.1966</v>
      </c>
      <c r="R203" s="29"/>
      <c r="S203" s="24" t="s">
        <v>618</v>
      </c>
      <c r="T203" s="24" t="str">
        <f t="shared" si="26"/>
        <v>Technical failure</v>
      </c>
      <c r="U203" s="24" t="s">
        <v>44</v>
      </c>
      <c r="V203" s="24" t="str">
        <f t="shared" si="27"/>
        <v/>
      </c>
      <c r="W203" s="24" t="s">
        <v>620</v>
      </c>
      <c r="X203" s="23">
        <v>3.5</v>
      </c>
      <c r="Y203" s="23">
        <v>3.2522000000000002</v>
      </c>
      <c r="Z203" s="23"/>
      <c r="AA203" s="24" t="s">
        <v>619</v>
      </c>
      <c r="AB203" s="24" t="str">
        <f t="shared" si="28"/>
        <v>Upper censored</v>
      </c>
      <c r="AC203" s="23" t="s">
        <v>35</v>
      </c>
      <c r="AD203" s="23" t="s">
        <v>561</v>
      </c>
      <c r="AE203" s="23" t="str">
        <f t="shared" si="29"/>
        <v/>
      </c>
      <c r="AF203" s="23"/>
      <c r="AG203" s="23" t="str">
        <f t="shared" si="30"/>
        <v/>
      </c>
      <c r="AH203" s="24" t="s">
        <v>619</v>
      </c>
      <c r="AI203" s="23">
        <v>3.2250000000000001</v>
      </c>
      <c r="AJ203" s="23">
        <v>0.57410000000000005</v>
      </c>
      <c r="AK203" s="23"/>
      <c r="AL203" s="24" t="s">
        <v>618</v>
      </c>
      <c r="AM203" s="24">
        <v>210</v>
      </c>
      <c r="AN203" s="24">
        <v>0</v>
      </c>
      <c r="AO203" s="24">
        <f t="shared" si="31"/>
        <v>120</v>
      </c>
    </row>
    <row r="204" spans="1:41" x14ac:dyDescent="0.3">
      <c r="A204" s="24" t="s">
        <v>283</v>
      </c>
      <c r="B204" s="24" t="s">
        <v>614</v>
      </c>
      <c r="C204" s="25"/>
      <c r="D204" s="26">
        <v>21.6</v>
      </c>
      <c r="E204" s="34" t="s">
        <v>39</v>
      </c>
      <c r="F204" s="27" t="s">
        <v>54</v>
      </c>
      <c r="G204" s="28">
        <v>44453</v>
      </c>
      <c r="H204" s="28">
        <v>44476</v>
      </c>
      <c r="I204" s="24">
        <v>15</v>
      </c>
      <c r="J204" s="24" t="s">
        <v>43</v>
      </c>
      <c r="K204" s="24" t="s">
        <v>618</v>
      </c>
      <c r="L204" s="24" t="str">
        <f t="shared" si="24"/>
        <v>Not tested</v>
      </c>
      <c r="M204" s="23" t="s">
        <v>44</v>
      </c>
      <c r="N204" s="23" t="str">
        <f t="shared" si="25"/>
        <v/>
      </c>
      <c r="O204" s="24" t="s">
        <v>620</v>
      </c>
      <c r="P204" s="23">
        <v>3.5</v>
      </c>
      <c r="Q204" s="29">
        <v>0.23960000000000001</v>
      </c>
      <c r="R204" s="29"/>
      <c r="S204" s="24" t="s">
        <v>618</v>
      </c>
      <c r="T204" s="24" t="str">
        <f t="shared" si="26"/>
        <v>Upper censored</v>
      </c>
      <c r="U204" s="24" t="s">
        <v>35</v>
      </c>
      <c r="V204" s="24" t="str">
        <f t="shared" si="27"/>
        <v/>
      </c>
      <c r="W204" s="24" t="s">
        <v>619</v>
      </c>
      <c r="X204" s="23">
        <v>3.2109999999999999</v>
      </c>
      <c r="Y204" s="23">
        <v>0.10150000000000001</v>
      </c>
      <c r="Z204" s="23"/>
      <c r="AA204" s="24" t="s">
        <v>618</v>
      </c>
      <c r="AB204" s="24" t="str">
        <f t="shared" si="28"/>
        <v>Normal</v>
      </c>
      <c r="AC204" s="23">
        <v>959596</v>
      </c>
      <c r="AD204" s="23">
        <v>95.959599999999995</v>
      </c>
      <c r="AE204" s="23" t="str">
        <f t="shared" si="29"/>
        <v/>
      </c>
      <c r="AF204" s="23"/>
      <c r="AG204" s="23" t="str">
        <f t="shared" si="30"/>
        <v/>
      </c>
      <c r="AH204" s="24" t="s">
        <v>619</v>
      </c>
      <c r="AI204" s="23">
        <v>3.226</v>
      </c>
      <c r="AJ204" s="23">
        <v>9.0200000000000002E-2</v>
      </c>
      <c r="AK204" s="23"/>
      <c r="AL204" s="24" t="s">
        <v>618</v>
      </c>
      <c r="AM204" s="24">
        <v>182</v>
      </c>
      <c r="AN204" s="24">
        <v>1</v>
      </c>
      <c r="AO204" s="24" t="str">
        <f t="shared" si="31"/>
        <v/>
      </c>
    </row>
    <row r="205" spans="1:41" x14ac:dyDescent="0.3">
      <c r="A205" s="24" t="s">
        <v>284</v>
      </c>
      <c r="B205" s="24" t="s">
        <v>436</v>
      </c>
      <c r="C205" s="30" t="s">
        <v>616</v>
      </c>
      <c r="D205" s="26">
        <v>16.8</v>
      </c>
      <c r="E205" s="34" t="s">
        <v>39</v>
      </c>
      <c r="F205" s="27" t="s">
        <v>54</v>
      </c>
      <c r="G205" s="28">
        <v>44453</v>
      </c>
      <c r="H205" s="28">
        <v>44477</v>
      </c>
      <c r="I205" s="24">
        <v>12</v>
      </c>
      <c r="J205" s="24" t="s">
        <v>33</v>
      </c>
      <c r="K205" s="24" t="s">
        <v>618</v>
      </c>
      <c r="L205" s="24" t="str">
        <f t="shared" si="24"/>
        <v>Not tested</v>
      </c>
      <c r="M205" s="23" t="s">
        <v>44</v>
      </c>
      <c r="N205" s="23" t="str">
        <f t="shared" si="25"/>
        <v/>
      </c>
      <c r="O205" s="24" t="s">
        <v>620</v>
      </c>
      <c r="P205" s="23">
        <v>3.5</v>
      </c>
      <c r="Q205" s="29">
        <v>0.1091</v>
      </c>
      <c r="R205" s="29"/>
      <c r="S205" s="24" t="s">
        <v>618</v>
      </c>
      <c r="T205" s="24" t="str">
        <f t="shared" si="26"/>
        <v>Technical failure</v>
      </c>
      <c r="U205" s="24" t="s">
        <v>44</v>
      </c>
      <c r="V205" s="24" t="str">
        <f t="shared" si="27"/>
        <v/>
      </c>
      <c r="W205" s="24" t="s">
        <v>620</v>
      </c>
      <c r="X205" s="23">
        <v>3.5</v>
      </c>
      <c r="Y205" s="23">
        <v>1.4641</v>
      </c>
      <c r="Z205" s="23">
        <v>1.4057999999999999</v>
      </c>
      <c r="AA205" s="24" t="s">
        <v>619</v>
      </c>
      <c r="AB205" s="24" t="str">
        <f t="shared" si="28"/>
        <v>Upper censored</v>
      </c>
      <c r="AC205" s="23" t="s">
        <v>35</v>
      </c>
      <c r="AD205" s="23" t="s">
        <v>561</v>
      </c>
      <c r="AE205" s="23" t="str">
        <f t="shared" si="29"/>
        <v/>
      </c>
      <c r="AF205" s="23"/>
      <c r="AG205" s="23" t="str">
        <f t="shared" si="30"/>
        <v/>
      </c>
      <c r="AH205" s="24" t="s">
        <v>619</v>
      </c>
      <c r="AI205" s="23">
        <v>3.234</v>
      </c>
      <c r="AJ205" s="23">
        <v>0.42359999999999998</v>
      </c>
      <c r="AK205" s="23"/>
      <c r="AL205" s="24" t="s">
        <v>618</v>
      </c>
      <c r="AM205" s="24">
        <v>210</v>
      </c>
      <c r="AN205" s="24">
        <v>0</v>
      </c>
      <c r="AO205" s="24">
        <f t="shared" si="31"/>
        <v>120</v>
      </c>
    </row>
    <row r="206" spans="1:41" x14ac:dyDescent="0.3">
      <c r="A206" s="24" t="s">
        <v>286</v>
      </c>
      <c r="B206" s="24" t="s">
        <v>436</v>
      </c>
      <c r="C206" s="30" t="s">
        <v>616</v>
      </c>
      <c r="D206" s="26">
        <v>20.5</v>
      </c>
      <c r="E206" s="34" t="s">
        <v>39</v>
      </c>
      <c r="F206" s="27" t="s">
        <v>54</v>
      </c>
      <c r="G206" s="28">
        <v>44453</v>
      </c>
      <c r="H206" s="28">
        <v>44477</v>
      </c>
      <c r="I206" s="24">
        <v>12</v>
      </c>
      <c r="J206" s="24" t="s">
        <v>33</v>
      </c>
      <c r="K206" s="24" t="s">
        <v>618</v>
      </c>
      <c r="L206" s="24" t="str">
        <f t="shared" si="24"/>
        <v>Not tested</v>
      </c>
      <c r="M206" s="23" t="s">
        <v>44</v>
      </c>
      <c r="N206" s="23" t="str">
        <f t="shared" si="25"/>
        <v/>
      </c>
      <c r="O206" s="24" t="s">
        <v>620</v>
      </c>
      <c r="P206" s="23">
        <v>3.5</v>
      </c>
      <c r="Q206" s="29">
        <v>0.3795</v>
      </c>
      <c r="R206" s="29"/>
      <c r="S206" s="24" t="s">
        <v>618</v>
      </c>
      <c r="T206" s="24" t="str">
        <f t="shared" si="26"/>
        <v>Technical failure</v>
      </c>
      <c r="U206" s="24" t="s">
        <v>44</v>
      </c>
      <c r="V206" s="24" t="str">
        <f t="shared" si="27"/>
        <v/>
      </c>
      <c r="W206" s="24" t="s">
        <v>620</v>
      </c>
      <c r="X206" s="23">
        <v>3.3719999999999999</v>
      </c>
      <c r="Y206" s="23">
        <v>6.532</v>
      </c>
      <c r="Z206" s="23"/>
      <c r="AA206" s="24" t="s">
        <v>619</v>
      </c>
      <c r="AB206" s="24" t="str">
        <f t="shared" si="28"/>
        <v>Normal</v>
      </c>
      <c r="AC206" s="23">
        <v>806794</v>
      </c>
      <c r="AD206" s="23">
        <v>80.679400000000001</v>
      </c>
      <c r="AE206" s="23" t="str">
        <f t="shared" si="29"/>
        <v/>
      </c>
      <c r="AF206" s="23"/>
      <c r="AG206" s="23" t="str">
        <f t="shared" si="30"/>
        <v/>
      </c>
      <c r="AH206" s="24" t="s">
        <v>619</v>
      </c>
      <c r="AI206" s="23">
        <v>3.2549999999999999</v>
      </c>
      <c r="AJ206" s="23">
        <v>2.8780999999999999</v>
      </c>
      <c r="AK206" s="23"/>
      <c r="AL206" s="24" t="s">
        <v>619</v>
      </c>
      <c r="AM206" s="24"/>
      <c r="AN206" s="24"/>
      <c r="AO206" s="24" t="str">
        <f t="shared" si="31"/>
        <v/>
      </c>
    </row>
    <row r="207" spans="1:41" x14ac:dyDescent="0.3">
      <c r="A207" s="24" t="s">
        <v>287</v>
      </c>
      <c r="B207" s="24" t="s">
        <v>436</v>
      </c>
      <c r="C207" s="25" t="s">
        <v>615</v>
      </c>
      <c r="D207" s="26">
        <v>16.5</v>
      </c>
      <c r="E207" s="34" t="s">
        <v>39</v>
      </c>
      <c r="F207" s="27" t="s">
        <v>54</v>
      </c>
      <c r="G207" s="28">
        <v>44453</v>
      </c>
      <c r="H207" s="28">
        <v>44477</v>
      </c>
      <c r="I207" s="24">
        <v>12</v>
      </c>
      <c r="J207" s="24" t="s">
        <v>33</v>
      </c>
      <c r="K207" s="24" t="s">
        <v>618</v>
      </c>
      <c r="L207" s="24" t="str">
        <f t="shared" si="24"/>
        <v>Not tested</v>
      </c>
      <c r="M207" s="23" t="s">
        <v>44</v>
      </c>
      <c r="N207" s="23" t="str">
        <f t="shared" si="25"/>
        <v/>
      </c>
      <c r="O207" s="24" t="s">
        <v>620</v>
      </c>
      <c r="P207" s="23">
        <v>3.5</v>
      </c>
      <c r="Q207" s="29">
        <v>1.7476</v>
      </c>
      <c r="R207" s="29"/>
      <c r="S207" s="24" t="s">
        <v>619</v>
      </c>
      <c r="T207" s="24" t="str">
        <f t="shared" si="26"/>
        <v>Technical failure</v>
      </c>
      <c r="U207" s="24" t="s">
        <v>44</v>
      </c>
      <c r="V207" s="24" t="str">
        <f t="shared" si="27"/>
        <v/>
      </c>
      <c r="W207" s="24" t="s">
        <v>620</v>
      </c>
      <c r="X207" s="23">
        <v>2.81</v>
      </c>
      <c r="Y207" s="23">
        <v>1.0873999999999999</v>
      </c>
      <c r="Z207" s="23"/>
      <c r="AA207" s="24" t="s">
        <v>618</v>
      </c>
      <c r="AB207" s="24" t="str">
        <f t="shared" si="28"/>
        <v>Not tested</v>
      </c>
      <c r="AC207" s="23" t="s">
        <v>44</v>
      </c>
      <c r="AD207" s="23" t="s">
        <v>561</v>
      </c>
      <c r="AE207" s="23" t="str">
        <f t="shared" si="29"/>
        <v/>
      </c>
      <c r="AF207" s="23"/>
      <c r="AG207" s="23" t="str">
        <f t="shared" si="30"/>
        <v/>
      </c>
      <c r="AH207" s="24" t="s">
        <v>620</v>
      </c>
      <c r="AI207" s="23">
        <v>3.2570000000000001</v>
      </c>
      <c r="AJ207" s="23">
        <v>6.0620000000000003</v>
      </c>
      <c r="AK207" s="23"/>
      <c r="AL207" s="24" t="s">
        <v>619</v>
      </c>
      <c r="AM207" s="24">
        <v>210</v>
      </c>
      <c r="AN207" s="24">
        <v>0</v>
      </c>
      <c r="AO207" s="24" t="str">
        <f t="shared" si="31"/>
        <v/>
      </c>
    </row>
    <row r="208" spans="1:41" x14ac:dyDescent="0.3">
      <c r="A208" s="24" t="s">
        <v>288</v>
      </c>
      <c r="B208" s="24" t="s">
        <v>436</v>
      </c>
      <c r="C208" s="25" t="s">
        <v>615</v>
      </c>
      <c r="D208" s="26">
        <v>15.4</v>
      </c>
      <c r="E208" s="34" t="s">
        <v>39</v>
      </c>
      <c r="F208" s="27" t="s">
        <v>54</v>
      </c>
      <c r="G208" s="28">
        <v>44453</v>
      </c>
      <c r="H208" s="28">
        <v>44476</v>
      </c>
      <c r="I208" s="24">
        <v>12</v>
      </c>
      <c r="J208" s="24" t="s">
        <v>33</v>
      </c>
      <c r="K208" s="24" t="s">
        <v>618</v>
      </c>
      <c r="L208" s="24" t="str">
        <f t="shared" si="24"/>
        <v>Not tested</v>
      </c>
      <c r="M208" s="23" t="s">
        <v>44</v>
      </c>
      <c r="N208" s="23" t="str">
        <f t="shared" si="25"/>
        <v/>
      </c>
      <c r="O208" s="24" t="s">
        <v>620</v>
      </c>
      <c r="P208" s="23">
        <v>3.5</v>
      </c>
      <c r="Q208" s="29">
        <v>1.5682</v>
      </c>
      <c r="R208" s="29"/>
      <c r="S208" s="24" t="s">
        <v>619</v>
      </c>
      <c r="T208" s="24" t="str">
        <f t="shared" si="26"/>
        <v>Upper censored</v>
      </c>
      <c r="U208" s="24" t="s">
        <v>35</v>
      </c>
      <c r="V208" s="24" t="str">
        <f t="shared" si="27"/>
        <v/>
      </c>
      <c r="W208" s="24" t="s">
        <v>619</v>
      </c>
      <c r="X208" s="23">
        <v>3.5</v>
      </c>
      <c r="Y208" s="23">
        <v>4.3192000000000004</v>
      </c>
      <c r="Z208" s="23"/>
      <c r="AA208" s="24" t="s">
        <v>618</v>
      </c>
      <c r="AB208" s="24" t="str">
        <f t="shared" si="28"/>
        <v>Normal</v>
      </c>
      <c r="AC208" s="23">
        <v>382809</v>
      </c>
      <c r="AD208" s="23">
        <v>38.280900000000003</v>
      </c>
      <c r="AE208" s="23" t="str">
        <f t="shared" si="29"/>
        <v/>
      </c>
      <c r="AF208" s="23"/>
      <c r="AG208" s="23" t="str">
        <f t="shared" si="30"/>
        <v/>
      </c>
      <c r="AH208" s="24" t="s">
        <v>619</v>
      </c>
      <c r="AI208" s="23">
        <v>3.2629999999999999</v>
      </c>
      <c r="AJ208" s="23">
        <v>1.5741000000000001</v>
      </c>
      <c r="AK208" s="23"/>
      <c r="AL208" s="24" t="s">
        <v>619</v>
      </c>
      <c r="AM208" s="24"/>
      <c r="AN208" s="24"/>
      <c r="AO208" s="24" t="str">
        <f t="shared" si="31"/>
        <v/>
      </c>
    </row>
    <row r="209" spans="1:41" x14ac:dyDescent="0.3">
      <c r="A209" s="24" t="s">
        <v>289</v>
      </c>
      <c r="B209" s="24" t="s">
        <v>614</v>
      </c>
      <c r="C209" s="30"/>
      <c r="D209" s="26">
        <v>31.8</v>
      </c>
      <c r="E209" s="34" t="s">
        <v>47</v>
      </c>
      <c r="F209" s="27" t="s">
        <v>54</v>
      </c>
      <c r="G209" s="28">
        <v>44453</v>
      </c>
      <c r="H209" s="28">
        <v>44477</v>
      </c>
      <c r="I209" s="24">
        <v>12</v>
      </c>
      <c r="J209" s="24" t="s">
        <v>33</v>
      </c>
      <c r="K209" s="24" t="s">
        <v>619</v>
      </c>
      <c r="L209" s="24" t="str">
        <f t="shared" si="24"/>
        <v>Not tested</v>
      </c>
      <c r="M209" s="23" t="s">
        <v>44</v>
      </c>
      <c r="N209" s="23" t="str">
        <f t="shared" si="25"/>
        <v/>
      </c>
      <c r="O209" s="24" t="s">
        <v>620</v>
      </c>
      <c r="P209" s="23">
        <v>3.5</v>
      </c>
      <c r="Q209" s="29">
        <v>0.30549999999999999</v>
      </c>
      <c r="R209" s="29"/>
      <c r="S209" s="24" t="s">
        <v>618</v>
      </c>
      <c r="T209" s="24" t="str">
        <f t="shared" si="26"/>
        <v>Normal</v>
      </c>
      <c r="U209" s="24">
        <v>2.2128000000000001</v>
      </c>
      <c r="V209" s="24">
        <f t="shared" si="27"/>
        <v>2.2128000000000001</v>
      </c>
      <c r="W209" s="24" t="s">
        <v>618</v>
      </c>
      <c r="X209" s="23">
        <v>3.4590000000000001</v>
      </c>
      <c r="Y209" s="23">
        <v>0.54300000000000004</v>
      </c>
      <c r="Z209" s="23"/>
      <c r="AA209" s="24" t="s">
        <v>618</v>
      </c>
      <c r="AB209" s="24" t="str">
        <f t="shared" si="28"/>
        <v>Normal</v>
      </c>
      <c r="AC209" s="23">
        <v>27952</v>
      </c>
      <c r="AD209" s="23">
        <v>2.7951999999999999</v>
      </c>
      <c r="AE209" s="23" t="str">
        <f t="shared" si="29"/>
        <v/>
      </c>
      <c r="AF209" s="23"/>
      <c r="AG209" s="23" t="str">
        <f t="shared" si="30"/>
        <v/>
      </c>
      <c r="AH209" s="24" t="s">
        <v>618</v>
      </c>
      <c r="AI209" s="23">
        <v>3.266</v>
      </c>
      <c r="AJ209" s="23">
        <v>0.30120000000000002</v>
      </c>
      <c r="AK209" s="23"/>
      <c r="AL209" s="24" t="s">
        <v>618</v>
      </c>
      <c r="AM209" s="24"/>
      <c r="AN209" s="24"/>
      <c r="AO209" s="24" t="str">
        <f t="shared" si="31"/>
        <v/>
      </c>
    </row>
    <row r="210" spans="1:41" x14ac:dyDescent="0.3">
      <c r="A210" s="24" t="s">
        <v>290</v>
      </c>
      <c r="B210" s="24" t="s">
        <v>436</v>
      </c>
      <c r="C210" s="25"/>
      <c r="D210" s="26">
        <v>32.5</v>
      </c>
      <c r="E210" s="34" t="s">
        <v>47</v>
      </c>
      <c r="F210" s="27" t="s">
        <v>54</v>
      </c>
      <c r="G210" s="28">
        <v>44453</v>
      </c>
      <c r="H210" s="28">
        <v>44477</v>
      </c>
      <c r="I210" s="24">
        <v>11</v>
      </c>
      <c r="J210" s="24" t="s">
        <v>33</v>
      </c>
      <c r="K210" s="24" t="s">
        <v>618</v>
      </c>
      <c r="L210" s="24" t="str">
        <f t="shared" si="24"/>
        <v>Not tested</v>
      </c>
      <c r="M210" s="23" t="s">
        <v>44</v>
      </c>
      <c r="N210" s="23" t="str">
        <f t="shared" si="25"/>
        <v/>
      </c>
      <c r="O210" s="24" t="s">
        <v>620</v>
      </c>
      <c r="P210" s="23">
        <v>3.5</v>
      </c>
      <c r="Q210" s="29">
        <v>0.81399999999999995</v>
      </c>
      <c r="R210" s="29"/>
      <c r="S210" s="24" t="s">
        <v>618</v>
      </c>
      <c r="T210" s="24" t="str">
        <f t="shared" si="26"/>
        <v>Upper censored</v>
      </c>
      <c r="U210" s="24" t="s">
        <v>35</v>
      </c>
      <c r="V210" s="24" t="str">
        <f t="shared" si="27"/>
        <v/>
      </c>
      <c r="W210" s="24" t="s">
        <v>619</v>
      </c>
      <c r="X210" s="23">
        <v>3.5</v>
      </c>
      <c r="Y210" s="23">
        <v>0.375</v>
      </c>
      <c r="Z210" s="23"/>
      <c r="AA210" s="24" t="s">
        <v>618</v>
      </c>
      <c r="AB210" s="24" t="str">
        <f t="shared" si="28"/>
        <v>Upper censored</v>
      </c>
      <c r="AC210" s="23" t="s">
        <v>35</v>
      </c>
      <c r="AD210" s="23" t="s">
        <v>561</v>
      </c>
      <c r="AE210" s="23" t="str">
        <f t="shared" si="29"/>
        <v/>
      </c>
      <c r="AF210" s="23"/>
      <c r="AG210" s="23" t="str">
        <f t="shared" si="30"/>
        <v/>
      </c>
      <c r="AH210" s="24" t="s">
        <v>619</v>
      </c>
      <c r="AI210" s="23">
        <v>3.27</v>
      </c>
      <c r="AJ210" s="23">
        <v>0.1638</v>
      </c>
      <c r="AK210" s="23"/>
      <c r="AL210" s="24" t="s">
        <v>618</v>
      </c>
      <c r="AM210" s="24">
        <v>210</v>
      </c>
      <c r="AN210" s="24">
        <v>0</v>
      </c>
      <c r="AO210" s="24">
        <f t="shared" si="31"/>
        <v>120</v>
      </c>
    </row>
    <row r="211" spans="1:41" x14ac:dyDescent="0.3">
      <c r="A211" s="24" t="s">
        <v>291</v>
      </c>
      <c r="B211" s="24" t="s">
        <v>436</v>
      </c>
      <c r="C211" s="25" t="s">
        <v>616</v>
      </c>
      <c r="D211" s="26">
        <v>17.3</v>
      </c>
      <c r="E211" s="34" t="s">
        <v>39</v>
      </c>
      <c r="F211" s="27" t="s">
        <v>54</v>
      </c>
      <c r="G211" s="28">
        <v>44452</v>
      </c>
      <c r="H211" s="28">
        <v>44476</v>
      </c>
      <c r="I211" s="24">
        <v>15</v>
      </c>
      <c r="J211" s="24" t="s">
        <v>43</v>
      </c>
      <c r="K211" s="24" t="s">
        <v>618</v>
      </c>
      <c r="L211" s="24" t="str">
        <f t="shared" si="24"/>
        <v>Not tested</v>
      </c>
      <c r="M211" s="23" t="s">
        <v>44</v>
      </c>
      <c r="N211" s="23" t="str">
        <f t="shared" si="25"/>
        <v/>
      </c>
      <c r="O211" s="24" t="s">
        <v>620</v>
      </c>
      <c r="P211" s="23">
        <v>3.5</v>
      </c>
      <c r="Q211" s="29">
        <v>6.4899999999999999E-2</v>
      </c>
      <c r="R211" s="29"/>
      <c r="S211" s="24" t="s">
        <v>618</v>
      </c>
      <c r="T211" s="24" t="str">
        <f t="shared" si="26"/>
        <v>Upper censored</v>
      </c>
      <c r="U211" s="24" t="s">
        <v>35</v>
      </c>
      <c r="V211" s="24" t="str">
        <f t="shared" si="27"/>
        <v/>
      </c>
      <c r="W211" s="24" t="s">
        <v>619</v>
      </c>
      <c r="X211" s="23">
        <v>3.5</v>
      </c>
      <c r="Y211" s="23">
        <v>1.2365999999999999</v>
      </c>
      <c r="Z211" s="23"/>
      <c r="AA211" s="24" t="s">
        <v>619</v>
      </c>
      <c r="AB211" s="24" t="str">
        <f t="shared" si="28"/>
        <v>Upper censored</v>
      </c>
      <c r="AC211" s="23" t="s">
        <v>35</v>
      </c>
      <c r="AD211" s="23" t="s">
        <v>561</v>
      </c>
      <c r="AE211" s="23" t="str">
        <f t="shared" si="29"/>
        <v>Not tested</v>
      </c>
      <c r="AF211" s="23" t="s">
        <v>44</v>
      </c>
      <c r="AG211" s="23" t="str">
        <f t="shared" si="30"/>
        <v/>
      </c>
      <c r="AH211" s="24" t="s">
        <v>619</v>
      </c>
      <c r="AI211" s="23">
        <v>3.2709999999999999</v>
      </c>
      <c r="AJ211" s="23">
        <v>4.5845000000000002</v>
      </c>
      <c r="AK211" s="23"/>
      <c r="AL211" s="24" t="s">
        <v>619</v>
      </c>
      <c r="AM211" s="24">
        <v>210</v>
      </c>
      <c r="AN211" s="24">
        <v>0</v>
      </c>
      <c r="AO211" s="24">
        <f t="shared" si="31"/>
        <v>120</v>
      </c>
    </row>
    <row r="212" spans="1:41" x14ac:dyDescent="0.3">
      <c r="A212" s="24" t="s">
        <v>293</v>
      </c>
      <c r="B212" s="24" t="s">
        <v>436</v>
      </c>
      <c r="C212" s="30" t="s">
        <v>616</v>
      </c>
      <c r="D212" s="26">
        <v>15.6</v>
      </c>
      <c r="E212" s="34" t="s">
        <v>39</v>
      </c>
      <c r="F212" s="27" t="s">
        <v>54</v>
      </c>
      <c r="G212" s="28">
        <v>44453</v>
      </c>
      <c r="H212" s="28">
        <v>44477</v>
      </c>
      <c r="I212" s="24">
        <v>12</v>
      </c>
      <c r="J212" s="24" t="s">
        <v>33</v>
      </c>
      <c r="K212" s="24" t="s">
        <v>619</v>
      </c>
      <c r="L212" s="24" t="str">
        <f t="shared" si="24"/>
        <v>Not tested</v>
      </c>
      <c r="M212" s="23" t="s">
        <v>44</v>
      </c>
      <c r="N212" s="23" t="str">
        <f t="shared" si="25"/>
        <v/>
      </c>
      <c r="O212" s="24" t="s">
        <v>620</v>
      </c>
      <c r="P212" s="23">
        <v>3.5</v>
      </c>
      <c r="Q212" s="29">
        <v>0.14319999999999999</v>
      </c>
      <c r="R212" s="29"/>
      <c r="S212" s="24" t="s">
        <v>618</v>
      </c>
      <c r="T212" s="24" t="str">
        <f t="shared" si="26"/>
        <v>Upper censored</v>
      </c>
      <c r="U212" s="24" t="s">
        <v>35</v>
      </c>
      <c r="V212" s="24" t="str">
        <f t="shared" si="27"/>
        <v/>
      </c>
      <c r="W212" s="24" t="s">
        <v>619</v>
      </c>
      <c r="X212" s="23">
        <v>3.5</v>
      </c>
      <c r="Y212" s="23">
        <v>9.2999999999999999E-2</v>
      </c>
      <c r="Z212" s="23"/>
      <c r="AA212" s="24" t="s">
        <v>618</v>
      </c>
      <c r="AB212" s="24" t="str">
        <f t="shared" si="28"/>
        <v>Upper censored</v>
      </c>
      <c r="AC212" s="23" t="s">
        <v>35</v>
      </c>
      <c r="AD212" s="23" t="s">
        <v>561</v>
      </c>
      <c r="AE212" s="23" t="str">
        <f t="shared" si="29"/>
        <v/>
      </c>
      <c r="AF212" s="23"/>
      <c r="AG212" s="23" t="str">
        <f t="shared" si="30"/>
        <v/>
      </c>
      <c r="AH212" s="24" t="s">
        <v>619</v>
      </c>
      <c r="AI212" s="23">
        <v>3.2749999999999999</v>
      </c>
      <c r="AJ212" s="23">
        <v>8.2600000000000007E-2</v>
      </c>
      <c r="AK212" s="23"/>
      <c r="AL212" s="24" t="s">
        <v>618</v>
      </c>
      <c r="AM212" s="24">
        <v>210</v>
      </c>
      <c r="AN212" s="24">
        <v>0</v>
      </c>
      <c r="AO212" s="24">
        <f t="shared" si="31"/>
        <v>120</v>
      </c>
    </row>
    <row r="213" spans="1:41" x14ac:dyDescent="0.3">
      <c r="A213" s="24" t="s">
        <v>294</v>
      </c>
      <c r="B213" s="24" t="s">
        <v>436</v>
      </c>
      <c r="C213" s="25" t="s">
        <v>616</v>
      </c>
      <c r="D213" s="26">
        <v>21.2</v>
      </c>
      <c r="E213" s="34" t="s">
        <v>39</v>
      </c>
      <c r="F213" s="27" t="s">
        <v>54</v>
      </c>
      <c r="G213" s="28">
        <v>44453</v>
      </c>
      <c r="H213" s="28">
        <v>44477</v>
      </c>
      <c r="I213" s="24">
        <v>12</v>
      </c>
      <c r="J213" s="24" t="s">
        <v>33</v>
      </c>
      <c r="K213" s="24" t="s">
        <v>618</v>
      </c>
      <c r="L213" s="24" t="str">
        <f t="shared" si="24"/>
        <v>Not tested</v>
      </c>
      <c r="M213" s="23" t="s">
        <v>44</v>
      </c>
      <c r="N213" s="23" t="str">
        <f t="shared" si="25"/>
        <v/>
      </c>
      <c r="O213" s="24" t="s">
        <v>620</v>
      </c>
      <c r="P213" s="23">
        <v>3.5</v>
      </c>
      <c r="Q213" s="29">
        <v>1.0033000000000001</v>
      </c>
      <c r="R213" s="29"/>
      <c r="S213" s="24" t="s">
        <v>618</v>
      </c>
      <c r="T213" s="24" t="str">
        <f t="shared" si="26"/>
        <v>Normal</v>
      </c>
      <c r="U213" s="24">
        <v>104.1315</v>
      </c>
      <c r="V213" s="24">
        <f t="shared" si="27"/>
        <v>104.1315</v>
      </c>
      <c r="W213" s="24" t="s">
        <v>619</v>
      </c>
      <c r="X213" s="23">
        <v>3.5</v>
      </c>
      <c r="Y213" s="23">
        <v>0.99550000000000005</v>
      </c>
      <c r="Z213" s="23"/>
      <c r="AA213" s="24" t="s">
        <v>618</v>
      </c>
      <c r="AB213" s="24" t="str">
        <f t="shared" si="28"/>
        <v>Upper censored</v>
      </c>
      <c r="AC213" s="23" t="s">
        <v>35</v>
      </c>
      <c r="AD213" s="23" t="s">
        <v>561</v>
      </c>
      <c r="AE213" s="23" t="str">
        <f t="shared" si="29"/>
        <v/>
      </c>
      <c r="AF213" s="23"/>
      <c r="AG213" s="23" t="str">
        <f t="shared" si="30"/>
        <v/>
      </c>
      <c r="AH213" s="24" t="s">
        <v>619</v>
      </c>
      <c r="AI213" s="23">
        <v>3.2789999999999999</v>
      </c>
      <c r="AJ213" s="23">
        <v>0.72929999999999995</v>
      </c>
      <c r="AK213" s="23"/>
      <c r="AL213" s="24" t="s">
        <v>618</v>
      </c>
      <c r="AM213" s="24">
        <v>92</v>
      </c>
      <c r="AN213" s="24">
        <v>1</v>
      </c>
      <c r="AO213" s="24" t="str">
        <f t="shared" si="31"/>
        <v/>
      </c>
    </row>
    <row r="214" spans="1:41" x14ac:dyDescent="0.3">
      <c r="A214" s="24" t="s">
        <v>295</v>
      </c>
      <c r="B214" s="24" t="s">
        <v>436</v>
      </c>
      <c r="C214" s="30"/>
      <c r="D214" s="26">
        <v>22.5</v>
      </c>
      <c r="E214" s="34" t="s">
        <v>31</v>
      </c>
      <c r="F214" s="27" t="s">
        <v>54</v>
      </c>
      <c r="G214" s="28">
        <v>44453</v>
      </c>
      <c r="H214" s="28">
        <v>44477</v>
      </c>
      <c r="I214" s="24">
        <v>11</v>
      </c>
      <c r="J214" s="24" t="s">
        <v>33</v>
      </c>
      <c r="K214" s="24" t="s">
        <v>619</v>
      </c>
      <c r="L214" s="24" t="str">
        <f t="shared" si="24"/>
        <v>Not tested</v>
      </c>
      <c r="M214" s="23" t="s">
        <v>44</v>
      </c>
      <c r="N214" s="23" t="str">
        <f t="shared" si="25"/>
        <v/>
      </c>
      <c r="O214" s="24" t="s">
        <v>620</v>
      </c>
      <c r="P214" s="23">
        <v>3.5</v>
      </c>
      <c r="Q214" s="29">
        <v>0.61760000000000004</v>
      </c>
      <c r="R214" s="29"/>
      <c r="S214" s="24" t="s">
        <v>618</v>
      </c>
      <c r="T214" s="24" t="str">
        <f t="shared" si="26"/>
        <v>Upper censored</v>
      </c>
      <c r="U214" s="24" t="s">
        <v>35</v>
      </c>
      <c r="V214" s="24" t="str">
        <f t="shared" si="27"/>
        <v/>
      </c>
      <c r="W214" s="24" t="s">
        <v>619</v>
      </c>
      <c r="X214" s="23">
        <v>3.5</v>
      </c>
      <c r="Y214" s="23">
        <v>2.6821000000000002</v>
      </c>
      <c r="Z214" s="23"/>
      <c r="AA214" s="24" t="s">
        <v>619</v>
      </c>
      <c r="AB214" s="24" t="str">
        <f t="shared" si="28"/>
        <v>Upper censored</v>
      </c>
      <c r="AC214" s="23" t="s">
        <v>35</v>
      </c>
      <c r="AD214" s="23" t="s">
        <v>561</v>
      </c>
      <c r="AE214" s="23" t="str">
        <f t="shared" si="29"/>
        <v/>
      </c>
      <c r="AF214" s="23"/>
      <c r="AG214" s="23" t="str">
        <f t="shared" si="30"/>
        <v/>
      </c>
      <c r="AH214" s="24" t="s">
        <v>619</v>
      </c>
      <c r="AI214" s="23">
        <v>3.2919999999999998</v>
      </c>
      <c r="AJ214" s="23">
        <v>1.4734</v>
      </c>
      <c r="AK214" s="23"/>
      <c r="AL214" s="24" t="s">
        <v>619</v>
      </c>
      <c r="AM214" s="24">
        <v>210</v>
      </c>
      <c r="AN214" s="24">
        <v>0</v>
      </c>
      <c r="AO214" s="24">
        <f t="shared" si="31"/>
        <v>120</v>
      </c>
    </row>
    <row r="215" spans="1:41" x14ac:dyDescent="0.3">
      <c r="A215" s="24" t="s">
        <v>296</v>
      </c>
      <c r="B215" s="24" t="s">
        <v>436</v>
      </c>
      <c r="C215" s="25" t="s">
        <v>616</v>
      </c>
      <c r="D215" s="26">
        <v>20.100000000000001</v>
      </c>
      <c r="E215" s="34" t="s">
        <v>39</v>
      </c>
      <c r="F215" s="27" t="s">
        <v>54</v>
      </c>
      <c r="G215" s="28">
        <v>44453</v>
      </c>
      <c r="H215" s="28">
        <v>44477</v>
      </c>
      <c r="I215" s="24">
        <v>15</v>
      </c>
      <c r="J215" s="24" t="s">
        <v>43</v>
      </c>
      <c r="K215" s="24" t="s">
        <v>618</v>
      </c>
      <c r="L215" s="24" t="str">
        <f t="shared" si="24"/>
        <v>Not tested</v>
      </c>
      <c r="M215" s="23" t="s">
        <v>44</v>
      </c>
      <c r="N215" s="23" t="str">
        <f t="shared" si="25"/>
        <v/>
      </c>
      <c r="O215" s="24" t="s">
        <v>620</v>
      </c>
      <c r="P215" s="23">
        <v>3.5</v>
      </c>
      <c r="Q215" s="29">
        <v>8.2799999999999999E-2</v>
      </c>
      <c r="R215" s="29"/>
      <c r="S215" s="24" t="s">
        <v>618</v>
      </c>
      <c r="T215" s="24" t="str">
        <f t="shared" si="26"/>
        <v>Normal</v>
      </c>
      <c r="U215" s="24">
        <v>114.3424</v>
      </c>
      <c r="V215" s="24">
        <f t="shared" si="27"/>
        <v>114.3424</v>
      </c>
      <c r="W215" s="24" t="s">
        <v>619</v>
      </c>
      <c r="X215" s="23">
        <v>3.5</v>
      </c>
      <c r="Y215" s="23">
        <v>0.1585</v>
      </c>
      <c r="Z215" s="23">
        <v>8.48E-2</v>
      </c>
      <c r="AA215" s="24" t="s">
        <v>618</v>
      </c>
      <c r="AB215" s="24" t="str">
        <f t="shared" si="28"/>
        <v>Normal</v>
      </c>
      <c r="AC215" s="23">
        <v>528065</v>
      </c>
      <c r="AD215" s="23">
        <v>52.8065</v>
      </c>
      <c r="AE215" s="23" t="str">
        <f t="shared" si="29"/>
        <v/>
      </c>
      <c r="AF215" s="23"/>
      <c r="AG215" s="23" t="str">
        <f t="shared" si="30"/>
        <v/>
      </c>
      <c r="AH215" s="24" t="s">
        <v>619</v>
      </c>
      <c r="AI215" s="23">
        <v>3.2930000000000001</v>
      </c>
      <c r="AJ215" s="23">
        <v>9.6000000000000002E-2</v>
      </c>
      <c r="AK215" s="23"/>
      <c r="AL215" s="24" t="s">
        <v>618</v>
      </c>
      <c r="AM215" s="24">
        <v>92</v>
      </c>
      <c r="AN215" s="24">
        <v>1</v>
      </c>
      <c r="AO215" s="24" t="str">
        <f t="shared" si="31"/>
        <v/>
      </c>
    </row>
    <row r="216" spans="1:41" x14ac:dyDescent="0.3">
      <c r="A216" s="24" t="s">
        <v>298</v>
      </c>
      <c r="B216" s="24" t="s">
        <v>436</v>
      </c>
      <c r="C216" s="30" t="s">
        <v>616</v>
      </c>
      <c r="D216" s="26">
        <v>19.3</v>
      </c>
      <c r="E216" s="34" t="s">
        <v>39</v>
      </c>
      <c r="F216" s="27" t="s">
        <v>54</v>
      </c>
      <c r="G216" s="28">
        <v>44453</v>
      </c>
      <c r="H216" s="28">
        <v>44477</v>
      </c>
      <c r="I216" s="24">
        <v>12</v>
      </c>
      <c r="J216" s="24" t="s">
        <v>33</v>
      </c>
      <c r="K216" s="24" t="s">
        <v>618</v>
      </c>
      <c r="L216" s="24" t="str">
        <f t="shared" si="24"/>
        <v>Not tested</v>
      </c>
      <c r="M216" s="23" t="s">
        <v>44</v>
      </c>
      <c r="N216" s="23" t="str">
        <f t="shared" si="25"/>
        <v/>
      </c>
      <c r="O216" s="24" t="s">
        <v>620</v>
      </c>
      <c r="P216" s="23">
        <v>3.5</v>
      </c>
      <c r="Q216" s="23">
        <v>8.0299999999999996E-2</v>
      </c>
      <c r="R216" s="23"/>
      <c r="S216" s="23" t="s">
        <v>618</v>
      </c>
      <c r="T216" s="24" t="str">
        <f t="shared" si="26"/>
        <v>Technical failure</v>
      </c>
      <c r="U216" s="24" t="s">
        <v>44</v>
      </c>
      <c r="V216" s="24" t="str">
        <f t="shared" si="27"/>
        <v/>
      </c>
      <c r="W216" s="24" t="s">
        <v>620</v>
      </c>
      <c r="X216" s="23">
        <v>3.5</v>
      </c>
      <c r="Y216" s="23">
        <v>1.7645999999999999</v>
      </c>
      <c r="Z216" s="23"/>
      <c r="AA216" s="24" t="s">
        <v>619</v>
      </c>
      <c r="AB216" s="24" t="str">
        <f t="shared" si="28"/>
        <v>Not tested</v>
      </c>
      <c r="AC216" s="23" t="s">
        <v>44</v>
      </c>
      <c r="AD216" s="23" t="s">
        <v>561</v>
      </c>
      <c r="AE216" s="23" t="str">
        <f t="shared" si="29"/>
        <v/>
      </c>
      <c r="AF216" s="23"/>
      <c r="AG216" s="23" t="str">
        <f t="shared" si="30"/>
        <v/>
      </c>
      <c r="AH216" s="24" t="s">
        <v>620</v>
      </c>
      <c r="AI216" s="23">
        <v>3.294</v>
      </c>
      <c r="AJ216" s="23">
        <v>1.8873</v>
      </c>
      <c r="AK216" s="23">
        <v>1.8496999999999999</v>
      </c>
      <c r="AL216" s="24" t="s">
        <v>619</v>
      </c>
      <c r="AM216" s="24">
        <v>210</v>
      </c>
      <c r="AN216" s="24">
        <v>0</v>
      </c>
      <c r="AO216" s="24" t="str">
        <f t="shared" si="31"/>
        <v/>
      </c>
    </row>
    <row r="217" spans="1:41" x14ac:dyDescent="0.3">
      <c r="A217" s="24" t="s">
        <v>300</v>
      </c>
      <c r="B217" s="24" t="s">
        <v>436</v>
      </c>
      <c r="C217" s="25" t="s">
        <v>616</v>
      </c>
      <c r="D217" s="26">
        <v>21.2</v>
      </c>
      <c r="E217" s="34" t="s">
        <v>39</v>
      </c>
      <c r="F217" s="27" t="s">
        <v>54</v>
      </c>
      <c r="G217" s="28">
        <v>44454</v>
      </c>
      <c r="H217" s="28">
        <v>44476</v>
      </c>
      <c r="I217" s="24">
        <v>15</v>
      </c>
      <c r="J217" s="24" t="s">
        <v>43</v>
      </c>
      <c r="K217" s="24" t="s">
        <v>619</v>
      </c>
      <c r="L217" s="24" t="str">
        <f t="shared" si="24"/>
        <v>Not tested</v>
      </c>
      <c r="M217" s="23" t="s">
        <v>44</v>
      </c>
      <c r="N217" s="23" t="str">
        <f t="shared" si="25"/>
        <v/>
      </c>
      <c r="O217" s="24" t="s">
        <v>620</v>
      </c>
      <c r="P217" s="23">
        <v>3.5</v>
      </c>
      <c r="Q217" s="29">
        <v>2.9098999999999999</v>
      </c>
      <c r="R217" s="29"/>
      <c r="S217" s="24" t="s">
        <v>619</v>
      </c>
      <c r="T217" s="24" t="str">
        <f t="shared" si="26"/>
        <v>Upper censored</v>
      </c>
      <c r="U217" s="24" t="s">
        <v>35</v>
      </c>
      <c r="V217" s="24" t="str">
        <f t="shared" si="27"/>
        <v/>
      </c>
      <c r="W217" s="24" t="s">
        <v>619</v>
      </c>
      <c r="X217" s="23">
        <v>3.206</v>
      </c>
      <c r="Y217" s="23">
        <v>1.1325000000000001</v>
      </c>
      <c r="Z217" s="23"/>
      <c r="AA217" s="24" t="s">
        <v>619</v>
      </c>
      <c r="AB217" s="24" t="str">
        <f t="shared" si="28"/>
        <v>Upper censored</v>
      </c>
      <c r="AC217" s="23" t="s">
        <v>35</v>
      </c>
      <c r="AD217" s="23" t="s">
        <v>561</v>
      </c>
      <c r="AE217" s="23" t="str">
        <f t="shared" si="29"/>
        <v/>
      </c>
      <c r="AF217" s="23"/>
      <c r="AG217" s="23" t="str">
        <f t="shared" si="30"/>
        <v/>
      </c>
      <c r="AH217" s="24" t="s">
        <v>619</v>
      </c>
      <c r="AI217" s="23">
        <v>3.2989999999999999</v>
      </c>
      <c r="AJ217" s="23">
        <v>0.65159999999999996</v>
      </c>
      <c r="AK217" s="23"/>
      <c r="AL217" s="24" t="s">
        <v>618</v>
      </c>
      <c r="AM217" s="24">
        <v>210</v>
      </c>
      <c r="AN217" s="24">
        <v>0</v>
      </c>
      <c r="AO217" s="24">
        <f t="shared" si="31"/>
        <v>120</v>
      </c>
    </row>
    <row r="218" spans="1:41" x14ac:dyDescent="0.3">
      <c r="A218" s="24" t="s">
        <v>301</v>
      </c>
      <c r="B218" s="24" t="s">
        <v>614</v>
      </c>
      <c r="C218" s="25" t="s">
        <v>615</v>
      </c>
      <c r="D218" s="26">
        <v>35.1</v>
      </c>
      <c r="E218" s="34" t="s">
        <v>47</v>
      </c>
      <c r="F218" s="27" t="s">
        <v>54</v>
      </c>
      <c r="G218" s="28">
        <v>44453</v>
      </c>
      <c r="H218" s="28">
        <v>44477</v>
      </c>
      <c r="I218" s="24">
        <v>12</v>
      </c>
      <c r="J218" s="24" t="s">
        <v>33</v>
      </c>
      <c r="K218" s="24" t="s">
        <v>618</v>
      </c>
      <c r="L218" s="24" t="str">
        <f t="shared" si="24"/>
        <v>Not tested</v>
      </c>
      <c r="M218" s="23" t="s">
        <v>44</v>
      </c>
      <c r="N218" s="23" t="str">
        <f t="shared" si="25"/>
        <v/>
      </c>
      <c r="O218" s="24" t="s">
        <v>620</v>
      </c>
      <c r="P218" s="23">
        <v>3.5</v>
      </c>
      <c r="Q218" s="29">
        <v>3.1450999999999998</v>
      </c>
      <c r="R218" s="29"/>
      <c r="S218" s="24" t="s">
        <v>619</v>
      </c>
      <c r="T218" s="24" t="str">
        <f t="shared" si="26"/>
        <v>Upper censored</v>
      </c>
      <c r="U218" s="24" t="s">
        <v>35</v>
      </c>
      <c r="V218" s="24" t="str">
        <f t="shared" si="27"/>
        <v/>
      </c>
      <c r="W218" s="24" t="s">
        <v>619</v>
      </c>
      <c r="X218" s="23">
        <v>3.4849999999999999</v>
      </c>
      <c r="Y218" s="23">
        <v>2.2431000000000001</v>
      </c>
      <c r="Z218" s="23"/>
      <c r="AA218" s="24" t="s">
        <v>619</v>
      </c>
      <c r="AB218" s="24" t="str">
        <f t="shared" si="28"/>
        <v>Upper censored</v>
      </c>
      <c r="AC218" s="23" t="s">
        <v>35</v>
      </c>
      <c r="AD218" s="23" t="s">
        <v>561</v>
      </c>
      <c r="AE218" s="23" t="str">
        <f t="shared" si="29"/>
        <v/>
      </c>
      <c r="AF218" s="23"/>
      <c r="AG218" s="23" t="str">
        <f t="shared" si="30"/>
        <v/>
      </c>
      <c r="AH218" s="24" t="s">
        <v>619</v>
      </c>
      <c r="AI218" s="23">
        <v>3.3010000000000002</v>
      </c>
      <c r="AJ218" s="23">
        <v>1.627</v>
      </c>
      <c r="AK218" s="23"/>
      <c r="AL218" s="24" t="s">
        <v>619</v>
      </c>
      <c r="AM218" s="24">
        <v>210</v>
      </c>
      <c r="AN218" s="24">
        <v>0</v>
      </c>
      <c r="AO218" s="24">
        <f t="shared" si="31"/>
        <v>120</v>
      </c>
    </row>
    <row r="219" spans="1:41" x14ac:dyDescent="0.3">
      <c r="A219" s="24" t="s">
        <v>302</v>
      </c>
      <c r="B219" s="24" t="s">
        <v>614</v>
      </c>
      <c r="C219" s="30" t="s">
        <v>616</v>
      </c>
      <c r="D219" s="26">
        <v>21.5</v>
      </c>
      <c r="E219" s="34" t="s">
        <v>39</v>
      </c>
      <c r="F219" s="27" t="s">
        <v>54</v>
      </c>
      <c r="G219" s="28">
        <v>44453</v>
      </c>
      <c r="H219" s="28">
        <v>44476</v>
      </c>
      <c r="I219" s="24">
        <v>15</v>
      </c>
      <c r="J219" s="24" t="s">
        <v>43</v>
      </c>
      <c r="K219" s="24" t="s">
        <v>618</v>
      </c>
      <c r="L219" s="24" t="str">
        <f t="shared" si="24"/>
        <v>Not tested</v>
      </c>
      <c r="M219" s="23" t="s">
        <v>44</v>
      </c>
      <c r="N219" s="23" t="str">
        <f t="shared" si="25"/>
        <v/>
      </c>
      <c r="O219" s="24" t="s">
        <v>620</v>
      </c>
      <c r="P219" s="23">
        <v>3.5</v>
      </c>
      <c r="Q219" s="29">
        <v>0.40720000000000001</v>
      </c>
      <c r="R219" s="29"/>
      <c r="S219" s="24" t="s">
        <v>618</v>
      </c>
      <c r="T219" s="24" t="str">
        <f t="shared" si="26"/>
        <v>Upper censored</v>
      </c>
      <c r="U219" s="24" t="s">
        <v>35</v>
      </c>
      <c r="V219" s="24" t="str">
        <f t="shared" si="27"/>
        <v/>
      </c>
      <c r="W219" s="24" t="s">
        <v>619</v>
      </c>
      <c r="X219" s="23">
        <v>3.444</v>
      </c>
      <c r="Y219" s="23">
        <v>3.8071999999999999</v>
      </c>
      <c r="Z219" s="23"/>
      <c r="AA219" s="24" t="s">
        <v>619</v>
      </c>
      <c r="AB219" s="24" t="str">
        <f t="shared" si="28"/>
        <v>Upper censored</v>
      </c>
      <c r="AC219" s="23" t="s">
        <v>35</v>
      </c>
      <c r="AD219" s="23" t="s">
        <v>561</v>
      </c>
      <c r="AE219" s="23" t="str">
        <f t="shared" si="29"/>
        <v/>
      </c>
      <c r="AF219" s="23"/>
      <c r="AG219" s="23" t="str">
        <f t="shared" si="30"/>
        <v/>
      </c>
      <c r="AH219" s="24" t="s">
        <v>619</v>
      </c>
      <c r="AI219" s="23">
        <v>3.3140000000000001</v>
      </c>
      <c r="AJ219" s="23">
        <v>1.1302000000000001</v>
      </c>
      <c r="AK219" s="23"/>
      <c r="AL219" s="24" t="s">
        <v>619</v>
      </c>
      <c r="AM219" s="24">
        <v>210</v>
      </c>
      <c r="AN219" s="24">
        <v>0</v>
      </c>
      <c r="AO219" s="24">
        <f t="shared" si="31"/>
        <v>120</v>
      </c>
    </row>
    <row r="220" spans="1:41" x14ac:dyDescent="0.3">
      <c r="A220" s="24" t="s">
        <v>303</v>
      </c>
      <c r="B220" s="24" t="s">
        <v>436</v>
      </c>
      <c r="C220" s="25"/>
      <c r="D220" s="26">
        <v>31.6</v>
      </c>
      <c r="E220" s="34" t="s">
        <v>47</v>
      </c>
      <c r="F220" s="27" t="s">
        <v>54</v>
      </c>
      <c r="G220" s="28">
        <v>44453</v>
      </c>
      <c r="H220" s="28">
        <v>44477</v>
      </c>
      <c r="I220" s="24">
        <v>12</v>
      </c>
      <c r="J220" s="24" t="s">
        <v>33</v>
      </c>
      <c r="K220" s="24" t="s">
        <v>618</v>
      </c>
      <c r="L220" s="24" t="str">
        <f t="shared" si="24"/>
        <v>Not tested</v>
      </c>
      <c r="M220" s="23" t="s">
        <v>44</v>
      </c>
      <c r="N220" s="23" t="str">
        <f t="shared" si="25"/>
        <v/>
      </c>
      <c r="O220" s="24" t="s">
        <v>620</v>
      </c>
      <c r="P220" s="23">
        <v>3.5</v>
      </c>
      <c r="Q220" s="29">
        <v>2.2204999999999999</v>
      </c>
      <c r="R220" s="29"/>
      <c r="S220" s="24" t="s">
        <v>619</v>
      </c>
      <c r="T220" s="24" t="str">
        <f t="shared" si="26"/>
        <v>Upper censored</v>
      </c>
      <c r="U220" s="24" t="s">
        <v>35</v>
      </c>
      <c r="V220" s="24" t="str">
        <f t="shared" si="27"/>
        <v/>
      </c>
      <c r="W220" s="24" t="s">
        <v>619</v>
      </c>
      <c r="X220" s="23">
        <v>3.4489999999999998</v>
      </c>
      <c r="Y220" s="23">
        <v>6.4013</v>
      </c>
      <c r="Z220" s="23"/>
      <c r="AA220" s="24" t="s">
        <v>619</v>
      </c>
      <c r="AB220" s="24" t="str">
        <f t="shared" si="28"/>
        <v>Upper censored</v>
      </c>
      <c r="AC220" s="23" t="s">
        <v>35</v>
      </c>
      <c r="AD220" s="23" t="s">
        <v>561</v>
      </c>
      <c r="AE220" s="23" t="str">
        <f t="shared" si="29"/>
        <v/>
      </c>
      <c r="AF220" s="23"/>
      <c r="AG220" s="23" t="str">
        <f t="shared" si="30"/>
        <v/>
      </c>
      <c r="AH220" s="24" t="s">
        <v>619</v>
      </c>
      <c r="AI220" s="23">
        <v>3.347</v>
      </c>
      <c r="AJ220" s="23">
        <v>5.048</v>
      </c>
      <c r="AK220" s="23"/>
      <c r="AL220" s="24" t="s">
        <v>619</v>
      </c>
      <c r="AM220" s="24">
        <v>210</v>
      </c>
      <c r="AN220" s="24">
        <v>0</v>
      </c>
      <c r="AO220" s="24">
        <f t="shared" si="31"/>
        <v>120</v>
      </c>
    </row>
    <row r="221" spans="1:41" x14ac:dyDescent="0.3">
      <c r="A221" s="24" t="s">
        <v>304</v>
      </c>
      <c r="B221" s="24" t="s">
        <v>614</v>
      </c>
      <c r="C221" s="25"/>
      <c r="D221" s="26">
        <v>18</v>
      </c>
      <c r="E221" s="34" t="s">
        <v>39</v>
      </c>
      <c r="F221" s="27" t="s">
        <v>54</v>
      </c>
      <c r="G221" s="28">
        <v>44453</v>
      </c>
      <c r="H221" s="28">
        <v>44477</v>
      </c>
      <c r="I221" s="24">
        <v>12</v>
      </c>
      <c r="J221" s="24" t="s">
        <v>33</v>
      </c>
      <c r="K221" s="24" t="s">
        <v>619</v>
      </c>
      <c r="L221" s="24" t="str">
        <f t="shared" si="24"/>
        <v>Not tested</v>
      </c>
      <c r="M221" s="23" t="s">
        <v>44</v>
      </c>
      <c r="N221" s="23" t="str">
        <f t="shared" si="25"/>
        <v/>
      </c>
      <c r="O221" s="24" t="s">
        <v>620</v>
      </c>
      <c r="P221" s="23">
        <v>3.5</v>
      </c>
      <c r="Q221" s="29">
        <v>0.68340000000000001</v>
      </c>
      <c r="R221" s="29"/>
      <c r="S221" s="24" t="s">
        <v>618</v>
      </c>
      <c r="T221" s="24" t="str">
        <f t="shared" si="26"/>
        <v>Technical failure</v>
      </c>
      <c r="U221" s="24" t="s">
        <v>44</v>
      </c>
      <c r="V221" s="24" t="str">
        <f t="shared" si="27"/>
        <v/>
      </c>
      <c r="W221" s="24" t="s">
        <v>620</v>
      </c>
      <c r="X221" s="23">
        <v>3.5</v>
      </c>
      <c r="Y221" s="23">
        <v>2.9832000000000001</v>
      </c>
      <c r="Z221" s="23"/>
      <c r="AA221" s="24" t="s">
        <v>619</v>
      </c>
      <c r="AB221" s="24" t="str">
        <f t="shared" si="28"/>
        <v>Not tested</v>
      </c>
      <c r="AC221" s="23" t="s">
        <v>44</v>
      </c>
      <c r="AD221" s="23" t="s">
        <v>561</v>
      </c>
      <c r="AE221" s="23" t="str">
        <f t="shared" si="29"/>
        <v/>
      </c>
      <c r="AF221" s="23"/>
      <c r="AG221" s="23" t="str">
        <f t="shared" si="30"/>
        <v/>
      </c>
      <c r="AH221" s="24" t="s">
        <v>620</v>
      </c>
      <c r="AI221" s="23">
        <v>3.351</v>
      </c>
      <c r="AJ221" s="23">
        <v>1.5427999999999999</v>
      </c>
      <c r="AK221" s="23"/>
      <c r="AL221" s="24" t="s">
        <v>619</v>
      </c>
      <c r="AM221" s="24">
        <v>210</v>
      </c>
      <c r="AN221" s="24">
        <v>0</v>
      </c>
      <c r="AO221" s="24" t="str">
        <f t="shared" si="31"/>
        <v/>
      </c>
    </row>
    <row r="222" spans="1:41" x14ac:dyDescent="0.3">
      <c r="A222" s="24" t="s">
        <v>305</v>
      </c>
      <c r="B222" s="24" t="s">
        <v>614</v>
      </c>
      <c r="C222" s="25" t="s">
        <v>616</v>
      </c>
      <c r="D222" s="26">
        <v>24.5</v>
      </c>
      <c r="E222" s="34" t="s">
        <v>31</v>
      </c>
      <c r="F222" s="27" t="s">
        <v>54</v>
      </c>
      <c r="G222" s="28">
        <v>44453</v>
      </c>
      <c r="H222" s="28">
        <v>44477</v>
      </c>
      <c r="I222" s="24">
        <v>12</v>
      </c>
      <c r="J222" s="24" t="s">
        <v>33</v>
      </c>
      <c r="K222" s="24" t="s">
        <v>618</v>
      </c>
      <c r="L222" s="24" t="str">
        <f t="shared" si="24"/>
        <v>Not tested</v>
      </c>
      <c r="M222" s="23" t="s">
        <v>44</v>
      </c>
      <c r="N222" s="23" t="str">
        <f t="shared" si="25"/>
        <v/>
      </c>
      <c r="O222" s="24" t="s">
        <v>620</v>
      </c>
      <c r="P222" s="23">
        <v>3.5</v>
      </c>
      <c r="Q222" s="23">
        <v>1.5813999999999999</v>
      </c>
      <c r="R222" s="23">
        <v>1.5539000000000001</v>
      </c>
      <c r="S222" s="23" t="s">
        <v>619</v>
      </c>
      <c r="T222" s="24" t="str">
        <f t="shared" si="26"/>
        <v>Upper censored</v>
      </c>
      <c r="U222" s="24" t="s">
        <v>35</v>
      </c>
      <c r="V222" s="24" t="str">
        <f t="shared" si="27"/>
        <v/>
      </c>
      <c r="W222" s="24" t="s">
        <v>619</v>
      </c>
      <c r="X222" s="23">
        <v>3.31</v>
      </c>
      <c r="Y222" s="23">
        <v>0.87670000000000003</v>
      </c>
      <c r="Z222" s="23"/>
      <c r="AA222" s="24" t="s">
        <v>618</v>
      </c>
      <c r="AB222" s="24" t="str">
        <f t="shared" si="28"/>
        <v>Upper censored</v>
      </c>
      <c r="AC222" s="24" t="s">
        <v>35</v>
      </c>
      <c r="AD222" s="23" t="s">
        <v>561</v>
      </c>
      <c r="AE222" s="23" t="str">
        <f t="shared" si="29"/>
        <v/>
      </c>
      <c r="AF222" s="24"/>
      <c r="AG222" s="23" t="str">
        <f t="shared" si="30"/>
        <v/>
      </c>
      <c r="AH222" s="24" t="s">
        <v>619</v>
      </c>
      <c r="AI222" s="23">
        <v>3.359</v>
      </c>
      <c r="AJ222" s="23">
        <v>0.59299999999999997</v>
      </c>
      <c r="AK222" s="23"/>
      <c r="AL222" s="24" t="s">
        <v>618</v>
      </c>
      <c r="AM222" s="24">
        <v>210</v>
      </c>
      <c r="AN222" s="24">
        <v>0</v>
      </c>
      <c r="AO222" s="24">
        <f t="shared" si="31"/>
        <v>120</v>
      </c>
    </row>
    <row r="223" spans="1:41" x14ac:dyDescent="0.3">
      <c r="A223" s="24" t="s">
        <v>307</v>
      </c>
      <c r="B223" s="24" t="s">
        <v>614</v>
      </c>
      <c r="C223" s="25" t="s">
        <v>616</v>
      </c>
      <c r="D223" s="26">
        <v>24.4</v>
      </c>
      <c r="E223" s="34" t="s">
        <v>31</v>
      </c>
      <c r="F223" s="27" t="s">
        <v>54</v>
      </c>
      <c r="G223" s="28">
        <v>44454</v>
      </c>
      <c r="H223" s="28">
        <v>44476</v>
      </c>
      <c r="I223" s="24">
        <v>15</v>
      </c>
      <c r="J223" s="24" t="s">
        <v>43</v>
      </c>
      <c r="K223" s="24" t="s">
        <v>619</v>
      </c>
      <c r="L223" s="24" t="str">
        <f t="shared" si="24"/>
        <v>Not tested</v>
      </c>
      <c r="M223" s="23" t="s">
        <v>44</v>
      </c>
      <c r="N223" s="23" t="str">
        <f t="shared" si="25"/>
        <v/>
      </c>
      <c r="O223" s="24" t="s">
        <v>620</v>
      </c>
      <c r="P223" s="23">
        <v>3.5</v>
      </c>
      <c r="Q223" s="29">
        <v>0.15010000000000001</v>
      </c>
      <c r="R223" s="29"/>
      <c r="S223" s="24" t="s">
        <v>618</v>
      </c>
      <c r="T223" s="24" t="str">
        <f t="shared" si="26"/>
        <v>Technical failure</v>
      </c>
      <c r="U223" s="24" t="s">
        <v>44</v>
      </c>
      <c r="V223" s="24" t="str">
        <f t="shared" si="27"/>
        <v/>
      </c>
      <c r="W223" s="24" t="s">
        <v>620</v>
      </c>
      <c r="X223" s="23">
        <v>3.4590000000000001</v>
      </c>
      <c r="Y223" s="23">
        <v>0.71879999999999999</v>
      </c>
      <c r="Z223" s="23"/>
      <c r="AA223" s="24" t="s">
        <v>618</v>
      </c>
      <c r="AB223" s="24" t="str">
        <f t="shared" si="28"/>
        <v>Upper censored</v>
      </c>
      <c r="AC223" s="23" t="s">
        <v>35</v>
      </c>
      <c r="AD223" s="23" t="s">
        <v>561</v>
      </c>
      <c r="AE223" s="23" t="str">
        <f t="shared" si="29"/>
        <v/>
      </c>
      <c r="AF223" s="23"/>
      <c r="AG223" s="23" t="str">
        <f t="shared" si="30"/>
        <v/>
      </c>
      <c r="AH223" s="24" t="s">
        <v>619</v>
      </c>
      <c r="AI223" s="23">
        <v>3.3690000000000002</v>
      </c>
      <c r="AJ223" s="23">
        <v>0.25169999999999998</v>
      </c>
      <c r="AK223" s="23"/>
      <c r="AL223" s="24" t="s">
        <v>618</v>
      </c>
      <c r="AM223" s="24">
        <v>210</v>
      </c>
      <c r="AN223" s="24">
        <v>0</v>
      </c>
      <c r="AO223" s="24">
        <f t="shared" si="31"/>
        <v>120</v>
      </c>
    </row>
    <row r="224" spans="1:41" x14ac:dyDescent="0.3">
      <c r="A224" s="24" t="s">
        <v>308</v>
      </c>
      <c r="B224" s="24" t="s">
        <v>614</v>
      </c>
      <c r="C224" s="25" t="s">
        <v>616</v>
      </c>
      <c r="D224" s="26">
        <v>18.100000000000001</v>
      </c>
      <c r="E224" s="34" t="s">
        <v>39</v>
      </c>
      <c r="F224" s="27" t="s">
        <v>54</v>
      </c>
      <c r="G224" s="28">
        <v>44453</v>
      </c>
      <c r="H224" s="28">
        <v>44477</v>
      </c>
      <c r="I224" s="24">
        <v>15</v>
      </c>
      <c r="J224" s="24" t="s">
        <v>43</v>
      </c>
      <c r="K224" s="24" t="s">
        <v>618</v>
      </c>
      <c r="L224" s="24" t="str">
        <f t="shared" si="24"/>
        <v>Not tested</v>
      </c>
      <c r="M224" s="23" t="s">
        <v>44</v>
      </c>
      <c r="N224" s="23" t="str">
        <f t="shared" si="25"/>
        <v/>
      </c>
      <c r="O224" s="24" t="s">
        <v>620</v>
      </c>
      <c r="P224" s="23">
        <v>3.5</v>
      </c>
      <c r="Q224" s="29">
        <v>7.6399999999999996E-2</v>
      </c>
      <c r="R224" s="29"/>
      <c r="S224" s="24" t="s">
        <v>618</v>
      </c>
      <c r="T224" s="24" t="str">
        <f t="shared" si="26"/>
        <v>Technical failure</v>
      </c>
      <c r="U224" s="24" t="s">
        <v>44</v>
      </c>
      <c r="V224" s="24" t="str">
        <f t="shared" si="27"/>
        <v/>
      </c>
      <c r="W224" s="24" t="s">
        <v>620</v>
      </c>
      <c r="X224" s="23">
        <v>3.5</v>
      </c>
      <c r="Y224" s="23">
        <v>2.3744000000000001</v>
      </c>
      <c r="Z224" s="23"/>
      <c r="AA224" s="24" t="s">
        <v>619</v>
      </c>
      <c r="AB224" s="24" t="str">
        <f t="shared" si="28"/>
        <v>Upper censored</v>
      </c>
      <c r="AC224" s="23" t="s">
        <v>35</v>
      </c>
      <c r="AD224" s="23" t="s">
        <v>561</v>
      </c>
      <c r="AE224" s="23" t="str">
        <f t="shared" si="29"/>
        <v/>
      </c>
      <c r="AF224" s="23"/>
      <c r="AG224" s="23" t="str">
        <f t="shared" si="30"/>
        <v/>
      </c>
      <c r="AH224" s="24" t="s">
        <v>619</v>
      </c>
      <c r="AI224" s="23">
        <v>3.3759999999999999</v>
      </c>
      <c r="AJ224" s="23">
        <v>4.6284000000000001</v>
      </c>
      <c r="AK224" s="23"/>
      <c r="AL224" s="24" t="s">
        <v>619</v>
      </c>
      <c r="AM224" s="24">
        <v>210</v>
      </c>
      <c r="AN224" s="24">
        <v>0</v>
      </c>
      <c r="AO224" s="24">
        <f t="shared" si="31"/>
        <v>120</v>
      </c>
    </row>
    <row r="225" spans="1:41" x14ac:dyDescent="0.3">
      <c r="A225" s="24" t="s">
        <v>309</v>
      </c>
      <c r="B225" s="24" t="s">
        <v>614</v>
      </c>
      <c r="C225" s="25"/>
      <c r="D225" s="26">
        <v>15.5</v>
      </c>
      <c r="E225" s="34" t="s">
        <v>39</v>
      </c>
      <c r="F225" s="27" t="s">
        <v>54</v>
      </c>
      <c r="G225" s="28">
        <v>44453</v>
      </c>
      <c r="H225" s="28">
        <v>44476</v>
      </c>
      <c r="I225" s="24">
        <v>12</v>
      </c>
      <c r="J225" s="24" t="s">
        <v>33</v>
      </c>
      <c r="K225" s="24" t="s">
        <v>619</v>
      </c>
      <c r="L225" s="24" t="str">
        <f t="shared" si="24"/>
        <v>Not tested</v>
      </c>
      <c r="M225" s="23" t="s">
        <v>44</v>
      </c>
      <c r="N225" s="23" t="str">
        <f t="shared" si="25"/>
        <v/>
      </c>
      <c r="O225" s="24" t="s">
        <v>620</v>
      </c>
      <c r="P225" s="23">
        <v>3.5</v>
      </c>
      <c r="Q225" s="29">
        <v>1.4988999999999999</v>
      </c>
      <c r="R225" s="29"/>
      <c r="S225" s="24" t="s">
        <v>619</v>
      </c>
      <c r="T225" s="24" t="str">
        <f t="shared" si="26"/>
        <v>Upper censored</v>
      </c>
      <c r="U225" s="24" t="s">
        <v>35</v>
      </c>
      <c r="V225" s="24" t="str">
        <f t="shared" si="27"/>
        <v/>
      </c>
      <c r="W225" s="24" t="s">
        <v>619</v>
      </c>
      <c r="X225" s="23">
        <v>2.9180000000000001</v>
      </c>
      <c r="Y225" s="23">
        <v>0.76529999999999998</v>
      </c>
      <c r="Z225" s="23"/>
      <c r="AA225" s="24" t="s">
        <v>618</v>
      </c>
      <c r="AB225" s="24" t="str">
        <f t="shared" si="28"/>
        <v>Upper censored</v>
      </c>
      <c r="AC225" s="23" t="s">
        <v>35</v>
      </c>
      <c r="AD225" s="23" t="s">
        <v>561</v>
      </c>
      <c r="AE225" s="23" t="str">
        <f t="shared" si="29"/>
        <v/>
      </c>
      <c r="AF225" s="23"/>
      <c r="AG225" s="23" t="str">
        <f t="shared" si="30"/>
        <v/>
      </c>
      <c r="AH225" s="24" t="s">
        <v>619</v>
      </c>
      <c r="AI225" s="23">
        <v>3.383</v>
      </c>
      <c r="AJ225" s="23">
        <v>6.9623999999999997</v>
      </c>
      <c r="AK225" s="23"/>
      <c r="AL225" s="24" t="s">
        <v>619</v>
      </c>
      <c r="AM225" s="24">
        <v>210</v>
      </c>
      <c r="AN225" s="24">
        <v>0</v>
      </c>
      <c r="AO225" s="24">
        <f t="shared" si="31"/>
        <v>120</v>
      </c>
    </row>
    <row r="226" spans="1:41" x14ac:dyDescent="0.3">
      <c r="A226" s="24" t="s">
        <v>310</v>
      </c>
      <c r="B226" s="24" t="s">
        <v>436</v>
      </c>
      <c r="C226" s="25"/>
      <c r="D226" s="26">
        <v>20.100000000000001</v>
      </c>
      <c r="E226" s="34" t="s">
        <v>39</v>
      </c>
      <c r="F226" s="27" t="s">
        <v>54</v>
      </c>
      <c r="G226" s="28">
        <v>44453</v>
      </c>
      <c r="H226" s="28">
        <v>44477</v>
      </c>
      <c r="I226" s="24">
        <v>14</v>
      </c>
      <c r="J226" s="24" t="s">
        <v>43</v>
      </c>
      <c r="K226" s="24" t="s">
        <v>618</v>
      </c>
      <c r="L226" s="24" t="str">
        <f t="shared" si="24"/>
        <v>Not tested</v>
      </c>
      <c r="M226" s="23" t="s">
        <v>44</v>
      </c>
      <c r="N226" s="23" t="str">
        <f t="shared" si="25"/>
        <v/>
      </c>
      <c r="O226" s="24" t="s">
        <v>620</v>
      </c>
      <c r="P226" s="23">
        <v>3.5</v>
      </c>
      <c r="Q226" s="29">
        <v>0.46760000000000002</v>
      </c>
      <c r="R226" s="29"/>
      <c r="S226" s="24" t="s">
        <v>618</v>
      </c>
      <c r="T226" s="24" t="str">
        <f t="shared" si="26"/>
        <v>Upper censored</v>
      </c>
      <c r="U226" s="24" t="s">
        <v>35</v>
      </c>
      <c r="V226" s="24" t="str">
        <f t="shared" si="27"/>
        <v/>
      </c>
      <c r="W226" s="24" t="s">
        <v>619</v>
      </c>
      <c r="X226" s="23">
        <v>3.3010000000000002</v>
      </c>
      <c r="Y226" s="23">
        <v>6.7179000000000002</v>
      </c>
      <c r="Z226" s="23"/>
      <c r="AA226" s="24" t="s">
        <v>619</v>
      </c>
      <c r="AB226" s="24" t="str">
        <f t="shared" si="28"/>
        <v>Upper censored</v>
      </c>
      <c r="AC226" s="23" t="s">
        <v>35</v>
      </c>
      <c r="AD226" s="23" t="s">
        <v>561</v>
      </c>
      <c r="AE226" s="23" t="str">
        <f t="shared" si="29"/>
        <v/>
      </c>
      <c r="AF226" s="23"/>
      <c r="AG226" s="23" t="str">
        <f t="shared" si="30"/>
        <v/>
      </c>
      <c r="AH226" s="24" t="s">
        <v>619</v>
      </c>
      <c r="AI226" s="23">
        <v>3.4</v>
      </c>
      <c r="AJ226" s="23">
        <v>3.0731000000000002</v>
      </c>
      <c r="AK226" s="23"/>
      <c r="AL226" s="24" t="s">
        <v>619</v>
      </c>
      <c r="AM226" s="24">
        <v>210</v>
      </c>
      <c r="AN226" s="24">
        <v>0</v>
      </c>
      <c r="AO226" s="24">
        <f t="shared" si="31"/>
        <v>120</v>
      </c>
    </row>
    <row r="227" spans="1:41" x14ac:dyDescent="0.3">
      <c r="A227" s="24" t="s">
        <v>311</v>
      </c>
      <c r="B227" s="24" t="s">
        <v>436</v>
      </c>
      <c r="C227" s="25"/>
      <c r="D227" s="26">
        <v>18.2</v>
      </c>
      <c r="E227" s="34" t="s">
        <v>39</v>
      </c>
      <c r="F227" s="27" t="s">
        <v>54</v>
      </c>
      <c r="G227" s="28">
        <v>44453</v>
      </c>
      <c r="H227" s="28">
        <v>44477</v>
      </c>
      <c r="I227" s="24">
        <v>12</v>
      </c>
      <c r="J227" s="24" t="s">
        <v>33</v>
      </c>
      <c r="K227" s="24" t="s">
        <v>618</v>
      </c>
      <c r="L227" s="24" t="str">
        <f t="shared" si="24"/>
        <v>Not tested</v>
      </c>
      <c r="M227" s="23" t="s">
        <v>44</v>
      </c>
      <c r="N227" s="23" t="str">
        <f t="shared" si="25"/>
        <v/>
      </c>
      <c r="O227" s="24" t="s">
        <v>620</v>
      </c>
      <c r="P227" s="23">
        <v>3.5</v>
      </c>
      <c r="Q227" s="29">
        <v>1.2615000000000001</v>
      </c>
      <c r="R227" s="29"/>
      <c r="S227" s="24" t="s">
        <v>619</v>
      </c>
      <c r="T227" s="24" t="str">
        <f t="shared" si="26"/>
        <v>Upper censored</v>
      </c>
      <c r="U227" s="24" t="s">
        <v>35</v>
      </c>
      <c r="V227" s="24" t="str">
        <f t="shared" si="27"/>
        <v/>
      </c>
      <c r="W227" s="24" t="s">
        <v>619</v>
      </c>
      <c r="X227" s="23">
        <v>3.5</v>
      </c>
      <c r="Y227" s="23">
        <v>6.4702000000000002</v>
      </c>
      <c r="Z227" s="23"/>
      <c r="AA227" s="24" t="s">
        <v>619</v>
      </c>
      <c r="AB227" s="24" t="str">
        <f t="shared" si="28"/>
        <v>Normal</v>
      </c>
      <c r="AC227" s="23">
        <v>1070707</v>
      </c>
      <c r="AD227" s="23">
        <v>107.0707</v>
      </c>
      <c r="AE227" s="23" t="str">
        <f t="shared" si="29"/>
        <v/>
      </c>
      <c r="AF227" s="23"/>
      <c r="AG227" s="23" t="str">
        <f t="shared" si="30"/>
        <v/>
      </c>
      <c r="AH227" s="24" t="s">
        <v>619</v>
      </c>
      <c r="AI227" s="23">
        <v>3.4049999999999998</v>
      </c>
      <c r="AJ227" s="23">
        <v>3.7212999999999998</v>
      </c>
      <c r="AK227" s="23"/>
      <c r="AL227" s="24" t="s">
        <v>619</v>
      </c>
      <c r="AM227" s="24"/>
      <c r="AN227" s="24"/>
      <c r="AO227" s="24" t="str">
        <f t="shared" si="31"/>
        <v/>
      </c>
    </row>
    <row r="228" spans="1:41" x14ac:dyDescent="0.3">
      <c r="A228" s="24" t="s">
        <v>312</v>
      </c>
      <c r="B228" s="24" t="s">
        <v>614</v>
      </c>
      <c r="C228" s="25" t="s">
        <v>616</v>
      </c>
      <c r="D228" s="26">
        <v>15.6</v>
      </c>
      <c r="E228" s="34" t="s">
        <v>39</v>
      </c>
      <c r="F228" s="27" t="s">
        <v>54</v>
      </c>
      <c r="G228" s="28">
        <v>44453</v>
      </c>
      <c r="H228" s="28">
        <v>44477</v>
      </c>
      <c r="I228" s="24">
        <v>12</v>
      </c>
      <c r="J228" s="24" t="s">
        <v>33</v>
      </c>
      <c r="K228" s="24" t="s">
        <v>619</v>
      </c>
      <c r="L228" s="24" t="str">
        <f t="shared" si="24"/>
        <v>Not tested</v>
      </c>
      <c r="M228" s="23" t="s">
        <v>44</v>
      </c>
      <c r="N228" s="23" t="str">
        <f t="shared" si="25"/>
        <v/>
      </c>
      <c r="O228" s="24" t="s">
        <v>620</v>
      </c>
      <c r="P228" s="23">
        <v>3.5</v>
      </c>
      <c r="Q228" s="29">
        <v>1.0168999999999999</v>
      </c>
      <c r="R228" s="29"/>
      <c r="S228" s="24" t="s">
        <v>618</v>
      </c>
      <c r="T228" s="24" t="str">
        <f t="shared" si="26"/>
        <v>Upper censored</v>
      </c>
      <c r="U228" s="24" t="s">
        <v>35</v>
      </c>
      <c r="V228" s="24" t="str">
        <f t="shared" si="27"/>
        <v/>
      </c>
      <c r="W228" s="24" t="s">
        <v>619</v>
      </c>
      <c r="X228" s="23">
        <v>3.5</v>
      </c>
      <c r="Y228" s="23">
        <v>5.9687999999999999</v>
      </c>
      <c r="Z228" s="23"/>
      <c r="AA228" s="24" t="s">
        <v>619</v>
      </c>
      <c r="AB228" s="24" t="str">
        <f t="shared" si="28"/>
        <v>Upper censored</v>
      </c>
      <c r="AC228" s="23" t="s">
        <v>35</v>
      </c>
      <c r="AD228" s="23" t="s">
        <v>561</v>
      </c>
      <c r="AE228" s="23" t="str">
        <f t="shared" si="29"/>
        <v/>
      </c>
      <c r="AF228" s="23"/>
      <c r="AG228" s="23" t="str">
        <f t="shared" si="30"/>
        <v/>
      </c>
      <c r="AH228" s="24" t="s">
        <v>619</v>
      </c>
      <c r="AI228" s="23">
        <v>3.4129999999999998</v>
      </c>
      <c r="AJ228" s="23">
        <v>2.0207000000000002</v>
      </c>
      <c r="AK228" s="23"/>
      <c r="AL228" s="24" t="s">
        <v>619</v>
      </c>
      <c r="AM228" s="24">
        <v>210</v>
      </c>
      <c r="AN228" s="24">
        <v>0</v>
      </c>
      <c r="AO228" s="24">
        <f t="shared" si="31"/>
        <v>120</v>
      </c>
    </row>
    <row r="229" spans="1:41" x14ac:dyDescent="0.3">
      <c r="A229" s="24" t="s">
        <v>313</v>
      </c>
      <c r="B229" s="24" t="s">
        <v>436</v>
      </c>
      <c r="C229" s="25" t="s">
        <v>616</v>
      </c>
      <c r="D229" s="26">
        <v>21.2</v>
      </c>
      <c r="E229" s="34" t="s">
        <v>39</v>
      </c>
      <c r="F229" s="27" t="s">
        <v>54</v>
      </c>
      <c r="G229" s="28">
        <v>44453</v>
      </c>
      <c r="H229" s="28">
        <v>44477</v>
      </c>
      <c r="I229" s="24">
        <v>15</v>
      </c>
      <c r="J229" s="24" t="s">
        <v>43</v>
      </c>
      <c r="K229" s="24" t="s">
        <v>618</v>
      </c>
      <c r="L229" s="24" t="str">
        <f t="shared" si="24"/>
        <v>Not tested</v>
      </c>
      <c r="M229" s="23" t="s">
        <v>44</v>
      </c>
      <c r="N229" s="23" t="str">
        <f t="shared" si="25"/>
        <v/>
      </c>
      <c r="O229" s="24" t="s">
        <v>620</v>
      </c>
      <c r="P229" s="23">
        <v>3.5</v>
      </c>
      <c r="Q229" s="29">
        <v>6.2600000000000003E-2</v>
      </c>
      <c r="R229" s="29">
        <v>6.0400000000000002E-2</v>
      </c>
      <c r="S229" s="24" t="s">
        <v>618</v>
      </c>
      <c r="T229" s="24" t="str">
        <f t="shared" si="26"/>
        <v>Technical failure</v>
      </c>
      <c r="U229" s="24" t="s">
        <v>44</v>
      </c>
      <c r="V229" s="24" t="str">
        <f t="shared" si="27"/>
        <v/>
      </c>
      <c r="W229" s="24" t="s">
        <v>620</v>
      </c>
      <c r="X229" s="23">
        <v>3.355</v>
      </c>
      <c r="Y229" s="23">
        <v>1.5642</v>
      </c>
      <c r="Z229" s="23"/>
      <c r="AA229" s="24" t="s">
        <v>619</v>
      </c>
      <c r="AB229" s="24" t="str">
        <f t="shared" si="28"/>
        <v>Upper censored</v>
      </c>
      <c r="AC229" s="23" t="s">
        <v>35</v>
      </c>
      <c r="AD229" s="23" t="s">
        <v>561</v>
      </c>
      <c r="AE229" s="23" t="str">
        <f t="shared" si="29"/>
        <v/>
      </c>
      <c r="AF229" s="23"/>
      <c r="AG229" s="23" t="str">
        <f t="shared" si="30"/>
        <v/>
      </c>
      <c r="AH229" s="24" t="s">
        <v>619</v>
      </c>
      <c r="AI229" s="23">
        <v>3.4260000000000002</v>
      </c>
      <c r="AJ229" s="23">
        <v>0.63880000000000003</v>
      </c>
      <c r="AK229" s="23"/>
      <c r="AL229" s="24" t="s">
        <v>618</v>
      </c>
      <c r="AM229" s="24">
        <v>210</v>
      </c>
      <c r="AN229" s="24">
        <v>0</v>
      </c>
      <c r="AO229" s="24">
        <f t="shared" si="31"/>
        <v>120</v>
      </c>
    </row>
    <row r="230" spans="1:41" x14ac:dyDescent="0.3">
      <c r="A230" s="24" t="s">
        <v>315</v>
      </c>
      <c r="B230" s="24" t="s">
        <v>436</v>
      </c>
      <c r="C230" s="25" t="s">
        <v>616</v>
      </c>
      <c r="D230" s="26">
        <v>14.7</v>
      </c>
      <c r="E230" s="34" t="s">
        <v>41</v>
      </c>
      <c r="F230" s="27" t="s">
        <v>54</v>
      </c>
      <c r="G230" s="28">
        <v>44453</v>
      </c>
      <c r="H230" s="28">
        <v>44477</v>
      </c>
      <c r="I230" s="24">
        <v>12</v>
      </c>
      <c r="J230" s="24" t="s">
        <v>33</v>
      </c>
      <c r="K230" s="24" t="s">
        <v>618</v>
      </c>
      <c r="L230" s="24" t="str">
        <f t="shared" si="24"/>
        <v>Not tested</v>
      </c>
      <c r="M230" s="23" t="s">
        <v>44</v>
      </c>
      <c r="N230" s="23" t="str">
        <f t="shared" si="25"/>
        <v/>
      </c>
      <c r="O230" s="24" t="s">
        <v>620</v>
      </c>
      <c r="P230" s="23">
        <v>3.5</v>
      </c>
      <c r="Q230" s="29">
        <v>2.7143000000000002</v>
      </c>
      <c r="R230" s="29"/>
      <c r="S230" s="24" t="s">
        <v>619</v>
      </c>
      <c r="T230" s="24" t="str">
        <f t="shared" si="26"/>
        <v>Upper censored</v>
      </c>
      <c r="U230" s="24" t="s">
        <v>35</v>
      </c>
      <c r="V230" s="24" t="str">
        <f t="shared" si="27"/>
        <v/>
      </c>
      <c r="W230" s="24" t="s">
        <v>619</v>
      </c>
      <c r="X230" s="23">
        <v>3.5</v>
      </c>
      <c r="Y230" s="23">
        <v>1.6424000000000001</v>
      </c>
      <c r="Z230" s="23"/>
      <c r="AA230" s="24" t="s">
        <v>619</v>
      </c>
      <c r="AB230" s="24" t="str">
        <f t="shared" si="28"/>
        <v>Upper censored</v>
      </c>
      <c r="AC230" s="23" t="s">
        <v>35</v>
      </c>
      <c r="AD230" s="23" t="s">
        <v>561</v>
      </c>
      <c r="AE230" s="23" t="str">
        <f t="shared" si="29"/>
        <v/>
      </c>
      <c r="AF230" s="23"/>
      <c r="AG230" s="23" t="str">
        <f t="shared" si="30"/>
        <v/>
      </c>
      <c r="AH230" s="24" t="s">
        <v>619</v>
      </c>
      <c r="AI230" s="23">
        <v>3.4489999999999998</v>
      </c>
      <c r="AJ230" s="23">
        <v>1.3320000000000001</v>
      </c>
      <c r="AK230" s="23"/>
      <c r="AL230" s="24" t="s">
        <v>619</v>
      </c>
      <c r="AM230" s="24">
        <v>210</v>
      </c>
      <c r="AN230" s="24">
        <v>0</v>
      </c>
      <c r="AO230" s="24">
        <f t="shared" si="31"/>
        <v>120</v>
      </c>
    </row>
    <row r="231" spans="1:41" x14ac:dyDescent="0.3">
      <c r="A231" s="24" t="s">
        <v>316</v>
      </c>
      <c r="B231" s="24" t="s">
        <v>614</v>
      </c>
      <c r="C231" s="30" t="s">
        <v>616</v>
      </c>
      <c r="D231" s="26">
        <v>19.5</v>
      </c>
      <c r="E231" s="34" t="s">
        <v>39</v>
      </c>
      <c r="F231" s="27" t="s">
        <v>54</v>
      </c>
      <c r="G231" s="28">
        <v>44453</v>
      </c>
      <c r="H231" s="28">
        <v>44476</v>
      </c>
      <c r="I231" s="24">
        <v>15</v>
      </c>
      <c r="J231" s="24" t="s">
        <v>43</v>
      </c>
      <c r="K231" s="24" t="s">
        <v>619</v>
      </c>
      <c r="L231" s="24" t="str">
        <f t="shared" si="24"/>
        <v>Not tested</v>
      </c>
      <c r="M231" s="23" t="s">
        <v>44</v>
      </c>
      <c r="N231" s="23" t="str">
        <f t="shared" si="25"/>
        <v/>
      </c>
      <c r="O231" s="24" t="s">
        <v>620</v>
      </c>
      <c r="P231" s="23">
        <v>3.5</v>
      </c>
      <c r="Q231" s="29">
        <v>0.71650000000000003</v>
      </c>
      <c r="R231" s="29"/>
      <c r="S231" s="24" t="s">
        <v>618</v>
      </c>
      <c r="T231" s="24" t="str">
        <f t="shared" si="26"/>
        <v>Technical failure</v>
      </c>
      <c r="U231" s="24" t="s">
        <v>44</v>
      </c>
      <c r="V231" s="24" t="str">
        <f t="shared" si="27"/>
        <v/>
      </c>
      <c r="W231" s="24" t="s">
        <v>620</v>
      </c>
      <c r="X231" s="23">
        <v>3.3450000000000002</v>
      </c>
      <c r="Y231" s="23">
        <v>2.8719999999999999</v>
      </c>
      <c r="Z231" s="23"/>
      <c r="AA231" s="24" t="s">
        <v>619</v>
      </c>
      <c r="AB231" s="24" t="str">
        <f t="shared" si="28"/>
        <v>Not tested</v>
      </c>
      <c r="AC231" s="23" t="s">
        <v>44</v>
      </c>
      <c r="AD231" s="23" t="s">
        <v>561</v>
      </c>
      <c r="AE231" s="23" t="str">
        <f t="shared" si="29"/>
        <v/>
      </c>
      <c r="AF231" s="23"/>
      <c r="AG231" s="23" t="str">
        <f t="shared" si="30"/>
        <v/>
      </c>
      <c r="AH231" s="24" t="s">
        <v>620</v>
      </c>
      <c r="AI231" s="23">
        <v>3.4580000000000002</v>
      </c>
      <c r="AJ231" s="23">
        <v>1.5143</v>
      </c>
      <c r="AK231" s="23"/>
      <c r="AL231" s="24" t="s">
        <v>619</v>
      </c>
      <c r="AM231" s="24">
        <v>210</v>
      </c>
      <c r="AN231" s="24">
        <v>0</v>
      </c>
      <c r="AO231" s="24" t="str">
        <f t="shared" si="31"/>
        <v/>
      </c>
    </row>
    <row r="232" spans="1:41" x14ac:dyDescent="0.3">
      <c r="A232" s="24" t="s">
        <v>317</v>
      </c>
      <c r="B232" s="24" t="s">
        <v>436</v>
      </c>
      <c r="C232" s="25"/>
      <c r="D232" s="26">
        <v>18.100000000000001</v>
      </c>
      <c r="E232" s="34" t="s">
        <v>39</v>
      </c>
      <c r="F232" s="27" t="s">
        <v>54</v>
      </c>
      <c r="G232" s="28">
        <v>44453</v>
      </c>
      <c r="H232" s="28">
        <v>44489</v>
      </c>
      <c r="I232" s="24">
        <v>12</v>
      </c>
      <c r="J232" s="24" t="s">
        <v>33</v>
      </c>
      <c r="K232" s="24" t="s">
        <v>619</v>
      </c>
      <c r="L232" s="24" t="str">
        <f t="shared" si="24"/>
        <v>Not tested</v>
      </c>
      <c r="M232" s="23" t="s">
        <v>44</v>
      </c>
      <c r="N232" s="23" t="str">
        <f t="shared" si="25"/>
        <v/>
      </c>
      <c r="O232" s="24" t="s">
        <v>620</v>
      </c>
      <c r="P232" s="23">
        <v>3.5</v>
      </c>
      <c r="Q232" s="29">
        <v>1.0725</v>
      </c>
      <c r="R232" s="29"/>
      <c r="S232" s="24" t="s">
        <v>618</v>
      </c>
      <c r="T232" s="24" t="str">
        <f t="shared" si="26"/>
        <v>Technical failure</v>
      </c>
      <c r="U232" s="24" t="s">
        <v>44</v>
      </c>
      <c r="V232" s="24" t="str">
        <f t="shared" si="27"/>
        <v/>
      </c>
      <c r="W232" s="24" t="s">
        <v>620</v>
      </c>
      <c r="X232" s="23">
        <v>3.5</v>
      </c>
      <c r="Y232" s="23">
        <v>7.1192000000000002</v>
      </c>
      <c r="Z232" s="23"/>
      <c r="AA232" s="24" t="s">
        <v>619</v>
      </c>
      <c r="AB232" s="24" t="str">
        <f t="shared" si="28"/>
        <v>Upper censored</v>
      </c>
      <c r="AC232" s="23" t="s">
        <v>35</v>
      </c>
      <c r="AD232" s="23" t="s">
        <v>561</v>
      </c>
      <c r="AE232" s="23" t="str">
        <f t="shared" si="29"/>
        <v/>
      </c>
      <c r="AF232" s="23"/>
      <c r="AG232" s="23" t="str">
        <f t="shared" si="30"/>
        <v/>
      </c>
      <c r="AH232" s="24" t="s">
        <v>619</v>
      </c>
      <c r="AI232" s="23">
        <v>3.4580000000000002</v>
      </c>
      <c r="AJ232" s="23">
        <v>3.7991999999999999</v>
      </c>
      <c r="AK232" s="23"/>
      <c r="AL232" s="24" t="s">
        <v>619</v>
      </c>
      <c r="AM232" s="24">
        <v>210</v>
      </c>
      <c r="AN232" s="24">
        <v>0</v>
      </c>
      <c r="AO232" s="24">
        <f t="shared" si="31"/>
        <v>120</v>
      </c>
    </row>
    <row r="233" spans="1:41" x14ac:dyDescent="0.3">
      <c r="A233" s="24" t="s">
        <v>318</v>
      </c>
      <c r="B233" s="24" t="s">
        <v>436</v>
      </c>
      <c r="C233" s="25"/>
      <c r="D233" s="26">
        <v>17.5</v>
      </c>
      <c r="E233" s="34" t="s">
        <v>39</v>
      </c>
      <c r="F233" s="27" t="s">
        <v>54</v>
      </c>
      <c r="G233" s="28">
        <v>44453</v>
      </c>
      <c r="H233" s="28">
        <v>44477</v>
      </c>
      <c r="I233" s="24">
        <v>15</v>
      </c>
      <c r="J233" s="24" t="s">
        <v>43</v>
      </c>
      <c r="K233" s="24" t="s">
        <v>618</v>
      </c>
      <c r="L233" s="24" t="str">
        <f t="shared" si="24"/>
        <v>Not tested</v>
      </c>
      <c r="M233" s="23" t="s">
        <v>44</v>
      </c>
      <c r="N233" s="23" t="str">
        <f t="shared" si="25"/>
        <v/>
      </c>
      <c r="O233" s="24" t="s">
        <v>620</v>
      </c>
      <c r="P233" s="23">
        <v>3.5</v>
      </c>
      <c r="Q233" s="29">
        <v>7.8600000000000003E-2</v>
      </c>
      <c r="R233" s="29"/>
      <c r="S233" s="24" t="s">
        <v>618</v>
      </c>
      <c r="T233" s="24" t="str">
        <f t="shared" si="26"/>
        <v>Upper censored</v>
      </c>
      <c r="U233" s="24" t="s">
        <v>35</v>
      </c>
      <c r="V233" s="24" t="str">
        <f t="shared" si="27"/>
        <v/>
      </c>
      <c r="W233" s="24" t="s">
        <v>619</v>
      </c>
      <c r="X233" s="23">
        <v>3.5</v>
      </c>
      <c r="Y233" s="23">
        <v>4.2988999999999997</v>
      </c>
      <c r="Z233" s="23">
        <v>3.9011</v>
      </c>
      <c r="AA233" s="24" t="s">
        <v>619</v>
      </c>
      <c r="AB233" s="24" t="str">
        <f t="shared" si="28"/>
        <v>Upper censored</v>
      </c>
      <c r="AC233" s="23" t="s">
        <v>35</v>
      </c>
      <c r="AD233" s="23" t="s">
        <v>561</v>
      </c>
      <c r="AE233" s="23" t="str">
        <f t="shared" si="29"/>
        <v/>
      </c>
      <c r="AF233" s="23"/>
      <c r="AG233" s="23" t="str">
        <f t="shared" si="30"/>
        <v/>
      </c>
      <c r="AH233" s="24" t="s">
        <v>619</v>
      </c>
      <c r="AI233" s="23">
        <v>3.4590000000000001</v>
      </c>
      <c r="AJ233" s="23">
        <v>2.8706</v>
      </c>
      <c r="AK233" s="23"/>
      <c r="AL233" s="24" t="s">
        <v>619</v>
      </c>
      <c r="AM233" s="24">
        <v>210</v>
      </c>
      <c r="AN233" s="24">
        <v>0</v>
      </c>
      <c r="AO233" s="24">
        <f t="shared" si="31"/>
        <v>120</v>
      </c>
    </row>
    <row r="234" spans="1:41" x14ac:dyDescent="0.3">
      <c r="A234" s="24" t="s">
        <v>320</v>
      </c>
      <c r="B234" s="24" t="s">
        <v>614</v>
      </c>
      <c r="C234" s="25"/>
      <c r="D234" s="26">
        <v>15.7</v>
      </c>
      <c r="E234" s="34" t="s">
        <v>39</v>
      </c>
      <c r="F234" s="27" t="s">
        <v>54</v>
      </c>
      <c r="G234" s="28">
        <v>44453</v>
      </c>
      <c r="H234" s="28">
        <v>44491</v>
      </c>
      <c r="I234" s="24">
        <v>12</v>
      </c>
      <c r="J234" s="24" t="s">
        <v>33</v>
      </c>
      <c r="K234" s="24" t="s">
        <v>618</v>
      </c>
      <c r="L234" s="24" t="str">
        <f t="shared" si="24"/>
        <v>Not tested</v>
      </c>
      <c r="M234" s="23" t="s">
        <v>44</v>
      </c>
      <c r="N234" s="23" t="str">
        <f t="shared" si="25"/>
        <v/>
      </c>
      <c r="O234" s="24" t="s">
        <v>620</v>
      </c>
      <c r="P234" s="23">
        <v>3.5</v>
      </c>
      <c r="Q234" s="29">
        <v>7.6399999999999996E-2</v>
      </c>
      <c r="R234" s="29"/>
      <c r="S234" s="24" t="s">
        <v>618</v>
      </c>
      <c r="T234" s="24" t="str">
        <f t="shared" si="26"/>
        <v>Normal</v>
      </c>
      <c r="U234" s="24">
        <v>0.57030000000000003</v>
      </c>
      <c r="V234" s="24">
        <f t="shared" si="27"/>
        <v>0.57030000000000003</v>
      </c>
      <c r="W234" s="24" t="s">
        <v>618</v>
      </c>
      <c r="X234" s="23">
        <v>2.484</v>
      </c>
      <c r="Y234" s="23">
        <v>8.4199999999999997E-2</v>
      </c>
      <c r="Z234" s="23"/>
      <c r="AA234" s="24" t="s">
        <v>618</v>
      </c>
      <c r="AB234" s="24" t="str">
        <f t="shared" si="28"/>
        <v>Normal</v>
      </c>
      <c r="AC234" s="23">
        <v>0.50870000000000004</v>
      </c>
      <c r="AD234" s="23">
        <v>0.50870000000000004</v>
      </c>
      <c r="AE234" s="23" t="str">
        <f t="shared" si="29"/>
        <v/>
      </c>
      <c r="AF234" s="23"/>
      <c r="AG234" s="23" t="str">
        <f t="shared" si="30"/>
        <v/>
      </c>
      <c r="AH234" s="24" t="s">
        <v>618</v>
      </c>
      <c r="AI234" s="23">
        <v>3.4660000000000002</v>
      </c>
      <c r="AJ234" s="23">
        <v>6.4699999999999994E-2</v>
      </c>
      <c r="AK234" s="23"/>
      <c r="AL234" s="24" t="s">
        <v>618</v>
      </c>
      <c r="AM234" s="24"/>
      <c r="AN234" s="24"/>
      <c r="AO234" s="24" t="str">
        <f t="shared" si="31"/>
        <v/>
      </c>
    </row>
    <row r="235" spans="1:41" x14ac:dyDescent="0.3">
      <c r="A235" s="24" t="s">
        <v>321</v>
      </c>
      <c r="B235" s="24" t="s">
        <v>614</v>
      </c>
      <c r="C235" s="30" t="s">
        <v>616</v>
      </c>
      <c r="D235" s="26">
        <v>23.5</v>
      </c>
      <c r="E235" s="34" t="s">
        <v>31</v>
      </c>
      <c r="F235" s="27" t="s">
        <v>54</v>
      </c>
      <c r="G235" s="28">
        <v>44453</v>
      </c>
      <c r="H235" s="28">
        <v>44476</v>
      </c>
      <c r="I235" s="24">
        <v>12</v>
      </c>
      <c r="J235" s="24" t="s">
        <v>33</v>
      </c>
      <c r="K235" s="24" t="s">
        <v>618</v>
      </c>
      <c r="L235" s="24" t="str">
        <f t="shared" si="24"/>
        <v>Not tested</v>
      </c>
      <c r="M235" s="23" t="s">
        <v>44</v>
      </c>
      <c r="N235" s="23" t="str">
        <f t="shared" si="25"/>
        <v/>
      </c>
      <c r="O235" s="24" t="s">
        <v>620</v>
      </c>
      <c r="P235" s="23">
        <v>3.5</v>
      </c>
      <c r="Q235" s="29">
        <v>0.15440000000000001</v>
      </c>
      <c r="R235" s="29"/>
      <c r="S235" s="24" t="s">
        <v>618</v>
      </c>
      <c r="T235" s="24" t="str">
        <f t="shared" si="26"/>
        <v>Technical failure</v>
      </c>
      <c r="U235" s="24" t="s">
        <v>44</v>
      </c>
      <c r="V235" s="24" t="str">
        <f t="shared" si="27"/>
        <v/>
      </c>
      <c r="W235" s="24" t="s">
        <v>620</v>
      </c>
      <c r="X235" s="23">
        <v>3.5</v>
      </c>
      <c r="Y235" s="23">
        <v>1.4715</v>
      </c>
      <c r="Z235" s="23"/>
      <c r="AA235" s="24" t="s">
        <v>619</v>
      </c>
      <c r="AB235" s="24" t="str">
        <f t="shared" si="28"/>
        <v>Upper censored</v>
      </c>
      <c r="AC235" s="23" t="s">
        <v>35</v>
      </c>
      <c r="AD235" s="23" t="s">
        <v>561</v>
      </c>
      <c r="AE235" s="23" t="str">
        <f t="shared" si="29"/>
        <v/>
      </c>
      <c r="AF235" s="23"/>
      <c r="AG235" s="23" t="str">
        <f t="shared" si="30"/>
        <v/>
      </c>
      <c r="AH235" s="24" t="s">
        <v>619</v>
      </c>
      <c r="AI235" s="23">
        <v>3.4710000000000001</v>
      </c>
      <c r="AJ235" s="23">
        <v>0.70760000000000001</v>
      </c>
      <c r="AK235" s="23"/>
      <c r="AL235" s="24" t="s">
        <v>618</v>
      </c>
      <c r="AM235" s="24">
        <v>210</v>
      </c>
      <c r="AN235" s="24">
        <v>0</v>
      </c>
      <c r="AO235" s="24">
        <f t="shared" si="31"/>
        <v>120</v>
      </c>
    </row>
    <row r="236" spans="1:41" x14ac:dyDescent="0.3">
      <c r="A236" s="24" t="s">
        <v>322</v>
      </c>
      <c r="B236" s="24" t="s">
        <v>436</v>
      </c>
      <c r="C236" s="25" t="s">
        <v>615</v>
      </c>
      <c r="D236" s="26">
        <v>20.2</v>
      </c>
      <c r="E236" s="34" t="s">
        <v>39</v>
      </c>
      <c r="F236" s="27" t="s">
        <v>54</v>
      </c>
      <c r="G236" s="28">
        <v>44454</v>
      </c>
      <c r="H236" s="28">
        <v>44477</v>
      </c>
      <c r="I236" s="24">
        <v>12</v>
      </c>
      <c r="J236" s="24" t="s">
        <v>33</v>
      </c>
      <c r="K236" s="24" t="s">
        <v>618</v>
      </c>
      <c r="L236" s="24" t="str">
        <f t="shared" si="24"/>
        <v>Not tested</v>
      </c>
      <c r="M236" s="23" t="s">
        <v>44</v>
      </c>
      <c r="N236" s="23" t="str">
        <f t="shared" si="25"/>
        <v/>
      </c>
      <c r="O236" s="24" t="s">
        <v>620</v>
      </c>
      <c r="P236" s="23">
        <v>3.5</v>
      </c>
      <c r="Q236" s="29">
        <v>1.6765000000000001</v>
      </c>
      <c r="R236" s="29"/>
      <c r="S236" s="24" t="s">
        <v>619</v>
      </c>
      <c r="T236" s="24" t="str">
        <f t="shared" si="26"/>
        <v>Upper censored</v>
      </c>
      <c r="U236" s="24" t="s">
        <v>35</v>
      </c>
      <c r="V236" s="24" t="str">
        <f t="shared" si="27"/>
        <v/>
      </c>
      <c r="W236" s="24" t="s">
        <v>619</v>
      </c>
      <c r="X236" s="23">
        <v>2.9790000000000001</v>
      </c>
      <c r="Y236" s="23">
        <v>5.2031000000000001</v>
      </c>
      <c r="Z236" s="23"/>
      <c r="AA236" s="24" t="s">
        <v>618</v>
      </c>
      <c r="AB236" s="24" t="str">
        <f t="shared" si="28"/>
        <v>Upper censored</v>
      </c>
      <c r="AC236" s="23" t="s">
        <v>35</v>
      </c>
      <c r="AD236" s="23" t="s">
        <v>561</v>
      </c>
      <c r="AE236" s="23" t="str">
        <f t="shared" si="29"/>
        <v/>
      </c>
      <c r="AF236" s="23"/>
      <c r="AG236" s="23" t="str">
        <f t="shared" si="30"/>
        <v/>
      </c>
      <c r="AH236" s="24" t="s">
        <v>619</v>
      </c>
      <c r="AI236" s="23">
        <v>3.472</v>
      </c>
      <c r="AJ236" s="23">
        <v>2.1172</v>
      </c>
      <c r="AK236" s="23"/>
      <c r="AL236" s="24" t="s">
        <v>619</v>
      </c>
      <c r="AM236" s="24">
        <v>210</v>
      </c>
      <c r="AN236" s="24">
        <v>0</v>
      </c>
      <c r="AO236" s="24">
        <f t="shared" si="31"/>
        <v>120</v>
      </c>
    </row>
    <row r="237" spans="1:41" x14ac:dyDescent="0.3">
      <c r="A237" s="24" t="s">
        <v>323</v>
      </c>
      <c r="B237" s="24" t="s">
        <v>436</v>
      </c>
      <c r="C237" s="25" t="s">
        <v>616</v>
      </c>
      <c r="D237" s="26">
        <v>26.5</v>
      </c>
      <c r="E237" s="34" t="s">
        <v>31</v>
      </c>
      <c r="F237" s="27" t="s">
        <v>54</v>
      </c>
      <c r="G237" s="28">
        <v>44453</v>
      </c>
      <c r="H237" s="28">
        <v>44477</v>
      </c>
      <c r="I237" s="24">
        <v>15</v>
      </c>
      <c r="J237" s="24" t="s">
        <v>43</v>
      </c>
      <c r="K237" s="24" t="s">
        <v>618</v>
      </c>
      <c r="L237" s="24" t="str">
        <f t="shared" si="24"/>
        <v>Not tested</v>
      </c>
      <c r="M237" s="23" t="s">
        <v>44</v>
      </c>
      <c r="N237" s="23" t="str">
        <f t="shared" si="25"/>
        <v/>
      </c>
      <c r="O237" s="24" t="s">
        <v>620</v>
      </c>
      <c r="P237" s="23">
        <v>3.5</v>
      </c>
      <c r="Q237" s="29">
        <v>0.11409999999999999</v>
      </c>
      <c r="R237" s="29"/>
      <c r="S237" s="24" t="s">
        <v>618</v>
      </c>
      <c r="T237" s="24" t="str">
        <f t="shared" si="26"/>
        <v>Normal</v>
      </c>
      <c r="U237" s="24">
        <v>31.6221</v>
      </c>
      <c r="V237" s="24">
        <f t="shared" si="27"/>
        <v>31.6221</v>
      </c>
      <c r="W237" s="24" t="s">
        <v>619</v>
      </c>
      <c r="X237" s="23">
        <v>3.5</v>
      </c>
      <c r="Y237" s="23">
        <v>1.8611</v>
      </c>
      <c r="Z237" s="23"/>
      <c r="AA237" s="24" t="s">
        <v>619</v>
      </c>
      <c r="AB237" s="24" t="str">
        <f t="shared" si="28"/>
        <v>Normal</v>
      </c>
      <c r="AC237" s="23">
        <v>178042</v>
      </c>
      <c r="AD237" s="23">
        <v>17.804200000000002</v>
      </c>
      <c r="AE237" s="23" t="str">
        <f t="shared" si="29"/>
        <v/>
      </c>
      <c r="AF237" s="23"/>
      <c r="AG237" s="23" t="str">
        <f t="shared" si="30"/>
        <v/>
      </c>
      <c r="AH237" s="24" t="s">
        <v>619</v>
      </c>
      <c r="AI237" s="23">
        <v>3.472</v>
      </c>
      <c r="AJ237" s="23">
        <v>0.49480000000000002</v>
      </c>
      <c r="AK237" s="23"/>
      <c r="AL237" s="24" t="s">
        <v>618</v>
      </c>
      <c r="AM237" s="24"/>
      <c r="AN237" s="24"/>
      <c r="AO237" s="24" t="str">
        <f t="shared" si="31"/>
        <v/>
      </c>
    </row>
    <row r="238" spans="1:41" x14ac:dyDescent="0.3">
      <c r="A238" s="24" t="s">
        <v>324</v>
      </c>
      <c r="B238" s="24" t="s">
        <v>436</v>
      </c>
      <c r="C238" s="30" t="s">
        <v>616</v>
      </c>
      <c r="D238" s="26">
        <v>17.100000000000001</v>
      </c>
      <c r="E238" s="34" t="s">
        <v>39</v>
      </c>
      <c r="F238" s="27" t="s">
        <v>54</v>
      </c>
      <c r="G238" s="28">
        <v>44453</v>
      </c>
      <c r="H238" s="28">
        <v>44476</v>
      </c>
      <c r="I238" s="24">
        <v>15</v>
      </c>
      <c r="J238" s="24" t="s">
        <v>43</v>
      </c>
      <c r="K238" s="24" t="s">
        <v>618</v>
      </c>
      <c r="L238" s="24" t="str">
        <f t="shared" si="24"/>
        <v>Not tested</v>
      </c>
      <c r="M238" s="23" t="s">
        <v>44</v>
      </c>
      <c r="N238" s="23" t="str">
        <f t="shared" si="25"/>
        <v/>
      </c>
      <c r="O238" s="24" t="s">
        <v>620</v>
      </c>
      <c r="P238" s="23">
        <v>3.5</v>
      </c>
      <c r="Q238" s="29">
        <v>7.17E-2</v>
      </c>
      <c r="R238" s="29"/>
      <c r="S238" s="24" t="s">
        <v>618</v>
      </c>
      <c r="T238" s="24" t="str">
        <f t="shared" si="26"/>
        <v>Technical failure</v>
      </c>
      <c r="U238" s="24" t="s">
        <v>44</v>
      </c>
      <c r="V238" s="24" t="str">
        <f t="shared" si="27"/>
        <v/>
      </c>
      <c r="W238" s="24" t="s">
        <v>620</v>
      </c>
      <c r="X238" s="23">
        <v>3.5</v>
      </c>
      <c r="Y238" s="23">
        <v>2.0897000000000001</v>
      </c>
      <c r="Z238" s="23"/>
      <c r="AA238" s="24" t="s">
        <v>619</v>
      </c>
      <c r="AB238" s="24" t="str">
        <f t="shared" si="28"/>
        <v>Not tested</v>
      </c>
      <c r="AC238" s="23" t="s">
        <v>44</v>
      </c>
      <c r="AD238" s="23" t="s">
        <v>561</v>
      </c>
      <c r="AE238" s="23" t="str">
        <f t="shared" si="29"/>
        <v/>
      </c>
      <c r="AF238" s="23"/>
      <c r="AG238" s="23" t="str">
        <f t="shared" si="30"/>
        <v/>
      </c>
      <c r="AH238" s="24" t="s">
        <v>620</v>
      </c>
      <c r="AI238" s="23">
        <v>3.4750000000000001</v>
      </c>
      <c r="AJ238" s="23">
        <v>4.9916999999999998</v>
      </c>
      <c r="AK238" s="23"/>
      <c r="AL238" s="24" t="s">
        <v>619</v>
      </c>
      <c r="AM238" s="24">
        <v>210</v>
      </c>
      <c r="AN238" s="24">
        <v>0</v>
      </c>
      <c r="AO238" s="24" t="str">
        <f t="shared" si="31"/>
        <v/>
      </c>
    </row>
    <row r="239" spans="1:41" x14ac:dyDescent="0.3">
      <c r="A239" s="24" t="s">
        <v>325</v>
      </c>
      <c r="B239" s="24" t="s">
        <v>436</v>
      </c>
      <c r="C239" s="25" t="s">
        <v>616</v>
      </c>
      <c r="D239" s="26">
        <v>26.4</v>
      </c>
      <c r="E239" s="34" t="s">
        <v>47</v>
      </c>
      <c r="F239" s="27" t="s">
        <v>54</v>
      </c>
      <c r="G239" s="28">
        <v>44453</v>
      </c>
      <c r="H239" s="28">
        <v>44477</v>
      </c>
      <c r="I239" s="24">
        <v>12</v>
      </c>
      <c r="J239" s="24" t="s">
        <v>33</v>
      </c>
      <c r="K239" s="24" t="s">
        <v>618</v>
      </c>
      <c r="L239" s="24" t="str">
        <f t="shared" si="24"/>
        <v>Not tested</v>
      </c>
      <c r="M239" s="23" t="s">
        <v>44</v>
      </c>
      <c r="N239" s="23" t="str">
        <f t="shared" si="25"/>
        <v/>
      </c>
      <c r="O239" s="24" t="s">
        <v>620</v>
      </c>
      <c r="P239" s="23">
        <v>3.5</v>
      </c>
      <c r="Q239" s="29">
        <v>0.62229999999999996</v>
      </c>
      <c r="R239" s="29"/>
      <c r="S239" s="24" t="s">
        <v>618</v>
      </c>
      <c r="T239" s="24" t="str">
        <f t="shared" si="26"/>
        <v>Upper censored</v>
      </c>
      <c r="U239" s="24" t="s">
        <v>35</v>
      </c>
      <c r="V239" s="24" t="str">
        <f t="shared" si="27"/>
        <v/>
      </c>
      <c r="W239" s="24" t="s">
        <v>619</v>
      </c>
      <c r="X239" s="23">
        <v>3.5</v>
      </c>
      <c r="Y239" s="23">
        <v>6.4926000000000004</v>
      </c>
      <c r="Z239" s="23"/>
      <c r="AA239" s="24" t="s">
        <v>619</v>
      </c>
      <c r="AB239" s="24" t="str">
        <f t="shared" si="28"/>
        <v>Upper censored</v>
      </c>
      <c r="AC239" s="23" t="s">
        <v>35</v>
      </c>
      <c r="AD239" s="23" t="s">
        <v>561</v>
      </c>
      <c r="AE239" s="23" t="str">
        <f t="shared" si="29"/>
        <v/>
      </c>
      <c r="AF239" s="23"/>
      <c r="AG239" s="23" t="str">
        <f t="shared" si="30"/>
        <v/>
      </c>
      <c r="AH239" s="24" t="s">
        <v>619</v>
      </c>
      <c r="AI239" s="23">
        <v>3.476</v>
      </c>
      <c r="AJ239" s="23">
        <v>2.0312999999999999</v>
      </c>
      <c r="AK239" s="23"/>
      <c r="AL239" s="24" t="s">
        <v>619</v>
      </c>
      <c r="AM239" s="24">
        <v>210</v>
      </c>
      <c r="AN239" s="24">
        <v>0</v>
      </c>
      <c r="AO239" s="24">
        <f t="shared" si="31"/>
        <v>120</v>
      </c>
    </row>
    <row r="240" spans="1:41" x14ac:dyDescent="0.3">
      <c r="A240" s="24" t="s">
        <v>326</v>
      </c>
      <c r="B240" s="24" t="s">
        <v>436</v>
      </c>
      <c r="C240" s="25" t="s">
        <v>616</v>
      </c>
      <c r="D240" s="26">
        <v>17.899999999999999</v>
      </c>
      <c r="E240" s="34" t="s">
        <v>39</v>
      </c>
      <c r="F240" s="27" t="s">
        <v>54</v>
      </c>
      <c r="G240" s="28">
        <v>44454</v>
      </c>
      <c r="H240" s="28">
        <v>44476</v>
      </c>
      <c r="I240" s="24">
        <v>15</v>
      </c>
      <c r="J240" s="24" t="s">
        <v>43</v>
      </c>
      <c r="K240" s="24" t="s">
        <v>618</v>
      </c>
      <c r="L240" s="24" t="str">
        <f t="shared" si="24"/>
        <v>Not tested</v>
      </c>
      <c r="M240" s="23" t="s">
        <v>44</v>
      </c>
      <c r="N240" s="23" t="str">
        <f t="shared" si="25"/>
        <v/>
      </c>
      <c r="O240" s="24" t="s">
        <v>620</v>
      </c>
      <c r="P240" s="23">
        <v>3.5</v>
      </c>
      <c r="Q240" s="29">
        <v>0.19020000000000001</v>
      </c>
      <c r="R240" s="29"/>
      <c r="S240" s="24" t="s">
        <v>618</v>
      </c>
      <c r="T240" s="24" t="str">
        <f t="shared" si="26"/>
        <v>Upper censored</v>
      </c>
      <c r="U240" s="24" t="s">
        <v>35</v>
      </c>
      <c r="V240" s="24" t="str">
        <f t="shared" si="27"/>
        <v/>
      </c>
      <c r="W240" s="24" t="s">
        <v>619</v>
      </c>
      <c r="X240" s="23">
        <v>3.5</v>
      </c>
      <c r="Y240" s="23">
        <v>0.22989999999999999</v>
      </c>
      <c r="Z240" s="23"/>
      <c r="AA240" s="24" t="s">
        <v>618</v>
      </c>
      <c r="AB240" s="24" t="str">
        <f t="shared" si="28"/>
        <v>Not tested</v>
      </c>
      <c r="AC240" s="23" t="s">
        <v>44</v>
      </c>
      <c r="AD240" s="23" t="s">
        <v>561</v>
      </c>
      <c r="AE240" s="23" t="str">
        <f t="shared" si="29"/>
        <v/>
      </c>
      <c r="AF240" s="23"/>
      <c r="AG240" s="23" t="str">
        <f t="shared" si="30"/>
        <v/>
      </c>
      <c r="AH240" s="24" t="s">
        <v>620</v>
      </c>
      <c r="AI240" s="23">
        <v>3.476</v>
      </c>
      <c r="AJ240" s="23">
        <v>0.83450000000000002</v>
      </c>
      <c r="AK240" s="23"/>
      <c r="AL240" s="24" t="s">
        <v>618</v>
      </c>
      <c r="AM240" s="24">
        <v>210</v>
      </c>
      <c r="AN240" s="24">
        <v>0</v>
      </c>
      <c r="AO240" s="24" t="str">
        <f t="shared" si="31"/>
        <v/>
      </c>
    </row>
    <row r="241" spans="1:41" x14ac:dyDescent="0.3">
      <c r="A241" s="24" t="s">
        <v>327</v>
      </c>
      <c r="B241" s="24" t="s">
        <v>436</v>
      </c>
      <c r="C241" s="25" t="s">
        <v>616</v>
      </c>
      <c r="D241" s="26">
        <v>22</v>
      </c>
      <c r="E241" s="34" t="s">
        <v>39</v>
      </c>
      <c r="F241" s="27" t="s">
        <v>54</v>
      </c>
      <c r="G241" s="28">
        <v>44453</v>
      </c>
      <c r="H241" s="28">
        <v>44476</v>
      </c>
      <c r="I241" s="24">
        <v>15</v>
      </c>
      <c r="J241" s="24" t="s">
        <v>43</v>
      </c>
      <c r="K241" s="24" t="s">
        <v>618</v>
      </c>
      <c r="L241" s="24" t="str">
        <f t="shared" si="24"/>
        <v>Not tested</v>
      </c>
      <c r="M241" s="23" t="s">
        <v>44</v>
      </c>
      <c r="N241" s="23" t="str">
        <f t="shared" si="25"/>
        <v/>
      </c>
      <c r="O241" s="24" t="s">
        <v>620</v>
      </c>
      <c r="P241" s="23">
        <v>3.5</v>
      </c>
      <c r="Q241" s="29">
        <v>1.4410000000000001</v>
      </c>
      <c r="R241" s="29"/>
      <c r="S241" s="24" t="s">
        <v>619</v>
      </c>
      <c r="T241" s="24" t="str">
        <f t="shared" si="26"/>
        <v>Technical failure</v>
      </c>
      <c r="U241" s="24" t="s">
        <v>44</v>
      </c>
      <c r="V241" s="24" t="str">
        <f t="shared" si="27"/>
        <v/>
      </c>
      <c r="W241" s="24" t="s">
        <v>620</v>
      </c>
      <c r="X241" s="23">
        <v>3.4580000000000002</v>
      </c>
      <c r="Y241" s="23">
        <v>4.4695</v>
      </c>
      <c r="Z241" s="23"/>
      <c r="AA241" s="24" t="s">
        <v>619</v>
      </c>
      <c r="AB241" s="24" t="str">
        <f t="shared" si="28"/>
        <v>Upper censored</v>
      </c>
      <c r="AC241" s="23" t="s">
        <v>35</v>
      </c>
      <c r="AD241" s="23" t="s">
        <v>561</v>
      </c>
      <c r="AE241" s="23" t="str">
        <f t="shared" si="29"/>
        <v/>
      </c>
      <c r="AF241" s="23"/>
      <c r="AG241" s="23" t="str">
        <f t="shared" si="30"/>
        <v/>
      </c>
      <c r="AH241" s="24" t="s">
        <v>619</v>
      </c>
      <c r="AI241" s="23">
        <v>3.4769999999999999</v>
      </c>
      <c r="AJ241" s="23">
        <v>2.2944</v>
      </c>
      <c r="AK241" s="23"/>
      <c r="AL241" s="24" t="s">
        <v>619</v>
      </c>
      <c r="AM241" s="24">
        <v>210</v>
      </c>
      <c r="AN241" s="24">
        <v>0</v>
      </c>
      <c r="AO241" s="24">
        <f t="shared" si="31"/>
        <v>120</v>
      </c>
    </row>
    <row r="242" spans="1:41" x14ac:dyDescent="0.3">
      <c r="A242" s="24" t="s">
        <v>328</v>
      </c>
      <c r="B242" s="24" t="s">
        <v>614</v>
      </c>
      <c r="C242" s="25" t="s">
        <v>615</v>
      </c>
      <c r="D242" s="26">
        <v>33.5</v>
      </c>
      <c r="E242" s="34" t="s">
        <v>47</v>
      </c>
      <c r="F242" s="27" t="s">
        <v>54</v>
      </c>
      <c r="G242" s="28">
        <v>44454</v>
      </c>
      <c r="H242" s="28">
        <v>44476</v>
      </c>
      <c r="I242" s="24">
        <v>15</v>
      </c>
      <c r="J242" s="24" t="s">
        <v>43</v>
      </c>
      <c r="K242" s="24" t="s">
        <v>619</v>
      </c>
      <c r="L242" s="24" t="str">
        <f t="shared" si="24"/>
        <v>Not tested</v>
      </c>
      <c r="M242" s="23" t="s">
        <v>44</v>
      </c>
      <c r="N242" s="23" t="str">
        <f t="shared" si="25"/>
        <v/>
      </c>
      <c r="O242" s="24" t="s">
        <v>620</v>
      </c>
      <c r="P242" s="23">
        <v>3.5</v>
      </c>
      <c r="Q242" s="29">
        <v>0.67789999999999995</v>
      </c>
      <c r="R242" s="29"/>
      <c r="S242" s="24" t="s">
        <v>618</v>
      </c>
      <c r="T242" s="24" t="str">
        <f t="shared" si="26"/>
        <v>Upper censored</v>
      </c>
      <c r="U242" s="24" t="s">
        <v>35</v>
      </c>
      <c r="V242" s="24" t="str">
        <f t="shared" si="27"/>
        <v/>
      </c>
      <c r="W242" s="24" t="s">
        <v>619</v>
      </c>
      <c r="X242" s="23">
        <v>3.5</v>
      </c>
      <c r="Y242" s="23">
        <v>0.34379999999999999</v>
      </c>
      <c r="Z242" s="23"/>
      <c r="AA242" s="24" t="s">
        <v>618</v>
      </c>
      <c r="AB242" s="24" t="str">
        <f t="shared" si="28"/>
        <v>Upper censored</v>
      </c>
      <c r="AC242" s="23" t="s">
        <v>35</v>
      </c>
      <c r="AD242" s="23" t="s">
        <v>561</v>
      </c>
      <c r="AE242" s="23" t="str">
        <f t="shared" si="29"/>
        <v/>
      </c>
      <c r="AF242" s="23"/>
      <c r="AG242" s="23" t="str">
        <f t="shared" si="30"/>
        <v/>
      </c>
      <c r="AH242" s="24" t="s">
        <v>619</v>
      </c>
      <c r="AI242" s="23">
        <v>3.4780000000000002</v>
      </c>
      <c r="AJ242" s="23">
        <v>5.0396999999999998</v>
      </c>
      <c r="AK242" s="23"/>
      <c r="AL242" s="24" t="s">
        <v>619</v>
      </c>
      <c r="AM242" s="24">
        <v>210</v>
      </c>
      <c r="AN242" s="24">
        <v>0</v>
      </c>
      <c r="AO242" s="24">
        <f t="shared" si="31"/>
        <v>120</v>
      </c>
    </row>
    <row r="243" spans="1:41" x14ac:dyDescent="0.3">
      <c r="A243" s="24" t="s">
        <v>329</v>
      </c>
      <c r="B243" s="24" t="s">
        <v>614</v>
      </c>
      <c r="C243" s="30"/>
      <c r="D243" s="26">
        <v>18.7</v>
      </c>
      <c r="E243" s="34" t="s">
        <v>39</v>
      </c>
      <c r="F243" s="27" t="s">
        <v>54</v>
      </c>
      <c r="G243" s="28">
        <v>44453</v>
      </c>
      <c r="H243" s="28">
        <v>44477</v>
      </c>
      <c r="I243" s="24">
        <v>12</v>
      </c>
      <c r="J243" s="24" t="s">
        <v>33</v>
      </c>
      <c r="K243" s="24" t="s">
        <v>618</v>
      </c>
      <c r="L243" s="24" t="str">
        <f t="shared" si="24"/>
        <v>Not tested</v>
      </c>
      <c r="M243" s="23" t="s">
        <v>44</v>
      </c>
      <c r="N243" s="23" t="str">
        <f t="shared" si="25"/>
        <v/>
      </c>
      <c r="O243" s="24" t="s">
        <v>620</v>
      </c>
      <c r="P243" s="23">
        <v>3.5</v>
      </c>
      <c r="Q243" s="29">
        <v>6.8400000000000002E-2</v>
      </c>
      <c r="R243" s="29"/>
      <c r="S243" s="24" t="s">
        <v>618</v>
      </c>
      <c r="T243" s="24" t="str">
        <f t="shared" si="26"/>
        <v>Upper censored</v>
      </c>
      <c r="U243" s="24" t="s">
        <v>35</v>
      </c>
      <c r="V243" s="24" t="str">
        <f t="shared" si="27"/>
        <v/>
      </c>
      <c r="W243" s="24" t="s">
        <v>619</v>
      </c>
      <c r="X243" s="23">
        <v>3.5</v>
      </c>
      <c r="Y243" s="23">
        <v>4.2534000000000001</v>
      </c>
      <c r="Z243" s="23"/>
      <c r="AA243" s="24" t="s">
        <v>619</v>
      </c>
      <c r="AB243" s="24" t="str">
        <f t="shared" si="28"/>
        <v>Not tested</v>
      </c>
      <c r="AC243" s="24" t="s">
        <v>44</v>
      </c>
      <c r="AD243" s="23" t="s">
        <v>561</v>
      </c>
      <c r="AE243" s="23" t="str">
        <f t="shared" si="29"/>
        <v/>
      </c>
      <c r="AF243" s="24"/>
      <c r="AG243" s="23" t="str">
        <f t="shared" si="30"/>
        <v/>
      </c>
      <c r="AH243" s="24" t="s">
        <v>620</v>
      </c>
      <c r="AI243" s="23">
        <v>3.4870000000000001</v>
      </c>
      <c r="AJ243" s="23">
        <v>1.3326</v>
      </c>
      <c r="AK243" s="23"/>
      <c r="AL243" s="24" t="s">
        <v>619</v>
      </c>
      <c r="AM243" s="24">
        <v>210</v>
      </c>
      <c r="AN243" s="24">
        <v>0</v>
      </c>
      <c r="AO243" s="24" t="str">
        <f t="shared" si="31"/>
        <v/>
      </c>
    </row>
    <row r="244" spans="1:41" x14ac:dyDescent="0.3">
      <c r="A244" s="24" t="s">
        <v>330</v>
      </c>
      <c r="B244" s="24" t="s">
        <v>436</v>
      </c>
      <c r="C244" s="25"/>
      <c r="D244" s="26">
        <v>20.6</v>
      </c>
      <c r="E244" s="34" t="s">
        <v>39</v>
      </c>
      <c r="F244" s="27" t="s">
        <v>54</v>
      </c>
      <c r="G244" s="28">
        <v>44453</v>
      </c>
      <c r="H244" s="28">
        <v>44477</v>
      </c>
      <c r="I244" s="24">
        <v>12</v>
      </c>
      <c r="J244" s="24" t="s">
        <v>33</v>
      </c>
      <c r="K244" s="24" t="s">
        <v>618</v>
      </c>
      <c r="L244" s="24" t="str">
        <f t="shared" si="24"/>
        <v>Not tested</v>
      </c>
      <c r="M244" s="23" t="s">
        <v>44</v>
      </c>
      <c r="N244" s="23" t="str">
        <f t="shared" si="25"/>
        <v/>
      </c>
      <c r="O244" s="24" t="s">
        <v>620</v>
      </c>
      <c r="P244" s="23">
        <v>3.5</v>
      </c>
      <c r="Q244" s="29">
        <v>0.56379999999999997</v>
      </c>
      <c r="R244" s="29"/>
      <c r="S244" s="24" t="s">
        <v>618</v>
      </c>
      <c r="T244" s="24" t="str">
        <f t="shared" si="26"/>
        <v>Technical failure</v>
      </c>
      <c r="U244" s="24" t="s">
        <v>44</v>
      </c>
      <c r="V244" s="24" t="str">
        <f t="shared" si="27"/>
        <v/>
      </c>
      <c r="W244" s="24" t="s">
        <v>620</v>
      </c>
      <c r="X244" s="23">
        <v>3.5</v>
      </c>
      <c r="Y244" s="23">
        <v>1.5116000000000001</v>
      </c>
      <c r="Z244" s="23"/>
      <c r="AA244" s="24" t="s">
        <v>619</v>
      </c>
      <c r="AB244" s="24" t="str">
        <f t="shared" si="28"/>
        <v>Upper censored</v>
      </c>
      <c r="AC244" s="23" t="s">
        <v>35</v>
      </c>
      <c r="AD244" s="23" t="s">
        <v>561</v>
      </c>
      <c r="AE244" s="23" t="str">
        <f t="shared" si="29"/>
        <v/>
      </c>
      <c r="AF244" s="23"/>
      <c r="AG244" s="23" t="str">
        <f t="shared" si="30"/>
        <v/>
      </c>
      <c r="AH244" s="24" t="s">
        <v>619</v>
      </c>
      <c r="AI244" s="23">
        <v>3.4870000000000001</v>
      </c>
      <c r="AJ244" s="23">
        <v>1.0402</v>
      </c>
      <c r="AK244" s="23"/>
      <c r="AL244" s="24" t="s">
        <v>618</v>
      </c>
      <c r="AM244" s="24"/>
      <c r="AN244" s="24"/>
      <c r="AO244" s="24" t="str">
        <f t="shared" si="31"/>
        <v/>
      </c>
    </row>
    <row r="245" spans="1:41" x14ac:dyDescent="0.3">
      <c r="A245" s="24" t="s">
        <v>331</v>
      </c>
      <c r="B245" s="24" t="s">
        <v>436</v>
      </c>
      <c r="C245" s="25" t="s">
        <v>616</v>
      </c>
      <c r="D245" s="26">
        <v>34.799999999999997</v>
      </c>
      <c r="E245" s="34" t="s">
        <v>47</v>
      </c>
      <c r="F245" s="27" t="s">
        <v>54</v>
      </c>
      <c r="G245" s="28">
        <v>44458</v>
      </c>
      <c r="H245" s="28">
        <v>44477</v>
      </c>
      <c r="I245" s="24">
        <v>15</v>
      </c>
      <c r="J245" s="24" t="s">
        <v>43</v>
      </c>
      <c r="K245" s="24" t="s">
        <v>619</v>
      </c>
      <c r="L245" s="24" t="str">
        <f t="shared" si="24"/>
        <v>Upper censored</v>
      </c>
      <c r="M245" s="23" t="s">
        <v>35</v>
      </c>
      <c r="N245" s="23" t="str">
        <f t="shared" si="25"/>
        <v/>
      </c>
      <c r="O245" s="24" t="s">
        <v>619</v>
      </c>
      <c r="P245" s="23">
        <v>3.5</v>
      </c>
      <c r="Q245" s="29">
        <v>0.31990000000000002</v>
      </c>
      <c r="R245" s="29"/>
      <c r="S245" s="24" t="s">
        <v>618</v>
      </c>
      <c r="T245" s="24" t="str">
        <f t="shared" si="26"/>
        <v>Normal</v>
      </c>
      <c r="U245" s="24">
        <v>5.7950999999999997</v>
      </c>
      <c r="V245" s="24">
        <f t="shared" si="27"/>
        <v>5.7950999999999997</v>
      </c>
      <c r="W245" s="24" t="s">
        <v>618</v>
      </c>
      <c r="X245" s="23">
        <v>3.5</v>
      </c>
      <c r="Y245" s="23">
        <v>2.1116000000000001</v>
      </c>
      <c r="Z245" s="23">
        <v>2.1518000000000002</v>
      </c>
      <c r="AA245" s="24" t="s">
        <v>619</v>
      </c>
      <c r="AB245" s="24" t="str">
        <f t="shared" si="28"/>
        <v>Normal</v>
      </c>
      <c r="AC245" s="23">
        <v>42213</v>
      </c>
      <c r="AD245" s="23">
        <v>4.2213000000000003</v>
      </c>
      <c r="AE245" s="23" t="str">
        <f t="shared" si="29"/>
        <v/>
      </c>
      <c r="AF245" s="23"/>
      <c r="AG245" s="23" t="str">
        <f t="shared" si="30"/>
        <v/>
      </c>
      <c r="AH245" s="24" t="s">
        <v>618</v>
      </c>
      <c r="AI245" s="23">
        <v>3.4929999999999999</v>
      </c>
      <c r="AJ245" s="23">
        <v>0.85709999999999997</v>
      </c>
      <c r="AK245" s="23"/>
      <c r="AL245" s="24" t="s">
        <v>618</v>
      </c>
      <c r="AM245" s="24"/>
      <c r="AN245" s="24"/>
      <c r="AO245" s="24" t="str">
        <f t="shared" si="31"/>
        <v/>
      </c>
    </row>
    <row r="246" spans="1:41" x14ac:dyDescent="0.3">
      <c r="A246" s="24" t="s">
        <v>333</v>
      </c>
      <c r="B246" s="24" t="s">
        <v>436</v>
      </c>
      <c r="C246" s="30" t="s">
        <v>615</v>
      </c>
      <c r="D246" s="26">
        <v>21.1</v>
      </c>
      <c r="E246" s="34" t="s">
        <v>39</v>
      </c>
      <c r="F246" s="27" t="s">
        <v>54</v>
      </c>
      <c r="G246" s="28">
        <v>44453</v>
      </c>
      <c r="H246" s="28">
        <v>44476</v>
      </c>
      <c r="I246" s="24">
        <v>12</v>
      </c>
      <c r="J246" s="24" t="s">
        <v>33</v>
      </c>
      <c r="K246" s="24" t="s">
        <v>618</v>
      </c>
      <c r="L246" s="24" t="str">
        <f t="shared" si="24"/>
        <v>Not tested</v>
      </c>
      <c r="M246" s="23" t="s">
        <v>44</v>
      </c>
      <c r="N246" s="23" t="str">
        <f t="shared" si="25"/>
        <v/>
      </c>
      <c r="O246" s="24" t="s">
        <v>620</v>
      </c>
      <c r="P246" s="23">
        <v>3.5</v>
      </c>
      <c r="Q246" s="29">
        <v>9.8400000000000001E-2</v>
      </c>
      <c r="R246" s="29"/>
      <c r="S246" s="24" t="s">
        <v>618</v>
      </c>
      <c r="T246" s="24" t="str">
        <f t="shared" si="26"/>
        <v>Technical failure</v>
      </c>
      <c r="U246" s="24" t="s">
        <v>44</v>
      </c>
      <c r="V246" s="24" t="str">
        <f t="shared" si="27"/>
        <v/>
      </c>
      <c r="W246" s="24" t="s">
        <v>620</v>
      </c>
      <c r="X246" s="23">
        <v>0.69899999999999995</v>
      </c>
      <c r="Y246" s="23">
        <v>2.6320999999999999</v>
      </c>
      <c r="Z246" s="23"/>
      <c r="AA246" s="24" t="s">
        <v>619</v>
      </c>
      <c r="AB246" s="24" t="str">
        <f t="shared" si="28"/>
        <v>Upper censored</v>
      </c>
      <c r="AC246" s="23" t="s">
        <v>35</v>
      </c>
      <c r="AD246" s="23" t="s">
        <v>561</v>
      </c>
      <c r="AE246" s="23" t="str">
        <f t="shared" si="29"/>
        <v/>
      </c>
      <c r="AF246" s="23"/>
      <c r="AG246" s="23" t="str">
        <f t="shared" si="30"/>
        <v/>
      </c>
      <c r="AH246" s="24" t="s">
        <v>619</v>
      </c>
      <c r="AI246" s="23">
        <v>3.5</v>
      </c>
      <c r="AJ246" s="23">
        <v>0.88170000000000004</v>
      </c>
      <c r="AK246" s="23"/>
      <c r="AL246" s="24" t="s">
        <v>618</v>
      </c>
      <c r="AM246" s="24">
        <v>210</v>
      </c>
      <c r="AN246" s="24">
        <v>0</v>
      </c>
      <c r="AO246" s="24">
        <f t="shared" si="31"/>
        <v>120</v>
      </c>
    </row>
    <row r="247" spans="1:41" x14ac:dyDescent="0.3">
      <c r="A247" s="24" t="s">
        <v>334</v>
      </c>
      <c r="B247" s="24" t="s">
        <v>436</v>
      </c>
      <c r="C247" s="25" t="s">
        <v>616</v>
      </c>
      <c r="D247" s="26">
        <v>27.5</v>
      </c>
      <c r="E247" s="34" t="s">
        <v>31</v>
      </c>
      <c r="F247" s="27" t="s">
        <v>54</v>
      </c>
      <c r="G247" s="28">
        <v>44453</v>
      </c>
      <c r="H247" s="28">
        <v>44476</v>
      </c>
      <c r="I247" s="24">
        <v>15</v>
      </c>
      <c r="J247" s="24" t="s">
        <v>43</v>
      </c>
      <c r="K247" s="24" t="s">
        <v>618</v>
      </c>
      <c r="L247" s="24" t="str">
        <f t="shared" si="24"/>
        <v>Not tested</v>
      </c>
      <c r="M247" s="23" t="s">
        <v>44</v>
      </c>
      <c r="N247" s="23" t="str">
        <f t="shared" si="25"/>
        <v/>
      </c>
      <c r="O247" s="24" t="s">
        <v>620</v>
      </c>
      <c r="P247" s="23">
        <v>3.5</v>
      </c>
      <c r="Q247" s="29">
        <v>0.52090000000000003</v>
      </c>
      <c r="R247" s="29"/>
      <c r="S247" s="24" t="s">
        <v>618</v>
      </c>
      <c r="T247" s="24" t="str">
        <f t="shared" si="26"/>
        <v>Technical failure</v>
      </c>
      <c r="U247" s="24" t="s">
        <v>44</v>
      </c>
      <c r="V247" s="24" t="str">
        <f t="shared" si="27"/>
        <v/>
      </c>
      <c r="W247" s="24" t="s">
        <v>620</v>
      </c>
      <c r="X247" s="23">
        <v>2.5870000000000002</v>
      </c>
      <c r="Y247" s="23">
        <v>5.1677999999999997</v>
      </c>
      <c r="Z247" s="23"/>
      <c r="AA247" s="24" t="s">
        <v>619</v>
      </c>
      <c r="AB247" s="24" t="str">
        <f t="shared" si="28"/>
        <v>Upper censored</v>
      </c>
      <c r="AC247" s="23" t="s">
        <v>35</v>
      </c>
      <c r="AD247" s="23" t="s">
        <v>561</v>
      </c>
      <c r="AE247" s="23" t="str">
        <f t="shared" si="29"/>
        <v/>
      </c>
      <c r="AF247" s="23"/>
      <c r="AG247" s="23" t="str">
        <f t="shared" si="30"/>
        <v/>
      </c>
      <c r="AH247" s="24" t="s">
        <v>619</v>
      </c>
      <c r="AI247" s="23">
        <v>3.5</v>
      </c>
      <c r="AJ247" s="23">
        <v>1.7418</v>
      </c>
      <c r="AK247" s="23"/>
      <c r="AL247" s="24" t="s">
        <v>619</v>
      </c>
      <c r="AM247" s="24">
        <v>210</v>
      </c>
      <c r="AN247" s="24">
        <v>0</v>
      </c>
      <c r="AO247" s="24">
        <f t="shared" si="31"/>
        <v>120</v>
      </c>
    </row>
    <row r="248" spans="1:41" x14ac:dyDescent="0.3">
      <c r="A248" s="24" t="s">
        <v>335</v>
      </c>
      <c r="B248" s="24" t="s">
        <v>436</v>
      </c>
      <c r="C248" s="25" t="s">
        <v>616</v>
      </c>
      <c r="D248" s="26">
        <v>26.5</v>
      </c>
      <c r="E248" s="34" t="s">
        <v>31</v>
      </c>
      <c r="F248" s="27" t="s">
        <v>54</v>
      </c>
      <c r="G248" s="28">
        <v>44454</v>
      </c>
      <c r="H248" s="28">
        <v>44476</v>
      </c>
      <c r="I248" s="24">
        <v>15</v>
      </c>
      <c r="J248" s="24" t="s">
        <v>43</v>
      </c>
      <c r="K248" s="24" t="s">
        <v>618</v>
      </c>
      <c r="L248" s="24" t="str">
        <f t="shared" si="24"/>
        <v>Not tested</v>
      </c>
      <c r="M248" s="23" t="s">
        <v>44</v>
      </c>
      <c r="N248" s="23" t="str">
        <f t="shared" si="25"/>
        <v/>
      </c>
      <c r="O248" s="24" t="s">
        <v>620</v>
      </c>
      <c r="P248" s="23">
        <v>3.5</v>
      </c>
      <c r="Q248" s="29">
        <v>0.29749999999999999</v>
      </c>
      <c r="R248" s="29"/>
      <c r="S248" s="24" t="s">
        <v>618</v>
      </c>
      <c r="T248" s="24" t="str">
        <f t="shared" si="26"/>
        <v>Upper censored</v>
      </c>
      <c r="U248" s="24" t="s">
        <v>35</v>
      </c>
      <c r="V248" s="24" t="str">
        <f t="shared" si="27"/>
        <v/>
      </c>
      <c r="W248" s="24" t="s">
        <v>619</v>
      </c>
      <c r="X248" s="23">
        <v>2.76</v>
      </c>
      <c r="Y248" s="23">
        <v>0.192</v>
      </c>
      <c r="Z248" s="23"/>
      <c r="AA248" s="24" t="s">
        <v>618</v>
      </c>
      <c r="AB248" s="24" t="str">
        <f t="shared" si="28"/>
        <v>Upper censored</v>
      </c>
      <c r="AC248" s="23" t="s">
        <v>35</v>
      </c>
      <c r="AD248" s="23" t="s">
        <v>561</v>
      </c>
      <c r="AE248" s="23" t="str">
        <f t="shared" si="29"/>
        <v/>
      </c>
      <c r="AF248" s="23"/>
      <c r="AG248" s="23" t="str">
        <f t="shared" si="30"/>
        <v/>
      </c>
      <c r="AH248" s="24" t="s">
        <v>619</v>
      </c>
      <c r="AI248" s="23">
        <v>3.5</v>
      </c>
      <c r="AJ248" s="23">
        <v>0.1017</v>
      </c>
      <c r="AK248" s="23"/>
      <c r="AL248" s="24" t="s">
        <v>618</v>
      </c>
      <c r="AM248" s="24">
        <v>210</v>
      </c>
      <c r="AN248" s="24">
        <v>0</v>
      </c>
      <c r="AO248" s="24">
        <f t="shared" si="31"/>
        <v>120</v>
      </c>
    </row>
    <row r="249" spans="1:41" x14ac:dyDescent="0.3">
      <c r="A249" s="24" t="s">
        <v>336</v>
      </c>
      <c r="B249" s="24" t="s">
        <v>436</v>
      </c>
      <c r="C249" s="25" t="s">
        <v>616</v>
      </c>
      <c r="D249" s="26">
        <v>30.8</v>
      </c>
      <c r="E249" s="34" t="s">
        <v>47</v>
      </c>
      <c r="F249" s="27" t="s">
        <v>54</v>
      </c>
      <c r="G249" s="28">
        <v>44453</v>
      </c>
      <c r="H249" s="28">
        <v>44477</v>
      </c>
      <c r="I249" s="24">
        <v>12</v>
      </c>
      <c r="J249" s="24" t="s">
        <v>33</v>
      </c>
      <c r="K249" s="24" t="s">
        <v>618</v>
      </c>
      <c r="L249" s="24" t="str">
        <f t="shared" si="24"/>
        <v>Not tested</v>
      </c>
      <c r="M249" s="23" t="s">
        <v>44</v>
      </c>
      <c r="N249" s="23" t="str">
        <f t="shared" si="25"/>
        <v/>
      </c>
      <c r="O249" s="24" t="s">
        <v>620</v>
      </c>
      <c r="P249" s="23">
        <v>3.5</v>
      </c>
      <c r="Q249" s="29">
        <v>9.3899999999999997E-2</v>
      </c>
      <c r="R249" s="29"/>
      <c r="S249" s="24" t="s">
        <v>618</v>
      </c>
      <c r="T249" s="24" t="str">
        <f t="shared" si="26"/>
        <v>Upper censored</v>
      </c>
      <c r="U249" s="24" t="s">
        <v>35</v>
      </c>
      <c r="V249" s="24" t="str">
        <f t="shared" si="27"/>
        <v/>
      </c>
      <c r="W249" s="24" t="s">
        <v>619</v>
      </c>
      <c r="X249" s="23">
        <v>2.7669999999999999</v>
      </c>
      <c r="Y249" s="23">
        <v>2.5663</v>
      </c>
      <c r="Z249" s="23"/>
      <c r="AA249" s="24" t="s">
        <v>619</v>
      </c>
      <c r="AB249" s="24" t="str">
        <f t="shared" si="28"/>
        <v>Upper censored</v>
      </c>
      <c r="AC249" s="23" t="s">
        <v>35</v>
      </c>
      <c r="AD249" s="23" t="s">
        <v>561</v>
      </c>
      <c r="AE249" s="23" t="str">
        <f t="shared" si="29"/>
        <v/>
      </c>
      <c r="AF249" s="23"/>
      <c r="AG249" s="23" t="str">
        <f t="shared" si="30"/>
        <v/>
      </c>
      <c r="AH249" s="24" t="s">
        <v>619</v>
      </c>
      <c r="AI249" s="23">
        <v>3.5</v>
      </c>
      <c r="AJ249" s="23">
        <v>1.1754</v>
      </c>
      <c r="AK249" s="23"/>
      <c r="AL249" s="24" t="s">
        <v>619</v>
      </c>
      <c r="AM249" s="24"/>
      <c r="AN249" s="24"/>
      <c r="AO249" s="24" t="str">
        <f t="shared" si="31"/>
        <v/>
      </c>
    </row>
    <row r="250" spans="1:41" x14ac:dyDescent="0.3">
      <c r="A250" s="24" t="s">
        <v>337</v>
      </c>
      <c r="B250" s="24" t="s">
        <v>614</v>
      </c>
      <c r="C250" s="30"/>
      <c r="D250" s="26">
        <v>17.399999999999999</v>
      </c>
      <c r="E250" s="34" t="s">
        <v>39</v>
      </c>
      <c r="F250" s="27" t="s">
        <v>54</v>
      </c>
      <c r="G250" s="28">
        <v>44453</v>
      </c>
      <c r="H250" s="28">
        <v>44477</v>
      </c>
      <c r="I250" s="24">
        <v>12</v>
      </c>
      <c r="J250" s="24" t="s">
        <v>33</v>
      </c>
      <c r="K250" s="24" t="s">
        <v>618</v>
      </c>
      <c r="L250" s="24" t="str">
        <f t="shared" si="24"/>
        <v>Not tested</v>
      </c>
      <c r="M250" s="23" t="s">
        <v>44</v>
      </c>
      <c r="N250" s="23" t="str">
        <f t="shared" si="25"/>
        <v/>
      </c>
      <c r="O250" s="24" t="s">
        <v>620</v>
      </c>
      <c r="P250" s="23">
        <v>3.5</v>
      </c>
      <c r="Q250" s="23">
        <v>0.3639</v>
      </c>
      <c r="R250" s="23">
        <v>0.36359999999999998</v>
      </c>
      <c r="S250" s="23" t="s">
        <v>618</v>
      </c>
      <c r="T250" s="24" t="str">
        <f t="shared" si="26"/>
        <v>Upper censored</v>
      </c>
      <c r="U250" s="24" t="s">
        <v>35</v>
      </c>
      <c r="V250" s="24" t="str">
        <f t="shared" si="27"/>
        <v/>
      </c>
      <c r="W250" s="24" t="s">
        <v>619</v>
      </c>
      <c r="X250" s="23">
        <v>2.83</v>
      </c>
      <c r="Y250" s="23">
        <v>0.2422</v>
      </c>
      <c r="Z250" s="23"/>
      <c r="AA250" s="24" t="s">
        <v>618</v>
      </c>
      <c r="AB250" s="24" t="str">
        <f t="shared" si="28"/>
        <v>Upper censored</v>
      </c>
      <c r="AC250" s="24" t="s">
        <v>35</v>
      </c>
      <c r="AD250" s="23" t="s">
        <v>561</v>
      </c>
      <c r="AE250" s="23" t="str">
        <f t="shared" si="29"/>
        <v/>
      </c>
      <c r="AF250" s="24"/>
      <c r="AG250" s="23" t="str">
        <f t="shared" si="30"/>
        <v/>
      </c>
      <c r="AH250" s="24" t="s">
        <v>619</v>
      </c>
      <c r="AI250" s="23">
        <v>3.5</v>
      </c>
      <c r="AJ250" s="23">
        <v>4.0145</v>
      </c>
      <c r="AK250" s="23"/>
      <c r="AL250" s="24" t="s">
        <v>619</v>
      </c>
      <c r="AM250" s="24">
        <v>210</v>
      </c>
      <c r="AN250" s="24">
        <v>0</v>
      </c>
      <c r="AO250" s="24">
        <f t="shared" si="31"/>
        <v>120</v>
      </c>
    </row>
    <row r="251" spans="1:41" x14ac:dyDescent="0.3">
      <c r="A251" s="24" t="s">
        <v>339</v>
      </c>
      <c r="B251" s="24" t="s">
        <v>436</v>
      </c>
      <c r="C251" s="25" t="s">
        <v>615</v>
      </c>
      <c r="D251" s="26">
        <v>21.7</v>
      </c>
      <c r="E251" s="34" t="s">
        <v>39</v>
      </c>
      <c r="F251" s="27" t="s">
        <v>54</v>
      </c>
      <c r="G251" s="28">
        <v>44453</v>
      </c>
      <c r="H251" s="28">
        <v>44476</v>
      </c>
      <c r="I251" s="24">
        <v>15</v>
      </c>
      <c r="J251" s="24" t="s">
        <v>43</v>
      </c>
      <c r="K251" s="24" t="s">
        <v>618</v>
      </c>
      <c r="L251" s="24" t="str">
        <f t="shared" si="24"/>
        <v>Not tested</v>
      </c>
      <c r="M251" s="23" t="s">
        <v>44</v>
      </c>
      <c r="N251" s="23" t="str">
        <f t="shared" si="25"/>
        <v/>
      </c>
      <c r="O251" s="24" t="s">
        <v>620</v>
      </c>
      <c r="P251" s="23">
        <v>3.5</v>
      </c>
      <c r="Q251" s="29">
        <v>1.4258</v>
      </c>
      <c r="R251" s="29"/>
      <c r="S251" s="24" t="s">
        <v>619</v>
      </c>
      <c r="T251" s="24" t="str">
        <f t="shared" si="26"/>
        <v>Upper censored</v>
      </c>
      <c r="U251" s="24" t="s">
        <v>35</v>
      </c>
      <c r="V251" s="24" t="str">
        <f t="shared" si="27"/>
        <v/>
      </c>
      <c r="W251" s="24" t="s">
        <v>619</v>
      </c>
      <c r="X251" s="23">
        <v>2.843</v>
      </c>
      <c r="Y251" s="23">
        <v>0.84</v>
      </c>
      <c r="Z251" s="23"/>
      <c r="AA251" s="24" t="s">
        <v>618</v>
      </c>
      <c r="AB251" s="24" t="str">
        <f t="shared" si="28"/>
        <v>Upper censored</v>
      </c>
      <c r="AC251" s="23" t="s">
        <v>35</v>
      </c>
      <c r="AD251" s="23" t="s">
        <v>561</v>
      </c>
      <c r="AE251" s="23" t="str">
        <f t="shared" si="29"/>
        <v/>
      </c>
      <c r="AF251" s="23"/>
      <c r="AG251" s="23" t="str">
        <f t="shared" si="30"/>
        <v/>
      </c>
      <c r="AH251" s="24" t="s">
        <v>619</v>
      </c>
      <c r="AI251" s="23">
        <v>3.5</v>
      </c>
      <c r="AJ251" s="23">
        <v>0.47810000000000002</v>
      </c>
      <c r="AK251" s="23"/>
      <c r="AL251" s="24" t="s">
        <v>618</v>
      </c>
      <c r="AM251" s="24">
        <v>210</v>
      </c>
      <c r="AN251" s="24">
        <v>0</v>
      </c>
      <c r="AO251" s="24">
        <f t="shared" si="31"/>
        <v>120</v>
      </c>
    </row>
    <row r="252" spans="1:41" x14ac:dyDescent="0.3">
      <c r="A252" s="24" t="s">
        <v>340</v>
      </c>
      <c r="B252" s="24" t="s">
        <v>614</v>
      </c>
      <c r="C252" s="25" t="s">
        <v>615</v>
      </c>
      <c r="D252" s="26">
        <v>20.7</v>
      </c>
      <c r="E252" s="34" t="s">
        <v>39</v>
      </c>
      <c r="F252" s="27" t="s">
        <v>54</v>
      </c>
      <c r="G252" s="28">
        <v>44454</v>
      </c>
      <c r="H252" s="28">
        <v>44476</v>
      </c>
      <c r="I252" s="24">
        <v>15</v>
      </c>
      <c r="J252" s="24" t="s">
        <v>43</v>
      </c>
      <c r="K252" s="24" t="s">
        <v>618</v>
      </c>
      <c r="L252" s="24" t="str">
        <f t="shared" si="24"/>
        <v>Not tested</v>
      </c>
      <c r="M252" s="23" t="s">
        <v>44</v>
      </c>
      <c r="N252" s="23" t="str">
        <f t="shared" si="25"/>
        <v/>
      </c>
      <c r="O252" s="24" t="s">
        <v>620</v>
      </c>
      <c r="P252" s="23">
        <v>3.5</v>
      </c>
      <c r="Q252" s="29">
        <v>0.1633</v>
      </c>
      <c r="R252" s="29"/>
      <c r="S252" s="24" t="s">
        <v>618</v>
      </c>
      <c r="T252" s="24" t="str">
        <f t="shared" si="26"/>
        <v>Normal</v>
      </c>
      <c r="U252" s="24">
        <v>4.4917999999999996</v>
      </c>
      <c r="V252" s="24">
        <f t="shared" si="27"/>
        <v>4.4917999999999996</v>
      </c>
      <c r="W252" s="24" t="s">
        <v>618</v>
      </c>
      <c r="X252" s="23">
        <v>2.8769999999999998</v>
      </c>
      <c r="Y252" s="23">
        <v>0.83930000000000005</v>
      </c>
      <c r="Z252" s="23"/>
      <c r="AA252" s="24" t="s">
        <v>618</v>
      </c>
      <c r="AB252" s="24" t="str">
        <f t="shared" si="28"/>
        <v>Normal</v>
      </c>
      <c r="AC252" s="23">
        <v>48819</v>
      </c>
      <c r="AD252" s="23">
        <v>4.8818999999999999</v>
      </c>
      <c r="AE252" s="23" t="str">
        <f t="shared" si="29"/>
        <v/>
      </c>
      <c r="AF252" s="23"/>
      <c r="AG252" s="23" t="str">
        <f t="shared" si="30"/>
        <v/>
      </c>
      <c r="AH252" s="24" t="s">
        <v>618</v>
      </c>
      <c r="AI252" s="23">
        <v>3.5</v>
      </c>
      <c r="AJ252" s="23">
        <v>0.47760000000000002</v>
      </c>
      <c r="AK252" s="23"/>
      <c r="AL252" s="24" t="s">
        <v>618</v>
      </c>
      <c r="AM252" s="24"/>
      <c r="AN252" s="24"/>
      <c r="AO252" s="24" t="str">
        <f t="shared" si="31"/>
        <v/>
      </c>
    </row>
    <row r="253" spans="1:41" x14ac:dyDescent="0.3">
      <c r="A253" s="24" t="s">
        <v>341</v>
      </c>
      <c r="B253" s="24" t="s">
        <v>614</v>
      </c>
      <c r="C253" s="30"/>
      <c r="D253" s="26">
        <v>26.1</v>
      </c>
      <c r="E253" s="34" t="s">
        <v>31</v>
      </c>
      <c r="F253" s="27" t="s">
        <v>54</v>
      </c>
      <c r="G253" s="28">
        <v>44453</v>
      </c>
      <c r="H253" s="28">
        <v>44476</v>
      </c>
      <c r="I253" s="24">
        <v>15</v>
      </c>
      <c r="J253" s="24" t="s">
        <v>43</v>
      </c>
      <c r="K253" s="24" t="s">
        <v>618</v>
      </c>
      <c r="L253" s="24" t="str">
        <f t="shared" si="24"/>
        <v>Not tested</v>
      </c>
      <c r="M253" s="23" t="s">
        <v>44</v>
      </c>
      <c r="N253" s="23" t="str">
        <f t="shared" si="25"/>
        <v/>
      </c>
      <c r="O253" s="24" t="s">
        <v>620</v>
      </c>
      <c r="P253" s="23">
        <v>3.5</v>
      </c>
      <c r="Q253" s="29">
        <v>5.3699999999999998E-2</v>
      </c>
      <c r="R253" s="29"/>
      <c r="S253" s="24" t="s">
        <v>618</v>
      </c>
      <c r="T253" s="24" t="str">
        <f t="shared" si="26"/>
        <v>Technical failure</v>
      </c>
      <c r="U253" s="24" t="s">
        <v>44</v>
      </c>
      <c r="V253" s="24" t="str">
        <f t="shared" si="27"/>
        <v/>
      </c>
      <c r="W253" s="24" t="s">
        <v>620</v>
      </c>
      <c r="X253" s="23">
        <v>2.9969999999999999</v>
      </c>
      <c r="Y253" s="23">
        <v>2.5335999999999999</v>
      </c>
      <c r="Z253" s="23"/>
      <c r="AA253" s="24" t="s">
        <v>619</v>
      </c>
      <c r="AB253" s="24" t="str">
        <f t="shared" si="28"/>
        <v>Not tested</v>
      </c>
      <c r="AC253" s="23" t="s">
        <v>44</v>
      </c>
      <c r="AD253" s="23" t="s">
        <v>561</v>
      </c>
      <c r="AE253" s="23" t="str">
        <f t="shared" si="29"/>
        <v/>
      </c>
      <c r="AF253" s="23"/>
      <c r="AG253" s="23" t="str">
        <f t="shared" si="30"/>
        <v/>
      </c>
      <c r="AH253" s="24" t="s">
        <v>620</v>
      </c>
      <c r="AI253" s="23">
        <v>3.5</v>
      </c>
      <c r="AJ253" s="23">
        <v>2.1322000000000001</v>
      </c>
      <c r="AK253" s="23"/>
      <c r="AL253" s="24" t="s">
        <v>619</v>
      </c>
      <c r="AM253" s="24">
        <v>210</v>
      </c>
      <c r="AN253" s="24">
        <v>0</v>
      </c>
      <c r="AO253" s="24" t="str">
        <f t="shared" si="31"/>
        <v/>
      </c>
    </row>
    <row r="254" spans="1:41" x14ac:dyDescent="0.3">
      <c r="A254" s="24" t="s">
        <v>342</v>
      </c>
      <c r="B254" s="24" t="s">
        <v>436</v>
      </c>
      <c r="C254" s="25"/>
      <c r="D254" s="26">
        <v>25.6</v>
      </c>
      <c r="E254" s="34" t="s">
        <v>31</v>
      </c>
      <c r="F254" s="27" t="s">
        <v>54</v>
      </c>
      <c r="G254" s="28">
        <v>44453</v>
      </c>
      <c r="H254" s="28">
        <v>44477</v>
      </c>
      <c r="I254" s="24">
        <v>12</v>
      </c>
      <c r="J254" s="24" t="s">
        <v>33</v>
      </c>
      <c r="K254" s="24" t="s">
        <v>618</v>
      </c>
      <c r="L254" s="24" t="str">
        <f t="shared" si="24"/>
        <v>Not tested</v>
      </c>
      <c r="M254" s="23" t="s">
        <v>44</v>
      </c>
      <c r="N254" s="23" t="str">
        <f t="shared" si="25"/>
        <v/>
      </c>
      <c r="O254" s="24" t="s">
        <v>620</v>
      </c>
      <c r="P254" s="23">
        <v>3.5</v>
      </c>
      <c r="Q254" s="29">
        <v>7.8600000000000003E-2</v>
      </c>
      <c r="R254" s="29"/>
      <c r="S254" s="24" t="s">
        <v>618</v>
      </c>
      <c r="T254" s="24" t="str">
        <f t="shared" si="26"/>
        <v>Technical failure</v>
      </c>
      <c r="U254" s="24" t="s">
        <v>44</v>
      </c>
      <c r="V254" s="24" t="str">
        <f t="shared" si="27"/>
        <v/>
      </c>
      <c r="W254" s="24" t="s">
        <v>620</v>
      </c>
      <c r="X254" s="23">
        <v>3.0179999999999998</v>
      </c>
      <c r="Y254" s="23">
        <v>2.4504999999999999</v>
      </c>
      <c r="Z254" s="23"/>
      <c r="AA254" s="24" t="s">
        <v>619</v>
      </c>
      <c r="AB254" s="24" t="str">
        <f t="shared" si="28"/>
        <v>Upper censored</v>
      </c>
      <c r="AC254" s="23" t="s">
        <v>35</v>
      </c>
      <c r="AD254" s="23" t="s">
        <v>561</v>
      </c>
      <c r="AE254" s="23" t="str">
        <f t="shared" si="29"/>
        <v/>
      </c>
      <c r="AF254" s="23"/>
      <c r="AG254" s="23" t="str">
        <f t="shared" si="30"/>
        <v/>
      </c>
      <c r="AH254" s="24" t="s">
        <v>619</v>
      </c>
      <c r="AI254" s="23">
        <v>3.5</v>
      </c>
      <c r="AJ254" s="23">
        <v>0.48230000000000001</v>
      </c>
      <c r="AK254" s="23"/>
      <c r="AL254" s="24" t="s">
        <v>618</v>
      </c>
      <c r="AM254" s="24">
        <v>210</v>
      </c>
      <c r="AN254" s="24">
        <v>0</v>
      </c>
      <c r="AO254" s="24">
        <f t="shared" si="31"/>
        <v>120</v>
      </c>
    </row>
    <row r="255" spans="1:41" x14ac:dyDescent="0.3">
      <c r="A255" s="24" t="s">
        <v>343</v>
      </c>
      <c r="B255" s="24" t="s">
        <v>436</v>
      </c>
      <c r="C255" s="25" t="s">
        <v>616</v>
      </c>
      <c r="D255" s="26">
        <v>14.5</v>
      </c>
      <c r="E255" s="34" t="s">
        <v>41</v>
      </c>
      <c r="F255" s="27" t="s">
        <v>54</v>
      </c>
      <c r="G255" s="28">
        <v>44453</v>
      </c>
      <c r="H255" s="28">
        <v>44477</v>
      </c>
      <c r="I255" s="24">
        <v>12</v>
      </c>
      <c r="J255" s="24" t="s">
        <v>33</v>
      </c>
      <c r="K255" s="24" t="s">
        <v>618</v>
      </c>
      <c r="L255" s="24" t="str">
        <f t="shared" si="24"/>
        <v>Not tested</v>
      </c>
      <c r="M255" s="23" t="s">
        <v>44</v>
      </c>
      <c r="N255" s="23" t="str">
        <f t="shared" si="25"/>
        <v/>
      </c>
      <c r="O255" s="23" t="s">
        <v>620</v>
      </c>
      <c r="P255" s="23">
        <v>3.5</v>
      </c>
      <c r="Q255" s="29">
        <v>9.1700000000000004E-2</v>
      </c>
      <c r="R255" s="29"/>
      <c r="S255" s="24" t="s">
        <v>618</v>
      </c>
      <c r="T255" s="24" t="str">
        <f t="shared" si="26"/>
        <v>Technical failure</v>
      </c>
      <c r="U255" s="24" t="s">
        <v>44</v>
      </c>
      <c r="V255" s="24" t="str">
        <f t="shared" si="27"/>
        <v/>
      </c>
      <c r="W255" s="24" t="s">
        <v>620</v>
      </c>
      <c r="X255" s="23">
        <v>3.1019999999999999</v>
      </c>
      <c r="Y255" s="23">
        <v>0.89890000000000003</v>
      </c>
      <c r="Z255" s="23"/>
      <c r="AA255" s="24" t="s">
        <v>618</v>
      </c>
      <c r="AB255" s="24" t="str">
        <f t="shared" si="28"/>
        <v>Upper censored</v>
      </c>
      <c r="AC255" s="23" t="s">
        <v>35</v>
      </c>
      <c r="AD255" s="23" t="s">
        <v>561</v>
      </c>
      <c r="AE255" s="23" t="str">
        <f t="shared" si="29"/>
        <v/>
      </c>
      <c r="AF255" s="23"/>
      <c r="AG255" s="23" t="str">
        <f t="shared" si="30"/>
        <v/>
      </c>
      <c r="AH255" s="24" t="s">
        <v>619</v>
      </c>
      <c r="AI255" s="23">
        <v>3.5</v>
      </c>
      <c r="AJ255" s="23">
        <v>0.4718</v>
      </c>
      <c r="AK255" s="23"/>
      <c r="AL255" s="24" t="s">
        <v>618</v>
      </c>
      <c r="AM255" s="24">
        <v>210</v>
      </c>
      <c r="AN255" s="24">
        <v>0</v>
      </c>
      <c r="AO255" s="24">
        <f t="shared" si="31"/>
        <v>120</v>
      </c>
    </row>
    <row r="256" spans="1:41" x14ac:dyDescent="0.3">
      <c r="A256" s="24" t="s">
        <v>344</v>
      </c>
      <c r="B256" s="24" t="s">
        <v>436</v>
      </c>
      <c r="C256" s="25" t="s">
        <v>616</v>
      </c>
      <c r="D256" s="26">
        <v>34.9</v>
      </c>
      <c r="E256" s="34" t="s">
        <v>47</v>
      </c>
      <c r="F256" s="27" t="s">
        <v>54</v>
      </c>
      <c r="G256" s="28">
        <v>44458</v>
      </c>
      <c r="H256" s="28">
        <v>44490</v>
      </c>
      <c r="I256" s="24">
        <v>15</v>
      </c>
      <c r="J256" s="24" t="s">
        <v>43</v>
      </c>
      <c r="K256" s="24" t="s">
        <v>618</v>
      </c>
      <c r="L256" s="24" t="str">
        <f t="shared" si="24"/>
        <v>Not tested</v>
      </c>
      <c r="M256" s="23" t="s">
        <v>44</v>
      </c>
      <c r="N256" s="23" t="str">
        <f t="shared" si="25"/>
        <v/>
      </c>
      <c r="O256" s="24" t="s">
        <v>620</v>
      </c>
      <c r="P256" s="23">
        <v>3.5</v>
      </c>
      <c r="Q256" s="29">
        <v>0.32440000000000002</v>
      </c>
      <c r="R256" s="29"/>
      <c r="S256" s="24" t="s">
        <v>618</v>
      </c>
      <c r="T256" s="24" t="str">
        <f t="shared" si="26"/>
        <v>Upper censored</v>
      </c>
      <c r="U256" s="24" t="s">
        <v>35</v>
      </c>
      <c r="V256" s="24" t="str">
        <f t="shared" si="27"/>
        <v/>
      </c>
      <c r="W256" s="24" t="s">
        <v>619</v>
      </c>
      <c r="X256" s="23">
        <v>3.121</v>
      </c>
      <c r="Y256" s="23">
        <v>4.6702000000000004</v>
      </c>
      <c r="Z256" s="23"/>
      <c r="AA256" s="24" t="s">
        <v>619</v>
      </c>
      <c r="AB256" s="24" t="str">
        <f t="shared" si="28"/>
        <v>Upper censored</v>
      </c>
      <c r="AC256" s="23" t="s">
        <v>35</v>
      </c>
      <c r="AD256" s="23" t="s">
        <v>561</v>
      </c>
      <c r="AE256" s="23" t="str">
        <f t="shared" si="29"/>
        <v/>
      </c>
      <c r="AF256" s="23"/>
      <c r="AG256" s="23" t="str">
        <f t="shared" si="30"/>
        <v/>
      </c>
      <c r="AH256" s="24" t="s">
        <v>619</v>
      </c>
      <c r="AI256" s="23">
        <v>3.5</v>
      </c>
      <c r="AJ256" s="23">
        <v>1.5580000000000001</v>
      </c>
      <c r="AK256" s="23"/>
      <c r="AL256" s="24" t="s">
        <v>619</v>
      </c>
      <c r="AM256" s="24">
        <v>210</v>
      </c>
      <c r="AN256" s="24">
        <v>0</v>
      </c>
      <c r="AO256" s="24">
        <f t="shared" si="31"/>
        <v>120</v>
      </c>
    </row>
    <row r="257" spans="1:41" x14ac:dyDescent="0.3">
      <c r="A257" s="24" t="s">
        <v>345</v>
      </c>
      <c r="B257" s="24" t="s">
        <v>614</v>
      </c>
      <c r="C257" s="25" t="s">
        <v>616</v>
      </c>
      <c r="D257" s="26">
        <v>21.5</v>
      </c>
      <c r="E257" s="34" t="s">
        <v>39</v>
      </c>
      <c r="F257" s="27" t="s">
        <v>54</v>
      </c>
      <c r="G257" s="28">
        <v>44454</v>
      </c>
      <c r="H257" s="28">
        <v>44476</v>
      </c>
      <c r="I257" s="24">
        <v>14</v>
      </c>
      <c r="J257" s="24" t="s">
        <v>43</v>
      </c>
      <c r="K257" s="24" t="s">
        <v>618</v>
      </c>
      <c r="L257" s="24" t="str">
        <f t="shared" si="24"/>
        <v>Not tested</v>
      </c>
      <c r="M257" s="23" t="s">
        <v>44</v>
      </c>
      <c r="N257" s="23" t="str">
        <f t="shared" si="25"/>
        <v/>
      </c>
      <c r="O257" s="24" t="s">
        <v>620</v>
      </c>
      <c r="P257" s="23">
        <v>3.5</v>
      </c>
      <c r="Q257" s="29">
        <v>0.34460000000000002</v>
      </c>
      <c r="R257" s="29"/>
      <c r="S257" s="24" t="s">
        <v>618</v>
      </c>
      <c r="T257" s="24" t="str">
        <f t="shared" si="26"/>
        <v>Technical failure</v>
      </c>
      <c r="U257" s="24" t="s">
        <v>44</v>
      </c>
      <c r="V257" s="24" t="str">
        <f t="shared" si="27"/>
        <v/>
      </c>
      <c r="W257" s="24" t="s">
        <v>620</v>
      </c>
      <c r="X257" s="23">
        <v>3.17</v>
      </c>
      <c r="Y257" s="23">
        <v>3.7612000000000001</v>
      </c>
      <c r="Z257" s="23"/>
      <c r="AA257" s="24" t="s">
        <v>618</v>
      </c>
      <c r="AB257" s="24" t="str">
        <f t="shared" si="28"/>
        <v>Not tested</v>
      </c>
      <c r="AC257" s="23" t="s">
        <v>44</v>
      </c>
      <c r="AD257" s="23" t="s">
        <v>561</v>
      </c>
      <c r="AE257" s="23" t="str">
        <f t="shared" si="29"/>
        <v/>
      </c>
      <c r="AF257" s="23"/>
      <c r="AG257" s="23" t="str">
        <f t="shared" si="30"/>
        <v/>
      </c>
      <c r="AH257" s="24" t="s">
        <v>620</v>
      </c>
      <c r="AI257" s="23">
        <v>3.5</v>
      </c>
      <c r="AJ257" s="23">
        <v>1.1345000000000001</v>
      </c>
      <c r="AK257" s="23"/>
      <c r="AL257" s="24" t="s">
        <v>619</v>
      </c>
      <c r="AM257" s="24">
        <v>210</v>
      </c>
      <c r="AN257" s="24">
        <v>0</v>
      </c>
      <c r="AO257" s="24" t="str">
        <f t="shared" si="31"/>
        <v/>
      </c>
    </row>
    <row r="258" spans="1:41" x14ac:dyDescent="0.3">
      <c r="A258" s="24" t="s">
        <v>346</v>
      </c>
      <c r="B258" s="24" t="s">
        <v>436</v>
      </c>
      <c r="C258" s="30" t="s">
        <v>615</v>
      </c>
      <c r="D258" s="26">
        <v>23</v>
      </c>
      <c r="E258" s="34" t="s">
        <v>39</v>
      </c>
      <c r="F258" s="27" t="s">
        <v>54</v>
      </c>
      <c r="G258" s="28">
        <v>44453</v>
      </c>
      <c r="H258" s="28">
        <v>44476</v>
      </c>
      <c r="I258" s="24">
        <v>15</v>
      </c>
      <c r="J258" s="24" t="s">
        <v>43</v>
      </c>
      <c r="K258" s="24" t="s">
        <v>618</v>
      </c>
      <c r="L258" s="24" t="str">
        <f t="shared" si="24"/>
        <v>Not tested</v>
      </c>
      <c r="M258" s="23" t="s">
        <v>44</v>
      </c>
      <c r="N258" s="23" t="str">
        <f t="shared" si="25"/>
        <v/>
      </c>
      <c r="O258" s="24" t="s">
        <v>620</v>
      </c>
      <c r="P258" s="23">
        <v>3.5</v>
      </c>
      <c r="Q258" s="29">
        <v>0.23080000000000001</v>
      </c>
      <c r="R258" s="29"/>
      <c r="S258" s="24" t="s">
        <v>618</v>
      </c>
      <c r="T258" s="24" t="str">
        <f t="shared" si="26"/>
        <v>Upper censored</v>
      </c>
      <c r="U258" s="24" t="s">
        <v>35</v>
      </c>
      <c r="V258" s="24" t="str">
        <f t="shared" si="27"/>
        <v/>
      </c>
      <c r="W258" s="24" t="s">
        <v>619</v>
      </c>
      <c r="X258" s="23">
        <v>3.177</v>
      </c>
      <c r="Y258" s="23">
        <v>6.6199999999999995E-2</v>
      </c>
      <c r="Z258" s="23"/>
      <c r="AA258" s="24" t="s">
        <v>618</v>
      </c>
      <c r="AB258" s="24" t="str">
        <f t="shared" si="28"/>
        <v>Not tested</v>
      </c>
      <c r="AC258" s="23" t="s">
        <v>44</v>
      </c>
      <c r="AD258" s="23" t="s">
        <v>561</v>
      </c>
      <c r="AE258" s="23" t="str">
        <f t="shared" si="29"/>
        <v/>
      </c>
      <c r="AF258" s="23"/>
      <c r="AG258" s="23" t="str">
        <f t="shared" si="30"/>
        <v/>
      </c>
      <c r="AH258" s="24" t="s">
        <v>620</v>
      </c>
      <c r="AI258" s="23">
        <v>3.5</v>
      </c>
      <c r="AJ258" s="23">
        <v>2.7458999999999998</v>
      </c>
      <c r="AK258" s="23"/>
      <c r="AL258" s="24" t="s">
        <v>619</v>
      </c>
      <c r="AM258" s="24">
        <v>210</v>
      </c>
      <c r="AN258" s="24">
        <v>0</v>
      </c>
      <c r="AO258" s="24" t="str">
        <f t="shared" si="31"/>
        <v/>
      </c>
    </row>
    <row r="259" spans="1:41" x14ac:dyDescent="0.3">
      <c r="A259" s="24" t="s">
        <v>347</v>
      </c>
      <c r="B259" s="24" t="s">
        <v>614</v>
      </c>
      <c r="C259" s="30"/>
      <c r="D259" s="26">
        <v>34.4</v>
      </c>
      <c r="E259" s="34" t="s">
        <v>47</v>
      </c>
      <c r="F259" s="27" t="s">
        <v>54</v>
      </c>
      <c r="G259" s="28">
        <v>44454</v>
      </c>
      <c r="H259" s="28">
        <v>44476</v>
      </c>
      <c r="I259" s="24">
        <v>15</v>
      </c>
      <c r="J259" s="24" t="s">
        <v>43</v>
      </c>
      <c r="K259" s="24" t="s">
        <v>618</v>
      </c>
      <c r="L259" s="24" t="str">
        <f t="shared" ref="L259:L295" si="32">IF(LEFT(M259,1)="&gt;","Upper censored",IF(M259="*****","Not tested","Normal"))</f>
        <v>Not tested</v>
      </c>
      <c r="M259" s="23" t="s">
        <v>44</v>
      </c>
      <c r="N259" s="23" t="str">
        <f t="shared" ref="N259:N295" si="33">IFERROR(VALUE(M259),"")</f>
        <v/>
      </c>
      <c r="O259" s="24" t="s">
        <v>620</v>
      </c>
      <c r="P259" s="23">
        <v>3.5</v>
      </c>
      <c r="Q259" s="29">
        <v>0.1409</v>
      </c>
      <c r="R259" s="29"/>
      <c r="S259" s="24" t="s">
        <v>618</v>
      </c>
      <c r="T259" s="24" t="str">
        <f t="shared" ref="T259:T295" si="34">IF(LEFT(U259,1)="&gt;","Upper censored",IF(U259="*****","Technical failure","Normal"))</f>
        <v>Technical failure</v>
      </c>
      <c r="U259" s="24" t="s">
        <v>44</v>
      </c>
      <c r="V259" s="24" t="str">
        <f t="shared" ref="V259:V295" si="35">IFERROR(VALUE(U259),"")</f>
        <v/>
      </c>
      <c r="W259" s="24" t="s">
        <v>620</v>
      </c>
      <c r="X259" s="23">
        <v>3.2120000000000002</v>
      </c>
      <c r="Y259" s="23">
        <v>3.1839</v>
      </c>
      <c r="Z259" s="23"/>
      <c r="AA259" s="24" t="s">
        <v>619</v>
      </c>
      <c r="AB259" s="24" t="str">
        <f t="shared" ref="AB259:AB295" si="36">IF(LEFT(AC259,1)="&gt;","Upper censored",IF(AC259="*****","Not tested","Normal"))</f>
        <v>Upper censored</v>
      </c>
      <c r="AC259" s="23" t="s">
        <v>35</v>
      </c>
      <c r="AD259" s="23" t="s">
        <v>561</v>
      </c>
      <c r="AE259" s="23" t="str">
        <f t="shared" ref="AE259:AE295" si="37">IF(ISBLANK(AF259),"",IF(LEFT(AF259,1)="&gt;","Upper censored",IF(AF259="*****","Not tested","Normal")))</f>
        <v/>
      </c>
      <c r="AF259" s="23"/>
      <c r="AG259" s="23" t="str">
        <f t="shared" ref="AG259:AG295" si="38">IF(ISBLANK(AF259),"",IFERROR(VALUE(AF259),""))</f>
        <v/>
      </c>
      <c r="AH259" s="24" t="s">
        <v>619</v>
      </c>
      <c r="AI259" s="23">
        <v>3.5</v>
      </c>
      <c r="AJ259" s="23">
        <v>0.79910000000000003</v>
      </c>
      <c r="AK259" s="23"/>
      <c r="AL259" s="24" t="s">
        <v>618</v>
      </c>
      <c r="AM259" s="24">
        <v>210</v>
      </c>
      <c r="AN259" s="24">
        <v>0</v>
      </c>
      <c r="AO259" s="24">
        <f t="shared" ref="AO259:AO295" si="39">IF(ISBLANK(AM259),"",IF(AM259=92,IF(T259="Upper censored",120,""),IF(AB259="Upper censored",120,"")))</f>
        <v>120</v>
      </c>
    </row>
    <row r="260" spans="1:41" x14ac:dyDescent="0.3">
      <c r="A260" s="24" t="s">
        <v>348</v>
      </c>
      <c r="B260" s="24" t="s">
        <v>614</v>
      </c>
      <c r="C260" s="30"/>
      <c r="D260" s="26">
        <v>25.7</v>
      </c>
      <c r="E260" s="34" t="s">
        <v>47</v>
      </c>
      <c r="F260" s="27" t="s">
        <v>54</v>
      </c>
      <c r="G260" s="28">
        <v>44453</v>
      </c>
      <c r="H260" s="28">
        <v>44482</v>
      </c>
      <c r="I260" s="24">
        <v>12</v>
      </c>
      <c r="J260" s="24" t="s">
        <v>33</v>
      </c>
      <c r="K260" s="24" t="s">
        <v>618</v>
      </c>
      <c r="L260" s="24" t="str">
        <f t="shared" si="32"/>
        <v>Not tested</v>
      </c>
      <c r="M260" s="23" t="s">
        <v>44</v>
      </c>
      <c r="N260" s="23" t="str">
        <f t="shared" si="33"/>
        <v/>
      </c>
      <c r="O260" s="24" t="s">
        <v>620</v>
      </c>
      <c r="P260" s="23">
        <v>3.5</v>
      </c>
      <c r="Q260" s="29">
        <v>8.7900000000000006E-2</v>
      </c>
      <c r="R260" s="29"/>
      <c r="S260" s="24" t="s">
        <v>618</v>
      </c>
      <c r="T260" s="24" t="str">
        <f t="shared" si="34"/>
        <v>Upper censored</v>
      </c>
      <c r="U260" s="24" t="s">
        <v>35</v>
      </c>
      <c r="V260" s="24" t="str">
        <f t="shared" si="35"/>
        <v/>
      </c>
      <c r="W260" s="24" t="s">
        <v>619</v>
      </c>
      <c r="X260" s="23">
        <v>3.2440000000000002</v>
      </c>
      <c r="Y260" s="23">
        <v>0.39240000000000003</v>
      </c>
      <c r="Z260" s="23"/>
      <c r="AA260" s="24" t="s">
        <v>618</v>
      </c>
      <c r="AB260" s="24" t="str">
        <f t="shared" si="36"/>
        <v>Upper censored</v>
      </c>
      <c r="AC260" s="23" t="s">
        <v>35</v>
      </c>
      <c r="AD260" s="23" t="s">
        <v>561</v>
      </c>
      <c r="AE260" s="23" t="str">
        <f t="shared" si="37"/>
        <v/>
      </c>
      <c r="AF260" s="23"/>
      <c r="AG260" s="23" t="str">
        <f t="shared" si="38"/>
        <v/>
      </c>
      <c r="AH260" s="24" t="s">
        <v>619</v>
      </c>
      <c r="AI260" s="23">
        <v>3.5</v>
      </c>
      <c r="AJ260" s="23">
        <v>0.24379999999999999</v>
      </c>
      <c r="AK260" s="23"/>
      <c r="AL260" s="24" t="s">
        <v>618</v>
      </c>
      <c r="AM260" s="24"/>
      <c r="AN260" s="24"/>
      <c r="AO260" s="24" t="str">
        <f t="shared" si="39"/>
        <v/>
      </c>
    </row>
    <row r="261" spans="1:41" x14ac:dyDescent="0.3">
      <c r="A261" s="24" t="s">
        <v>349</v>
      </c>
      <c r="B261" s="24" t="s">
        <v>614</v>
      </c>
      <c r="C261" s="25"/>
      <c r="D261" s="26">
        <v>18.7</v>
      </c>
      <c r="E261" s="34" t="s">
        <v>39</v>
      </c>
      <c r="F261" s="27" t="s">
        <v>54</v>
      </c>
      <c r="G261" s="28">
        <v>44453</v>
      </c>
      <c r="H261" s="28">
        <v>44477</v>
      </c>
      <c r="I261" s="24">
        <v>14</v>
      </c>
      <c r="J261" s="24" t="s">
        <v>43</v>
      </c>
      <c r="K261" s="24" t="s">
        <v>619</v>
      </c>
      <c r="L261" s="24" t="str">
        <f t="shared" si="32"/>
        <v>Not tested</v>
      </c>
      <c r="M261" s="23" t="s">
        <v>44</v>
      </c>
      <c r="N261" s="23" t="str">
        <f t="shared" si="33"/>
        <v/>
      </c>
      <c r="O261" s="24" t="s">
        <v>620</v>
      </c>
      <c r="P261" s="23">
        <v>3.5</v>
      </c>
      <c r="Q261" s="29">
        <v>0.70520000000000005</v>
      </c>
      <c r="R261" s="29"/>
      <c r="S261" s="24" t="s">
        <v>618</v>
      </c>
      <c r="T261" s="24" t="str">
        <f t="shared" si="34"/>
        <v>Technical failure</v>
      </c>
      <c r="U261" s="24" t="s">
        <v>44</v>
      </c>
      <c r="V261" s="24" t="str">
        <f t="shared" si="35"/>
        <v/>
      </c>
      <c r="W261" s="24" t="s">
        <v>620</v>
      </c>
      <c r="X261" s="23">
        <v>3.2679999999999998</v>
      </c>
      <c r="Y261" s="23">
        <v>5.9137000000000004</v>
      </c>
      <c r="Z261" s="23"/>
      <c r="AA261" s="24" t="s">
        <v>619</v>
      </c>
      <c r="AB261" s="24" t="str">
        <f t="shared" si="36"/>
        <v>Upper censored</v>
      </c>
      <c r="AC261" s="23" t="s">
        <v>35</v>
      </c>
      <c r="AD261" s="23" t="s">
        <v>561</v>
      </c>
      <c r="AE261" s="23" t="str">
        <f t="shared" si="37"/>
        <v/>
      </c>
      <c r="AF261" s="23"/>
      <c r="AG261" s="23" t="str">
        <f t="shared" si="38"/>
        <v/>
      </c>
      <c r="AH261" s="24" t="s">
        <v>619</v>
      </c>
      <c r="AI261" s="23">
        <v>3.5</v>
      </c>
      <c r="AJ261" s="23">
        <v>2.4300999999999999</v>
      </c>
      <c r="AK261" s="23"/>
      <c r="AL261" s="24" t="s">
        <v>619</v>
      </c>
      <c r="AM261" s="24">
        <v>210</v>
      </c>
      <c r="AN261" s="24">
        <v>0</v>
      </c>
      <c r="AO261" s="24">
        <f t="shared" si="39"/>
        <v>120</v>
      </c>
    </row>
    <row r="262" spans="1:41" x14ac:dyDescent="0.3">
      <c r="A262" s="24" t="s">
        <v>350</v>
      </c>
      <c r="B262" s="24" t="s">
        <v>436</v>
      </c>
      <c r="C262" s="25" t="s">
        <v>616</v>
      </c>
      <c r="D262" s="26">
        <v>31.6</v>
      </c>
      <c r="E262" s="34" t="s">
        <v>47</v>
      </c>
      <c r="F262" s="27" t="s">
        <v>54</v>
      </c>
      <c r="G262" s="28">
        <v>44453</v>
      </c>
      <c r="H262" s="28">
        <v>44477</v>
      </c>
      <c r="I262" s="24">
        <v>12</v>
      </c>
      <c r="J262" s="24" t="s">
        <v>33</v>
      </c>
      <c r="K262" s="24" t="s">
        <v>618</v>
      </c>
      <c r="L262" s="24" t="str">
        <f t="shared" si="32"/>
        <v>Not tested</v>
      </c>
      <c r="M262" s="23" t="s">
        <v>44</v>
      </c>
      <c r="N262" s="23" t="str">
        <f t="shared" si="33"/>
        <v/>
      </c>
      <c r="O262" s="24" t="s">
        <v>620</v>
      </c>
      <c r="P262" s="23">
        <v>3.5</v>
      </c>
      <c r="Q262" s="29">
        <v>2.8208000000000002</v>
      </c>
      <c r="R262" s="29"/>
      <c r="S262" s="24" t="s">
        <v>619</v>
      </c>
      <c r="T262" s="24" t="str">
        <f t="shared" si="34"/>
        <v>Technical failure</v>
      </c>
      <c r="U262" s="24" t="s">
        <v>44</v>
      </c>
      <c r="V262" s="24" t="str">
        <f t="shared" si="35"/>
        <v/>
      </c>
      <c r="W262" s="24" t="s">
        <v>620</v>
      </c>
      <c r="X262" s="23">
        <v>3.3220000000000001</v>
      </c>
      <c r="Y262" s="23">
        <v>1.8027</v>
      </c>
      <c r="Z262" s="23"/>
      <c r="AA262" s="24" t="s">
        <v>619</v>
      </c>
      <c r="AB262" s="24" t="str">
        <f t="shared" si="36"/>
        <v>Not tested</v>
      </c>
      <c r="AC262" s="24" t="s">
        <v>44</v>
      </c>
      <c r="AD262" s="23" t="s">
        <v>561</v>
      </c>
      <c r="AE262" s="23" t="str">
        <f t="shared" si="37"/>
        <v/>
      </c>
      <c r="AF262" s="24"/>
      <c r="AG262" s="23" t="str">
        <f t="shared" si="38"/>
        <v/>
      </c>
      <c r="AH262" s="24" t="s">
        <v>620</v>
      </c>
      <c r="AI262" s="23">
        <v>3.5</v>
      </c>
      <c r="AJ262" s="23">
        <v>4.9668999999999999</v>
      </c>
      <c r="AK262" s="23"/>
      <c r="AL262" s="24" t="s">
        <v>619</v>
      </c>
      <c r="AM262" s="24"/>
      <c r="AN262" s="24"/>
      <c r="AO262" s="24" t="str">
        <f t="shared" si="39"/>
        <v/>
      </c>
    </row>
    <row r="263" spans="1:41" x14ac:dyDescent="0.3">
      <c r="A263" s="24" t="s">
        <v>351</v>
      </c>
      <c r="B263" s="24" t="s">
        <v>436</v>
      </c>
      <c r="C263" s="30"/>
      <c r="D263" s="26">
        <v>24.3</v>
      </c>
      <c r="E263" s="34" t="s">
        <v>31</v>
      </c>
      <c r="F263" s="27" t="s">
        <v>54</v>
      </c>
      <c r="G263" s="28">
        <v>44453</v>
      </c>
      <c r="H263" s="28">
        <v>44476</v>
      </c>
      <c r="I263" s="24">
        <v>15</v>
      </c>
      <c r="J263" s="24" t="s">
        <v>43</v>
      </c>
      <c r="K263" s="24" t="s">
        <v>619</v>
      </c>
      <c r="L263" s="24" t="str">
        <f t="shared" si="32"/>
        <v>Not tested</v>
      </c>
      <c r="M263" s="23" t="s">
        <v>44</v>
      </c>
      <c r="N263" s="23" t="str">
        <f t="shared" si="33"/>
        <v/>
      </c>
      <c r="O263" s="24" t="s">
        <v>620</v>
      </c>
      <c r="P263" s="23">
        <v>3.5</v>
      </c>
      <c r="Q263" s="29">
        <v>6.3500000000000001E-2</v>
      </c>
      <c r="R263" s="29"/>
      <c r="S263" s="24" t="s">
        <v>618</v>
      </c>
      <c r="T263" s="24" t="str">
        <f t="shared" si="34"/>
        <v>Upper censored</v>
      </c>
      <c r="U263" s="24" t="s">
        <v>35</v>
      </c>
      <c r="V263" s="24" t="str">
        <f t="shared" si="35"/>
        <v/>
      </c>
      <c r="W263" s="24" t="s">
        <v>619</v>
      </c>
      <c r="X263" s="23">
        <v>3.3359999999999999</v>
      </c>
      <c r="Y263" s="23">
        <v>6.5000000000000002E-2</v>
      </c>
      <c r="Z263" s="23"/>
      <c r="AA263" s="24" t="s">
        <v>618</v>
      </c>
      <c r="AB263" s="24" t="str">
        <f t="shared" si="36"/>
        <v>Normal</v>
      </c>
      <c r="AC263" s="23">
        <v>462599</v>
      </c>
      <c r="AD263" s="23">
        <v>46.259900000000002</v>
      </c>
      <c r="AE263" s="23" t="str">
        <f t="shared" si="37"/>
        <v/>
      </c>
      <c r="AF263" s="23"/>
      <c r="AG263" s="23" t="str">
        <f t="shared" si="38"/>
        <v/>
      </c>
      <c r="AH263" s="24" t="s">
        <v>619</v>
      </c>
      <c r="AI263" s="23">
        <v>3.5</v>
      </c>
      <c r="AJ263" s="23">
        <v>0.1157</v>
      </c>
      <c r="AK263" s="23"/>
      <c r="AL263" s="24" t="s">
        <v>618</v>
      </c>
      <c r="AM263" s="24">
        <v>182</v>
      </c>
      <c r="AN263" s="24">
        <v>1</v>
      </c>
      <c r="AO263" s="24" t="str">
        <f t="shared" si="39"/>
        <v/>
      </c>
    </row>
    <row r="264" spans="1:41" x14ac:dyDescent="0.3">
      <c r="A264" s="24" t="s">
        <v>352</v>
      </c>
      <c r="B264" s="24" t="s">
        <v>436</v>
      </c>
      <c r="C264" s="25"/>
      <c r="D264" s="26">
        <v>16</v>
      </c>
      <c r="E264" s="34" t="s">
        <v>39</v>
      </c>
      <c r="F264" s="27" t="s">
        <v>54</v>
      </c>
      <c r="G264" s="28">
        <v>44453</v>
      </c>
      <c r="H264" s="28">
        <v>44477</v>
      </c>
      <c r="I264" s="24">
        <v>12</v>
      </c>
      <c r="J264" s="24" t="s">
        <v>33</v>
      </c>
      <c r="K264" s="24" t="s">
        <v>618</v>
      </c>
      <c r="L264" s="24" t="str">
        <f t="shared" si="32"/>
        <v>Not tested</v>
      </c>
      <c r="M264" s="23" t="s">
        <v>44</v>
      </c>
      <c r="N264" s="23" t="str">
        <f t="shared" si="33"/>
        <v/>
      </c>
      <c r="O264" s="24" t="s">
        <v>620</v>
      </c>
      <c r="P264" s="23">
        <v>3.5</v>
      </c>
      <c r="Q264" s="29">
        <v>6.2600000000000003E-2</v>
      </c>
      <c r="R264" s="29">
        <v>5.3699999999999998E-2</v>
      </c>
      <c r="S264" s="24" t="s">
        <v>618</v>
      </c>
      <c r="T264" s="24" t="str">
        <f t="shared" si="34"/>
        <v>Technical failure</v>
      </c>
      <c r="U264" s="24" t="s">
        <v>44</v>
      </c>
      <c r="V264" s="24" t="str">
        <f t="shared" si="35"/>
        <v/>
      </c>
      <c r="W264" s="24" t="s">
        <v>620</v>
      </c>
      <c r="X264" s="23">
        <v>3.367</v>
      </c>
      <c r="Y264" s="23">
        <v>2.3220999999999998</v>
      </c>
      <c r="Z264" s="23"/>
      <c r="AA264" s="24" t="s">
        <v>619</v>
      </c>
      <c r="AB264" s="24" t="str">
        <f t="shared" si="36"/>
        <v>Upper censored</v>
      </c>
      <c r="AC264" s="23" t="s">
        <v>35</v>
      </c>
      <c r="AD264" s="23" t="s">
        <v>561</v>
      </c>
      <c r="AE264" s="23" t="str">
        <f t="shared" si="37"/>
        <v/>
      </c>
      <c r="AF264" s="23"/>
      <c r="AG264" s="23" t="str">
        <f t="shared" si="38"/>
        <v/>
      </c>
      <c r="AH264" s="24" t="s">
        <v>619</v>
      </c>
      <c r="AI264" s="23">
        <v>3.5</v>
      </c>
      <c r="AJ264" s="23">
        <v>0.64300000000000002</v>
      </c>
      <c r="AK264" s="23"/>
      <c r="AL264" s="24" t="s">
        <v>618</v>
      </c>
      <c r="AM264" s="24">
        <v>210</v>
      </c>
      <c r="AN264" s="24">
        <v>0</v>
      </c>
      <c r="AO264" s="24">
        <f t="shared" si="39"/>
        <v>120</v>
      </c>
    </row>
    <row r="265" spans="1:41" x14ac:dyDescent="0.3">
      <c r="A265" s="24" t="s">
        <v>354</v>
      </c>
      <c r="B265" s="24" t="s">
        <v>436</v>
      </c>
      <c r="C265" s="25"/>
      <c r="D265" s="26">
        <v>16.100000000000001</v>
      </c>
      <c r="E265" s="34" t="s">
        <v>39</v>
      </c>
      <c r="F265" s="27" t="s">
        <v>54</v>
      </c>
      <c r="G265" s="28">
        <v>44453</v>
      </c>
      <c r="H265" s="28">
        <v>44477</v>
      </c>
      <c r="I265" s="24">
        <v>12</v>
      </c>
      <c r="J265" s="24" t="s">
        <v>33</v>
      </c>
      <c r="K265" s="24" t="s">
        <v>619</v>
      </c>
      <c r="L265" s="24" t="str">
        <f t="shared" si="32"/>
        <v>Not tested</v>
      </c>
      <c r="M265" s="23" t="s">
        <v>44</v>
      </c>
      <c r="N265" s="23" t="str">
        <f t="shared" si="33"/>
        <v/>
      </c>
      <c r="O265" s="24" t="s">
        <v>620</v>
      </c>
      <c r="P265" s="23">
        <v>3.5</v>
      </c>
      <c r="Q265" s="29">
        <v>0.2555</v>
      </c>
      <c r="R265" s="29"/>
      <c r="S265" s="24" t="s">
        <v>618</v>
      </c>
      <c r="T265" s="24" t="str">
        <f t="shared" si="34"/>
        <v>Technical failure</v>
      </c>
      <c r="U265" s="24" t="s">
        <v>44</v>
      </c>
      <c r="V265" s="24" t="str">
        <f t="shared" si="35"/>
        <v/>
      </c>
      <c r="W265" s="24" t="s">
        <v>620</v>
      </c>
      <c r="X265" s="23">
        <v>3.3740000000000001</v>
      </c>
      <c r="Y265" s="23">
        <v>1.1662999999999999</v>
      </c>
      <c r="Z265" s="23"/>
      <c r="AA265" s="24" t="s">
        <v>619</v>
      </c>
      <c r="AB265" s="24" t="str">
        <f t="shared" si="36"/>
        <v>Upper censored</v>
      </c>
      <c r="AC265" s="23" t="s">
        <v>35</v>
      </c>
      <c r="AD265" s="23" t="s">
        <v>561</v>
      </c>
      <c r="AE265" s="23" t="str">
        <f t="shared" si="37"/>
        <v/>
      </c>
      <c r="AF265" s="23"/>
      <c r="AG265" s="23" t="str">
        <f t="shared" si="38"/>
        <v/>
      </c>
      <c r="AH265" s="24" t="s">
        <v>619</v>
      </c>
      <c r="AI265" s="23">
        <v>3.5</v>
      </c>
      <c r="AJ265" s="23">
        <v>0.55740000000000001</v>
      </c>
      <c r="AK265" s="23"/>
      <c r="AL265" s="24" t="s">
        <v>618</v>
      </c>
      <c r="AM265" s="24">
        <v>210</v>
      </c>
      <c r="AN265" s="24">
        <v>0</v>
      </c>
      <c r="AO265" s="24">
        <f t="shared" si="39"/>
        <v>120</v>
      </c>
    </row>
    <row r="266" spans="1:41" x14ac:dyDescent="0.3">
      <c r="A266" s="24" t="s">
        <v>355</v>
      </c>
      <c r="B266" s="24" t="s">
        <v>614</v>
      </c>
      <c r="C266" s="25"/>
      <c r="D266" s="26">
        <v>20.100000000000001</v>
      </c>
      <c r="E266" s="34" t="s">
        <v>39</v>
      </c>
      <c r="F266" s="27" t="s">
        <v>54</v>
      </c>
      <c r="G266" s="28">
        <v>44453</v>
      </c>
      <c r="H266" s="28">
        <v>44477</v>
      </c>
      <c r="I266" s="24">
        <v>14</v>
      </c>
      <c r="J266" s="24" t="s">
        <v>43</v>
      </c>
      <c r="K266" s="24" t="s">
        <v>618</v>
      </c>
      <c r="L266" s="24" t="str">
        <f t="shared" si="32"/>
        <v>Not tested</v>
      </c>
      <c r="M266" s="23" t="s">
        <v>44</v>
      </c>
      <c r="N266" s="23" t="str">
        <f t="shared" si="33"/>
        <v/>
      </c>
      <c r="O266" s="24" t="s">
        <v>620</v>
      </c>
      <c r="P266" s="23">
        <v>3.5</v>
      </c>
      <c r="Q266" s="29">
        <v>0.1142</v>
      </c>
      <c r="R266" s="29">
        <v>8.2500000000000004E-2</v>
      </c>
      <c r="S266" s="29" t="s">
        <v>618</v>
      </c>
      <c r="T266" s="24" t="str">
        <f t="shared" si="34"/>
        <v>Technical failure</v>
      </c>
      <c r="U266" s="24" t="s">
        <v>44</v>
      </c>
      <c r="V266" s="24" t="str">
        <f t="shared" si="35"/>
        <v/>
      </c>
      <c r="W266" s="24" t="s">
        <v>620</v>
      </c>
      <c r="X266" s="23">
        <v>3.4260000000000002</v>
      </c>
      <c r="Y266" s="23">
        <v>0.69089999999999996</v>
      </c>
      <c r="Z266" s="23"/>
      <c r="AA266" s="24" t="s">
        <v>618</v>
      </c>
      <c r="AB266" s="24" t="str">
        <f t="shared" si="36"/>
        <v>Not tested</v>
      </c>
      <c r="AC266" s="23" t="s">
        <v>44</v>
      </c>
      <c r="AD266" s="23" t="s">
        <v>561</v>
      </c>
      <c r="AE266" s="23" t="str">
        <f t="shared" si="37"/>
        <v/>
      </c>
      <c r="AF266" s="23"/>
      <c r="AG266" s="23" t="str">
        <f t="shared" si="38"/>
        <v/>
      </c>
      <c r="AH266" s="24" t="s">
        <v>620</v>
      </c>
      <c r="AI266" s="23">
        <v>3.5</v>
      </c>
      <c r="AJ266" s="23">
        <v>0.78480000000000005</v>
      </c>
      <c r="AK266" s="23"/>
      <c r="AL266" s="24" t="s">
        <v>618</v>
      </c>
      <c r="AM266" s="24">
        <v>210</v>
      </c>
      <c r="AN266" s="24">
        <v>0</v>
      </c>
      <c r="AO266" s="24" t="str">
        <f t="shared" si="39"/>
        <v/>
      </c>
    </row>
    <row r="267" spans="1:41" x14ac:dyDescent="0.3">
      <c r="A267" s="24" t="s">
        <v>357</v>
      </c>
      <c r="B267" s="24" t="s">
        <v>614</v>
      </c>
      <c r="C267" s="30" t="s">
        <v>615</v>
      </c>
      <c r="D267" s="26">
        <v>26.3</v>
      </c>
      <c r="E267" s="34" t="s">
        <v>47</v>
      </c>
      <c r="F267" s="27" t="s">
        <v>54</v>
      </c>
      <c r="G267" s="28">
        <v>44453</v>
      </c>
      <c r="H267" s="28">
        <v>44477</v>
      </c>
      <c r="I267" s="24">
        <v>12</v>
      </c>
      <c r="J267" s="24" t="s">
        <v>33</v>
      </c>
      <c r="K267" s="24" t="s">
        <v>618</v>
      </c>
      <c r="L267" s="24" t="str">
        <f t="shared" si="32"/>
        <v>Not tested</v>
      </c>
      <c r="M267" s="23" t="s">
        <v>44</v>
      </c>
      <c r="N267" s="23" t="str">
        <f t="shared" si="33"/>
        <v/>
      </c>
      <c r="O267" s="24" t="s">
        <v>620</v>
      </c>
      <c r="P267" s="23">
        <v>3.5</v>
      </c>
      <c r="Q267" s="29">
        <v>0.34289999999999998</v>
      </c>
      <c r="R267" s="29"/>
      <c r="S267" s="24" t="s">
        <v>618</v>
      </c>
      <c r="T267" s="24" t="str">
        <f t="shared" si="34"/>
        <v>Technical failure</v>
      </c>
      <c r="U267" s="24" t="s">
        <v>44</v>
      </c>
      <c r="V267" s="24" t="str">
        <f t="shared" si="35"/>
        <v/>
      </c>
      <c r="W267" s="24" t="s">
        <v>620</v>
      </c>
      <c r="X267" s="23">
        <v>3.4529999999999998</v>
      </c>
      <c r="Y267" s="23">
        <v>2.0661999999999998</v>
      </c>
      <c r="Z267" s="23"/>
      <c r="AA267" s="24" t="s">
        <v>619</v>
      </c>
      <c r="AB267" s="24" t="str">
        <f t="shared" si="36"/>
        <v>Not tested</v>
      </c>
      <c r="AC267" s="23" t="s">
        <v>44</v>
      </c>
      <c r="AD267" s="23" t="s">
        <v>561</v>
      </c>
      <c r="AE267" s="23" t="str">
        <f t="shared" si="37"/>
        <v/>
      </c>
      <c r="AF267" s="23"/>
      <c r="AG267" s="23" t="str">
        <f t="shared" si="38"/>
        <v/>
      </c>
      <c r="AH267" s="24" t="s">
        <v>620</v>
      </c>
      <c r="AI267" s="23">
        <v>3.5</v>
      </c>
      <c r="AJ267" s="23">
        <v>2.4508000000000001</v>
      </c>
      <c r="AK267" s="23"/>
      <c r="AL267" s="24" t="s">
        <v>619</v>
      </c>
      <c r="AM267" s="24">
        <v>210</v>
      </c>
      <c r="AN267" s="24">
        <v>0</v>
      </c>
      <c r="AO267" s="24" t="str">
        <f t="shared" si="39"/>
        <v/>
      </c>
    </row>
    <row r="268" spans="1:41" x14ac:dyDescent="0.3">
      <c r="A268" s="24" t="s">
        <v>358</v>
      </c>
      <c r="B268" s="24" t="s">
        <v>614</v>
      </c>
      <c r="C268" s="25" t="s">
        <v>616</v>
      </c>
      <c r="D268" s="26">
        <v>20</v>
      </c>
      <c r="E268" s="34" t="s">
        <v>39</v>
      </c>
      <c r="F268" s="27" t="s">
        <v>54</v>
      </c>
      <c r="G268" s="28">
        <v>44453</v>
      </c>
      <c r="H268" s="28">
        <v>44477</v>
      </c>
      <c r="I268" s="24">
        <v>12</v>
      </c>
      <c r="J268" s="24" t="s">
        <v>33</v>
      </c>
      <c r="K268" s="24" t="s">
        <v>619</v>
      </c>
      <c r="L268" s="24" t="str">
        <f t="shared" si="32"/>
        <v>Not tested</v>
      </c>
      <c r="M268" s="23" t="s">
        <v>44</v>
      </c>
      <c r="N268" s="23" t="str">
        <f t="shared" si="33"/>
        <v/>
      </c>
      <c r="O268" s="24" t="s">
        <v>620</v>
      </c>
      <c r="P268" s="23">
        <v>3.5</v>
      </c>
      <c r="Q268" s="29">
        <v>1.1156999999999999</v>
      </c>
      <c r="R268" s="29">
        <v>1.1463000000000001</v>
      </c>
      <c r="S268" s="24" t="s">
        <v>619</v>
      </c>
      <c r="T268" s="24" t="str">
        <f t="shared" si="34"/>
        <v>Upper censored</v>
      </c>
      <c r="U268" s="24" t="s">
        <v>35</v>
      </c>
      <c r="V268" s="24" t="str">
        <f t="shared" si="35"/>
        <v/>
      </c>
      <c r="W268" s="24" t="s">
        <v>619</v>
      </c>
      <c r="X268" s="23">
        <v>3.4870000000000001</v>
      </c>
      <c r="Y268" s="23">
        <v>6.3788999999999998</v>
      </c>
      <c r="Z268" s="23"/>
      <c r="AA268" s="24" t="s">
        <v>619</v>
      </c>
      <c r="AB268" s="24" t="str">
        <f t="shared" si="36"/>
        <v>Upper censored</v>
      </c>
      <c r="AC268" s="23" t="s">
        <v>35</v>
      </c>
      <c r="AD268" s="23" t="s">
        <v>561</v>
      </c>
      <c r="AE268" s="23" t="str">
        <f t="shared" si="37"/>
        <v/>
      </c>
      <c r="AF268" s="23"/>
      <c r="AG268" s="23" t="str">
        <f t="shared" si="38"/>
        <v/>
      </c>
      <c r="AH268" s="24" t="s">
        <v>619</v>
      </c>
      <c r="AI268" s="23">
        <v>3.5</v>
      </c>
      <c r="AJ268" s="23">
        <v>1.9395</v>
      </c>
      <c r="AK268" s="23"/>
      <c r="AL268" s="24" t="s">
        <v>619</v>
      </c>
      <c r="AM268" s="24">
        <v>210</v>
      </c>
      <c r="AN268" s="24">
        <v>0</v>
      </c>
      <c r="AO268" s="24">
        <f t="shared" si="39"/>
        <v>120</v>
      </c>
    </row>
    <row r="269" spans="1:41" x14ac:dyDescent="0.3">
      <c r="A269" s="24" t="s">
        <v>360</v>
      </c>
      <c r="B269" s="24" t="s">
        <v>436</v>
      </c>
      <c r="C269" s="25"/>
      <c r="D269" s="26">
        <v>15.1</v>
      </c>
      <c r="E269" s="34" t="s">
        <v>39</v>
      </c>
      <c r="F269" s="27" t="s">
        <v>54</v>
      </c>
      <c r="G269" s="28">
        <v>44453</v>
      </c>
      <c r="H269" s="28">
        <v>44477</v>
      </c>
      <c r="I269" s="24">
        <v>12</v>
      </c>
      <c r="J269" s="24" t="s">
        <v>33</v>
      </c>
      <c r="K269" s="24" t="s">
        <v>618</v>
      </c>
      <c r="L269" s="24" t="str">
        <f t="shared" si="32"/>
        <v>Not tested</v>
      </c>
      <c r="M269" s="23" t="s">
        <v>44</v>
      </c>
      <c r="N269" s="23" t="str">
        <f t="shared" si="33"/>
        <v/>
      </c>
      <c r="O269" s="24" t="s">
        <v>620</v>
      </c>
      <c r="P269" s="23">
        <v>3.5</v>
      </c>
      <c r="Q269" s="29">
        <v>0.90390000000000004</v>
      </c>
      <c r="R269" s="29"/>
      <c r="S269" s="24" t="s">
        <v>618</v>
      </c>
      <c r="T269" s="24" t="str">
        <f t="shared" si="34"/>
        <v>Upper censored</v>
      </c>
      <c r="U269" s="24" t="s">
        <v>35</v>
      </c>
      <c r="V269" s="24" t="str">
        <f t="shared" si="35"/>
        <v/>
      </c>
      <c r="W269" s="24" t="s">
        <v>619</v>
      </c>
      <c r="X269" s="23">
        <v>3.5</v>
      </c>
      <c r="Y269" s="23">
        <v>1.4641</v>
      </c>
      <c r="Z269" s="23"/>
      <c r="AA269" s="24" t="s">
        <v>619</v>
      </c>
      <c r="AB269" s="24" t="str">
        <f t="shared" si="36"/>
        <v>Upper censored</v>
      </c>
      <c r="AC269" s="23" t="s">
        <v>35</v>
      </c>
      <c r="AD269" s="23" t="s">
        <v>561</v>
      </c>
      <c r="AE269" s="23" t="str">
        <f t="shared" si="37"/>
        <v/>
      </c>
      <c r="AF269" s="23"/>
      <c r="AG269" s="23" t="str">
        <f t="shared" si="38"/>
        <v/>
      </c>
      <c r="AH269" s="24" t="s">
        <v>619</v>
      </c>
      <c r="AI269" s="23">
        <v>3.5</v>
      </c>
      <c r="AJ269" s="23">
        <v>5.2850999999999999</v>
      </c>
      <c r="AK269" s="23"/>
      <c r="AL269" s="24" t="s">
        <v>619</v>
      </c>
      <c r="AM269" s="24">
        <v>210</v>
      </c>
      <c r="AN269" s="24">
        <v>0</v>
      </c>
      <c r="AO269" s="24">
        <f t="shared" si="39"/>
        <v>120</v>
      </c>
    </row>
    <row r="270" spans="1:41" x14ac:dyDescent="0.3">
      <c r="A270" s="24" t="s">
        <v>361</v>
      </c>
      <c r="B270" s="24" t="s">
        <v>436</v>
      </c>
      <c r="C270" s="25"/>
      <c r="D270" s="26">
        <v>23.9</v>
      </c>
      <c r="E270" s="34" t="s">
        <v>31</v>
      </c>
      <c r="F270" s="27" t="s">
        <v>54</v>
      </c>
      <c r="G270" s="28">
        <v>44453</v>
      </c>
      <c r="H270" s="28">
        <v>44477</v>
      </c>
      <c r="I270" s="24">
        <v>11</v>
      </c>
      <c r="J270" s="24" t="s">
        <v>33</v>
      </c>
      <c r="K270" s="24" t="s">
        <v>618</v>
      </c>
      <c r="L270" s="24" t="str">
        <f t="shared" si="32"/>
        <v>Not tested</v>
      </c>
      <c r="M270" s="23" t="s">
        <v>44</v>
      </c>
      <c r="N270" s="23" t="str">
        <f t="shared" si="33"/>
        <v/>
      </c>
      <c r="O270" s="24" t="s">
        <v>620</v>
      </c>
      <c r="P270" s="23">
        <v>3.5</v>
      </c>
      <c r="Q270" s="29">
        <v>1.0358000000000001</v>
      </c>
      <c r="R270" s="29"/>
      <c r="S270" s="24" t="s">
        <v>618</v>
      </c>
      <c r="T270" s="24" t="str">
        <f t="shared" si="34"/>
        <v>Upper censored</v>
      </c>
      <c r="U270" s="24" t="s">
        <v>35</v>
      </c>
      <c r="V270" s="24" t="str">
        <f t="shared" si="35"/>
        <v/>
      </c>
      <c r="W270" s="24" t="s">
        <v>619</v>
      </c>
      <c r="X270" s="23">
        <v>3.5</v>
      </c>
      <c r="Y270" s="23">
        <v>7.2556000000000003</v>
      </c>
      <c r="Z270" s="23"/>
      <c r="AA270" s="24" t="s">
        <v>619</v>
      </c>
      <c r="AB270" s="24" t="str">
        <f t="shared" si="36"/>
        <v>Normal</v>
      </c>
      <c r="AC270" s="23">
        <v>585146</v>
      </c>
      <c r="AD270" s="23">
        <v>58.514600000000002</v>
      </c>
      <c r="AE270" s="23" t="str">
        <f t="shared" si="37"/>
        <v/>
      </c>
      <c r="AF270" s="23"/>
      <c r="AG270" s="23" t="str">
        <f t="shared" si="38"/>
        <v/>
      </c>
      <c r="AH270" s="24" t="s">
        <v>619</v>
      </c>
      <c r="AI270" s="23">
        <v>3.5</v>
      </c>
      <c r="AJ270" s="23">
        <v>3.7583000000000002</v>
      </c>
      <c r="AK270" s="23"/>
      <c r="AL270" s="24" t="s">
        <v>619</v>
      </c>
      <c r="AM270" s="24"/>
      <c r="AN270" s="24"/>
      <c r="AO270" s="24" t="str">
        <f t="shared" si="39"/>
        <v/>
      </c>
    </row>
    <row r="271" spans="1:41" x14ac:dyDescent="0.3">
      <c r="A271" s="24" t="s">
        <v>362</v>
      </c>
      <c r="B271" s="24" t="s">
        <v>436</v>
      </c>
      <c r="C271" s="25"/>
      <c r="D271" s="26">
        <v>37</v>
      </c>
      <c r="E271" s="34" t="s">
        <v>47</v>
      </c>
      <c r="F271" s="27" t="s">
        <v>54</v>
      </c>
      <c r="G271" s="28">
        <v>44458</v>
      </c>
      <c r="H271" s="28">
        <v>44477</v>
      </c>
      <c r="I271" s="24">
        <v>15</v>
      </c>
      <c r="J271" s="24" t="s">
        <v>43</v>
      </c>
      <c r="K271" s="24" t="s">
        <v>618</v>
      </c>
      <c r="L271" s="24" t="str">
        <f t="shared" si="32"/>
        <v>Not tested</v>
      </c>
      <c r="M271" s="23" t="s">
        <v>44</v>
      </c>
      <c r="N271" s="23" t="str">
        <f t="shared" si="33"/>
        <v/>
      </c>
      <c r="O271" s="24" t="s">
        <v>620</v>
      </c>
      <c r="P271" s="23">
        <v>3.5</v>
      </c>
      <c r="Q271" s="29">
        <v>0.14729999999999999</v>
      </c>
      <c r="R271" s="29"/>
      <c r="S271" s="24" t="s">
        <v>618</v>
      </c>
      <c r="T271" s="24" t="str">
        <f t="shared" si="34"/>
        <v>Normal</v>
      </c>
      <c r="U271" s="24">
        <v>39.756900000000002</v>
      </c>
      <c r="V271" s="24">
        <f t="shared" si="35"/>
        <v>39.756900000000002</v>
      </c>
      <c r="W271" s="24" t="s">
        <v>619</v>
      </c>
      <c r="X271" s="23">
        <v>3.5</v>
      </c>
      <c r="Y271" s="23">
        <v>2.1347</v>
      </c>
      <c r="Z271" s="23"/>
      <c r="AA271" s="24" t="s">
        <v>619</v>
      </c>
      <c r="AB271" s="24" t="str">
        <f t="shared" si="36"/>
        <v>Normal</v>
      </c>
      <c r="AC271" s="23">
        <v>267984</v>
      </c>
      <c r="AD271" s="23">
        <v>26.798400000000001</v>
      </c>
      <c r="AE271" s="23" t="str">
        <f t="shared" si="37"/>
        <v/>
      </c>
      <c r="AF271" s="23"/>
      <c r="AG271" s="23" t="str">
        <f t="shared" si="38"/>
        <v/>
      </c>
      <c r="AH271" s="24" t="s">
        <v>619</v>
      </c>
      <c r="AI271" s="23">
        <v>3.5</v>
      </c>
      <c r="AJ271" s="23">
        <v>0.93030000000000002</v>
      </c>
      <c r="AK271" s="23">
        <v>0.89139999999999997</v>
      </c>
      <c r="AL271" s="24" t="s">
        <v>618</v>
      </c>
      <c r="AM271" s="24"/>
      <c r="AN271" s="24"/>
      <c r="AO271" s="24" t="str">
        <f t="shared" si="39"/>
        <v/>
      </c>
    </row>
    <row r="272" spans="1:41" x14ac:dyDescent="0.3">
      <c r="A272" s="24" t="s">
        <v>364</v>
      </c>
      <c r="B272" s="24" t="s">
        <v>436</v>
      </c>
      <c r="C272" s="25"/>
      <c r="D272" s="26">
        <v>21.6</v>
      </c>
      <c r="E272" s="34" t="s">
        <v>39</v>
      </c>
      <c r="F272" s="27" t="s">
        <v>54</v>
      </c>
      <c r="G272" s="28">
        <v>44458</v>
      </c>
      <c r="H272" s="28">
        <v>44477</v>
      </c>
      <c r="I272" s="24">
        <v>14</v>
      </c>
      <c r="J272" s="24" t="s">
        <v>43</v>
      </c>
      <c r="K272" s="24" t="s">
        <v>618</v>
      </c>
      <c r="L272" s="24" t="str">
        <f t="shared" si="32"/>
        <v>Not tested</v>
      </c>
      <c r="M272" s="23" t="s">
        <v>44</v>
      </c>
      <c r="N272" s="23" t="str">
        <f t="shared" si="33"/>
        <v/>
      </c>
      <c r="O272" s="24" t="s">
        <v>620</v>
      </c>
      <c r="P272" s="23">
        <v>3.5</v>
      </c>
      <c r="Q272" s="29">
        <v>0.2505</v>
      </c>
      <c r="R272" s="29"/>
      <c r="S272" s="24" t="s">
        <v>618</v>
      </c>
      <c r="T272" s="24" t="str">
        <f t="shared" si="34"/>
        <v>Technical failure</v>
      </c>
      <c r="U272" s="24" t="s">
        <v>44</v>
      </c>
      <c r="V272" s="24" t="str">
        <f t="shared" si="35"/>
        <v/>
      </c>
      <c r="W272" s="24" t="s">
        <v>620</v>
      </c>
      <c r="X272" s="23">
        <v>3.5</v>
      </c>
      <c r="Y272" s="23">
        <v>1.0442</v>
      </c>
      <c r="Z272" s="23"/>
      <c r="AA272" s="24" t="s">
        <v>618</v>
      </c>
      <c r="AB272" s="24" t="str">
        <f t="shared" si="36"/>
        <v>Upper censored</v>
      </c>
      <c r="AC272" s="23" t="s">
        <v>35</v>
      </c>
      <c r="AD272" s="23" t="s">
        <v>561</v>
      </c>
      <c r="AE272" s="23" t="str">
        <f t="shared" si="37"/>
        <v/>
      </c>
      <c r="AF272" s="23"/>
      <c r="AG272" s="23" t="str">
        <f t="shared" si="38"/>
        <v/>
      </c>
      <c r="AH272" s="24" t="s">
        <v>619</v>
      </c>
      <c r="AI272" s="23">
        <v>3.5</v>
      </c>
      <c r="AJ272" s="23">
        <v>0.64139999999999997</v>
      </c>
      <c r="AK272" s="23"/>
      <c r="AL272" s="24" t="s">
        <v>618</v>
      </c>
      <c r="AM272" s="24">
        <v>210</v>
      </c>
      <c r="AN272" s="24">
        <v>0</v>
      </c>
      <c r="AO272" s="24">
        <f t="shared" si="39"/>
        <v>120</v>
      </c>
    </row>
    <row r="273" spans="1:41" x14ac:dyDescent="0.3">
      <c r="A273" s="24" t="s">
        <v>365</v>
      </c>
      <c r="B273" s="24" t="s">
        <v>436</v>
      </c>
      <c r="C273" s="25"/>
      <c r="D273" s="26">
        <v>16.3</v>
      </c>
      <c r="E273" s="34" t="s">
        <v>39</v>
      </c>
      <c r="F273" s="27" t="s">
        <v>54</v>
      </c>
      <c r="G273" s="28">
        <v>44453</v>
      </c>
      <c r="H273" s="28">
        <v>44477</v>
      </c>
      <c r="I273" s="24">
        <v>12</v>
      </c>
      <c r="J273" s="24" t="s">
        <v>33</v>
      </c>
      <c r="K273" s="24" t="s">
        <v>618</v>
      </c>
      <c r="L273" s="24" t="str">
        <f t="shared" si="32"/>
        <v>Not tested</v>
      </c>
      <c r="M273" s="23" t="s">
        <v>44</v>
      </c>
      <c r="N273" s="23" t="str">
        <f t="shared" si="33"/>
        <v/>
      </c>
      <c r="O273" s="23" t="s">
        <v>620</v>
      </c>
      <c r="P273" s="23">
        <v>3.5</v>
      </c>
      <c r="Q273" s="29">
        <v>0.30769999999999997</v>
      </c>
      <c r="R273" s="29"/>
      <c r="S273" s="24" t="s">
        <v>618</v>
      </c>
      <c r="T273" s="24" t="str">
        <f t="shared" si="34"/>
        <v>Technical failure</v>
      </c>
      <c r="U273" s="24" t="s">
        <v>44</v>
      </c>
      <c r="V273" s="24" t="str">
        <f t="shared" si="35"/>
        <v/>
      </c>
      <c r="W273" s="24" t="s">
        <v>620</v>
      </c>
      <c r="X273" s="23">
        <v>3.5</v>
      </c>
      <c r="Y273" s="23">
        <v>8.3900000000000002E-2</v>
      </c>
      <c r="Z273" s="23"/>
      <c r="AA273" s="24" t="s">
        <v>618</v>
      </c>
      <c r="AB273" s="24" t="str">
        <f t="shared" si="36"/>
        <v>Not tested</v>
      </c>
      <c r="AC273" s="23" t="s">
        <v>44</v>
      </c>
      <c r="AD273" s="23" t="s">
        <v>561</v>
      </c>
      <c r="AE273" s="23" t="str">
        <f t="shared" si="37"/>
        <v/>
      </c>
      <c r="AF273" s="23"/>
      <c r="AG273" s="23" t="str">
        <f t="shared" si="38"/>
        <v/>
      </c>
      <c r="AH273" s="24" t="s">
        <v>620</v>
      </c>
      <c r="AI273" s="23">
        <v>3.5</v>
      </c>
      <c r="AJ273" s="23">
        <v>2.4283000000000001</v>
      </c>
      <c r="AK273" s="23"/>
      <c r="AL273" s="24" t="s">
        <v>619</v>
      </c>
      <c r="AM273" s="24">
        <v>210</v>
      </c>
      <c r="AN273" s="24">
        <v>0</v>
      </c>
      <c r="AO273" s="24" t="str">
        <f t="shared" si="39"/>
        <v/>
      </c>
    </row>
    <row r="274" spans="1:41" x14ac:dyDescent="0.3">
      <c r="A274" s="24" t="s">
        <v>366</v>
      </c>
      <c r="B274" s="24" t="s">
        <v>436</v>
      </c>
      <c r="C274" s="25"/>
      <c r="D274" s="26">
        <v>19.899999999999999</v>
      </c>
      <c r="E274" s="34" t="s">
        <v>39</v>
      </c>
      <c r="F274" s="27" t="s">
        <v>54</v>
      </c>
      <c r="G274" s="28">
        <v>44453</v>
      </c>
      <c r="H274" s="28">
        <v>44476</v>
      </c>
      <c r="I274" s="24">
        <v>15</v>
      </c>
      <c r="J274" s="24" t="s">
        <v>43</v>
      </c>
      <c r="K274" s="24" t="s">
        <v>618</v>
      </c>
      <c r="L274" s="24" t="str">
        <f t="shared" si="32"/>
        <v>Not tested</v>
      </c>
      <c r="M274" s="23" t="s">
        <v>44</v>
      </c>
      <c r="N274" s="23" t="str">
        <f t="shared" si="33"/>
        <v/>
      </c>
      <c r="O274" s="24" t="s">
        <v>620</v>
      </c>
      <c r="P274" s="23">
        <v>3.5</v>
      </c>
      <c r="Q274" s="29">
        <v>0.27029999999999998</v>
      </c>
      <c r="R274" s="29"/>
      <c r="S274" s="24" t="s">
        <v>618</v>
      </c>
      <c r="T274" s="24" t="str">
        <f t="shared" si="34"/>
        <v>Technical failure</v>
      </c>
      <c r="U274" s="24" t="s">
        <v>44</v>
      </c>
      <c r="V274" s="24" t="str">
        <f t="shared" si="35"/>
        <v/>
      </c>
      <c r="W274" s="24" t="s">
        <v>619</v>
      </c>
      <c r="X274" s="23">
        <v>3.5</v>
      </c>
      <c r="Y274" s="23">
        <v>0.77170000000000005</v>
      </c>
      <c r="Z274" s="23"/>
      <c r="AA274" s="24" t="s">
        <v>618</v>
      </c>
      <c r="AB274" s="24" t="str">
        <f t="shared" si="36"/>
        <v>Not tested</v>
      </c>
      <c r="AC274" s="23" t="s">
        <v>44</v>
      </c>
      <c r="AD274" s="23" t="s">
        <v>561</v>
      </c>
      <c r="AE274" s="23" t="str">
        <f t="shared" si="37"/>
        <v/>
      </c>
      <c r="AF274" s="23"/>
      <c r="AG274" s="23" t="str">
        <f t="shared" si="38"/>
        <v/>
      </c>
      <c r="AH274" s="24" t="s">
        <v>620</v>
      </c>
      <c r="AI274" s="23">
        <v>3.5</v>
      </c>
      <c r="AJ274" s="23">
        <v>0.61270000000000002</v>
      </c>
      <c r="AK274" s="23"/>
      <c r="AL274" s="24" t="s">
        <v>618</v>
      </c>
      <c r="AM274" s="24">
        <v>210</v>
      </c>
      <c r="AN274" s="24">
        <v>0</v>
      </c>
      <c r="AO274" s="24" t="str">
        <f t="shared" si="39"/>
        <v/>
      </c>
    </row>
    <row r="275" spans="1:41" x14ac:dyDescent="0.3">
      <c r="A275" s="24" t="s">
        <v>367</v>
      </c>
      <c r="B275" s="24" t="s">
        <v>614</v>
      </c>
      <c r="C275" s="25"/>
      <c r="D275" s="26">
        <v>18.899999999999999</v>
      </c>
      <c r="E275" s="34" t="s">
        <v>39</v>
      </c>
      <c r="F275" s="27" t="s">
        <v>54</v>
      </c>
      <c r="G275" s="28">
        <v>44453</v>
      </c>
      <c r="H275" s="28">
        <v>44476</v>
      </c>
      <c r="I275" s="24">
        <v>15</v>
      </c>
      <c r="J275" s="24" t="s">
        <v>43</v>
      </c>
      <c r="K275" s="24" t="s">
        <v>618</v>
      </c>
      <c r="L275" s="24" t="str">
        <f t="shared" si="32"/>
        <v>Normal</v>
      </c>
      <c r="M275" s="23">
        <v>95.591800000000006</v>
      </c>
      <c r="N275" s="23">
        <f t="shared" si="33"/>
        <v>95.591800000000006</v>
      </c>
      <c r="O275" s="24" t="s">
        <v>619</v>
      </c>
      <c r="P275" s="23">
        <v>3.5</v>
      </c>
      <c r="Q275" s="29">
        <v>0.33629999999999999</v>
      </c>
      <c r="R275" s="29"/>
      <c r="S275" s="24" t="s">
        <v>618</v>
      </c>
      <c r="T275" s="24" t="str">
        <f t="shared" si="34"/>
        <v>Technical failure</v>
      </c>
      <c r="U275" s="24" t="s">
        <v>44</v>
      </c>
      <c r="V275" s="24" t="str">
        <f t="shared" si="35"/>
        <v/>
      </c>
      <c r="W275" s="24" t="s">
        <v>620</v>
      </c>
      <c r="X275" s="23">
        <v>3.5</v>
      </c>
      <c r="Y275" s="23">
        <v>1.1148</v>
      </c>
      <c r="Z275" s="23"/>
      <c r="AA275" s="24" t="s">
        <v>619</v>
      </c>
      <c r="AB275" s="24" t="str">
        <f t="shared" si="36"/>
        <v>Not tested</v>
      </c>
      <c r="AC275" s="23" t="s">
        <v>44</v>
      </c>
      <c r="AD275" s="23" t="s">
        <v>561</v>
      </c>
      <c r="AE275" s="23" t="str">
        <f t="shared" si="37"/>
        <v/>
      </c>
      <c r="AF275" s="23"/>
      <c r="AG275" s="23" t="str">
        <f t="shared" si="38"/>
        <v/>
      </c>
      <c r="AH275" s="24" t="s">
        <v>620</v>
      </c>
      <c r="AI275" s="23">
        <v>3.5</v>
      </c>
      <c r="AJ275" s="23">
        <v>0.63319999999999999</v>
      </c>
      <c r="AK275" s="23"/>
      <c r="AL275" s="24" t="s">
        <v>618</v>
      </c>
      <c r="AM275" s="24"/>
      <c r="AN275" s="24"/>
      <c r="AO275" s="24" t="str">
        <f t="shared" si="39"/>
        <v/>
      </c>
    </row>
    <row r="276" spans="1:41" x14ac:dyDescent="0.3">
      <c r="A276" s="24" t="s">
        <v>368</v>
      </c>
      <c r="B276" s="24" t="s">
        <v>436</v>
      </c>
      <c r="C276" s="30"/>
      <c r="D276" s="26">
        <v>19.8</v>
      </c>
      <c r="E276" s="34" t="s">
        <v>39</v>
      </c>
      <c r="F276" s="27" t="s">
        <v>54</v>
      </c>
      <c r="G276" s="28">
        <v>44453</v>
      </c>
      <c r="H276" s="28">
        <v>44476</v>
      </c>
      <c r="I276" s="24">
        <v>14</v>
      </c>
      <c r="J276" s="24" t="s">
        <v>43</v>
      </c>
      <c r="K276" s="24" t="s">
        <v>618</v>
      </c>
      <c r="L276" s="24" t="str">
        <f t="shared" si="32"/>
        <v>Not tested</v>
      </c>
      <c r="M276" s="23" t="s">
        <v>44</v>
      </c>
      <c r="N276" s="23" t="str">
        <f t="shared" si="33"/>
        <v/>
      </c>
      <c r="O276" s="24" t="s">
        <v>620</v>
      </c>
      <c r="P276" s="23">
        <v>3.5</v>
      </c>
      <c r="Q276" s="29">
        <v>0.27689999999999998</v>
      </c>
      <c r="R276" s="29"/>
      <c r="S276" s="24" t="s">
        <v>618</v>
      </c>
      <c r="T276" s="24" t="str">
        <f t="shared" si="34"/>
        <v>Technical failure</v>
      </c>
      <c r="U276" s="24" t="s">
        <v>44</v>
      </c>
      <c r="V276" s="24" t="str">
        <f t="shared" si="35"/>
        <v/>
      </c>
      <c r="W276" s="24" t="s">
        <v>620</v>
      </c>
      <c r="X276" s="23">
        <v>3.5</v>
      </c>
      <c r="Y276" s="23">
        <v>2.8675000000000002</v>
      </c>
      <c r="Z276" s="23"/>
      <c r="AA276" s="24" t="s">
        <v>619</v>
      </c>
      <c r="AB276" s="24" t="str">
        <f t="shared" si="36"/>
        <v>Not tested</v>
      </c>
      <c r="AC276" s="23" t="s">
        <v>44</v>
      </c>
      <c r="AD276" s="23" t="s">
        <v>561</v>
      </c>
      <c r="AE276" s="23" t="str">
        <f t="shared" si="37"/>
        <v/>
      </c>
      <c r="AF276" s="23"/>
      <c r="AG276" s="23" t="str">
        <f t="shared" si="38"/>
        <v/>
      </c>
      <c r="AH276" s="24" t="s">
        <v>620</v>
      </c>
      <c r="AI276" s="23">
        <v>3.5</v>
      </c>
      <c r="AJ276" s="23">
        <v>4.2417999999999996</v>
      </c>
      <c r="AK276" s="23"/>
      <c r="AL276" s="24" t="s">
        <v>619</v>
      </c>
      <c r="AM276" s="24">
        <v>210</v>
      </c>
      <c r="AN276" s="24">
        <v>0</v>
      </c>
      <c r="AO276" s="24" t="str">
        <f t="shared" si="39"/>
        <v/>
      </c>
    </row>
    <row r="277" spans="1:41" x14ac:dyDescent="0.3">
      <c r="A277" s="24" t="s">
        <v>369</v>
      </c>
      <c r="B277" s="24" t="s">
        <v>436</v>
      </c>
      <c r="C277" s="30" t="s">
        <v>616</v>
      </c>
      <c r="D277" s="26">
        <v>21.3</v>
      </c>
      <c r="E277" s="34" t="s">
        <v>39</v>
      </c>
      <c r="F277" s="27" t="s">
        <v>54</v>
      </c>
      <c r="G277" s="28">
        <v>44453</v>
      </c>
      <c r="H277" s="28">
        <v>44476</v>
      </c>
      <c r="I277" s="24">
        <v>15</v>
      </c>
      <c r="J277" s="24" t="s">
        <v>43</v>
      </c>
      <c r="K277" s="24" t="s">
        <v>618</v>
      </c>
      <c r="L277" s="24" t="str">
        <f t="shared" si="32"/>
        <v>Not tested</v>
      </c>
      <c r="M277" s="23" t="s">
        <v>44</v>
      </c>
      <c r="N277" s="23" t="str">
        <f t="shared" si="33"/>
        <v/>
      </c>
      <c r="O277" s="24" t="s">
        <v>620</v>
      </c>
      <c r="P277" s="23">
        <v>3.5</v>
      </c>
      <c r="Q277" s="29">
        <v>0.54290000000000005</v>
      </c>
      <c r="R277" s="29"/>
      <c r="S277" s="24" t="s">
        <v>618</v>
      </c>
      <c r="T277" s="24" t="str">
        <f t="shared" si="34"/>
        <v>Technical failure</v>
      </c>
      <c r="U277" s="24" t="s">
        <v>44</v>
      </c>
      <c r="V277" s="24" t="str">
        <f t="shared" si="35"/>
        <v/>
      </c>
      <c r="W277" s="24" t="s">
        <v>620</v>
      </c>
      <c r="X277" s="23">
        <v>3.5</v>
      </c>
      <c r="Y277" s="23">
        <v>1.649</v>
      </c>
      <c r="Z277" s="23"/>
      <c r="AA277" s="24" t="s">
        <v>619</v>
      </c>
      <c r="AB277" s="24" t="str">
        <f t="shared" si="36"/>
        <v>Not tested</v>
      </c>
      <c r="AC277" s="23" t="s">
        <v>44</v>
      </c>
      <c r="AD277" s="23" t="s">
        <v>561</v>
      </c>
      <c r="AE277" s="23" t="str">
        <f t="shared" si="37"/>
        <v/>
      </c>
      <c r="AF277" s="23"/>
      <c r="AG277" s="23" t="str">
        <f t="shared" si="38"/>
        <v/>
      </c>
      <c r="AH277" s="24" t="s">
        <v>620</v>
      </c>
      <c r="AI277" s="23">
        <v>3.5</v>
      </c>
      <c r="AJ277" s="23">
        <v>0.74590000000000001</v>
      </c>
      <c r="AK277" s="23"/>
      <c r="AL277" s="24" t="s">
        <v>618</v>
      </c>
      <c r="AM277" s="24">
        <v>210</v>
      </c>
      <c r="AN277" s="24">
        <v>0</v>
      </c>
      <c r="AO277" s="24" t="str">
        <f t="shared" si="39"/>
        <v/>
      </c>
    </row>
    <row r="278" spans="1:41" x14ac:dyDescent="0.3">
      <c r="A278" s="24" t="s">
        <v>370</v>
      </c>
      <c r="B278" s="24" t="s">
        <v>436</v>
      </c>
      <c r="C278" s="30" t="s">
        <v>616</v>
      </c>
      <c r="D278" s="26">
        <v>32.700000000000003</v>
      </c>
      <c r="E278" s="34" t="s">
        <v>47</v>
      </c>
      <c r="F278" s="27" t="s">
        <v>54</v>
      </c>
      <c r="G278" s="28">
        <v>44453</v>
      </c>
      <c r="H278" s="28">
        <v>44476</v>
      </c>
      <c r="I278" s="24">
        <v>15</v>
      </c>
      <c r="J278" s="24" t="s">
        <v>43</v>
      </c>
      <c r="K278" s="24" t="s">
        <v>618</v>
      </c>
      <c r="L278" s="24" t="str">
        <f t="shared" si="32"/>
        <v>Not tested</v>
      </c>
      <c r="M278" s="23" t="s">
        <v>44</v>
      </c>
      <c r="N278" s="23" t="str">
        <f t="shared" si="33"/>
        <v/>
      </c>
      <c r="O278" s="24" t="s">
        <v>620</v>
      </c>
      <c r="P278" s="23">
        <v>3.5</v>
      </c>
      <c r="Q278" s="29">
        <v>0.38240000000000002</v>
      </c>
      <c r="R278" s="29"/>
      <c r="S278" s="24" t="s">
        <v>618</v>
      </c>
      <c r="T278" s="24" t="str">
        <f t="shared" si="34"/>
        <v>Normal</v>
      </c>
      <c r="U278" s="24">
        <v>7.6596000000000002</v>
      </c>
      <c r="V278" s="24">
        <f t="shared" si="35"/>
        <v>7.6596000000000002</v>
      </c>
      <c r="W278" s="24" t="s">
        <v>618</v>
      </c>
      <c r="X278" s="23">
        <v>3.5</v>
      </c>
      <c r="Y278" s="23">
        <v>2.7439</v>
      </c>
      <c r="Z278" s="23"/>
      <c r="AA278" s="24" t="s">
        <v>619</v>
      </c>
      <c r="AB278" s="24" t="str">
        <f t="shared" si="36"/>
        <v>Normal</v>
      </c>
      <c r="AC278" s="23">
        <v>380237</v>
      </c>
      <c r="AD278" s="23">
        <v>38.023699999999998</v>
      </c>
      <c r="AE278" s="23" t="str">
        <f t="shared" si="37"/>
        <v/>
      </c>
      <c r="AF278" s="23"/>
      <c r="AG278" s="23" t="str">
        <f t="shared" si="38"/>
        <v/>
      </c>
      <c r="AH278" s="24" t="s">
        <v>619</v>
      </c>
      <c r="AI278" s="23">
        <v>3.5</v>
      </c>
      <c r="AJ278" s="23">
        <v>3.9201000000000001</v>
      </c>
      <c r="AK278" s="23"/>
      <c r="AL278" s="24" t="s">
        <v>619</v>
      </c>
      <c r="AM278" s="24"/>
      <c r="AN278" s="24"/>
      <c r="AO278" s="24" t="str">
        <f t="shared" si="39"/>
        <v/>
      </c>
    </row>
    <row r="279" spans="1:41" x14ac:dyDescent="0.3">
      <c r="A279" s="24" t="s">
        <v>371</v>
      </c>
      <c r="B279" s="24" t="s">
        <v>614</v>
      </c>
      <c r="C279" s="30" t="s">
        <v>616</v>
      </c>
      <c r="D279" s="26">
        <v>17.3</v>
      </c>
      <c r="E279" s="34" t="s">
        <v>39</v>
      </c>
      <c r="F279" s="27" t="s">
        <v>54</v>
      </c>
      <c r="G279" s="28">
        <v>44453</v>
      </c>
      <c r="H279" s="28">
        <v>44477</v>
      </c>
      <c r="I279" s="24">
        <v>11</v>
      </c>
      <c r="J279" s="24" t="s">
        <v>33</v>
      </c>
      <c r="K279" s="24" t="s">
        <v>618</v>
      </c>
      <c r="L279" s="24" t="str">
        <f t="shared" si="32"/>
        <v>Not tested</v>
      </c>
      <c r="M279" s="23" t="s">
        <v>44</v>
      </c>
      <c r="N279" s="23" t="str">
        <f t="shared" si="33"/>
        <v/>
      </c>
      <c r="O279" s="24" t="s">
        <v>620</v>
      </c>
      <c r="P279" s="23">
        <v>3.5</v>
      </c>
      <c r="Q279" s="29">
        <v>0.37140000000000001</v>
      </c>
      <c r="R279" s="29"/>
      <c r="S279" s="24" t="s">
        <v>618</v>
      </c>
      <c r="T279" s="24" t="str">
        <f t="shared" si="34"/>
        <v>Upper censored</v>
      </c>
      <c r="U279" s="24" t="s">
        <v>35</v>
      </c>
      <c r="V279" s="24" t="str">
        <f t="shared" si="35"/>
        <v/>
      </c>
      <c r="W279" s="24" t="s">
        <v>619</v>
      </c>
      <c r="X279" s="23">
        <v>3.5</v>
      </c>
      <c r="Y279" s="23">
        <v>0.19650000000000001</v>
      </c>
      <c r="Z279" s="23"/>
      <c r="AA279" s="24" t="s">
        <v>618</v>
      </c>
      <c r="AB279" s="24" t="str">
        <f t="shared" si="36"/>
        <v>Normal</v>
      </c>
      <c r="AC279" s="23">
        <v>1169697</v>
      </c>
      <c r="AD279" s="23">
        <v>116.9697</v>
      </c>
      <c r="AE279" s="23" t="str">
        <f t="shared" si="37"/>
        <v/>
      </c>
      <c r="AF279" s="23"/>
      <c r="AG279" s="23" t="str">
        <f t="shared" si="38"/>
        <v/>
      </c>
      <c r="AH279" s="24" t="s">
        <v>619</v>
      </c>
      <c r="AI279" s="23">
        <v>3.5</v>
      </c>
      <c r="AJ279" s="23">
        <v>0.17419999999999999</v>
      </c>
      <c r="AK279" s="23"/>
      <c r="AL279" s="24" t="s">
        <v>618</v>
      </c>
      <c r="AM279" s="24"/>
      <c r="AN279" s="24"/>
      <c r="AO279" s="24" t="str">
        <f t="shared" si="39"/>
        <v/>
      </c>
    </row>
    <row r="280" spans="1:41" x14ac:dyDescent="0.3">
      <c r="A280" s="24" t="s">
        <v>372</v>
      </c>
      <c r="B280" s="24" t="s">
        <v>436</v>
      </c>
      <c r="C280" s="30" t="s">
        <v>616</v>
      </c>
      <c r="D280" s="26">
        <v>23</v>
      </c>
      <c r="E280" s="34" t="s">
        <v>31</v>
      </c>
      <c r="F280" s="27" t="s">
        <v>54</v>
      </c>
      <c r="G280" s="28">
        <v>44453</v>
      </c>
      <c r="H280" s="28">
        <v>44477</v>
      </c>
      <c r="I280" s="24">
        <v>12</v>
      </c>
      <c r="J280" s="24" t="s">
        <v>33</v>
      </c>
      <c r="K280" s="24" t="s">
        <v>619</v>
      </c>
      <c r="L280" s="24" t="str">
        <f t="shared" si="32"/>
        <v>Not tested</v>
      </c>
      <c r="M280" s="23" t="s">
        <v>44</v>
      </c>
      <c r="N280" s="23" t="str">
        <f t="shared" si="33"/>
        <v/>
      </c>
      <c r="O280" s="24" t="s">
        <v>620</v>
      </c>
      <c r="P280" s="23">
        <v>3.5</v>
      </c>
      <c r="Q280" s="29">
        <v>0.10589999999999999</v>
      </c>
      <c r="R280" s="29"/>
      <c r="S280" s="24" t="s">
        <v>618</v>
      </c>
      <c r="T280" s="24" t="str">
        <f t="shared" si="34"/>
        <v>Upper censored</v>
      </c>
      <c r="U280" s="24" t="s">
        <v>35</v>
      </c>
      <c r="V280" s="24" t="str">
        <f t="shared" si="35"/>
        <v/>
      </c>
      <c r="W280" s="24" t="s">
        <v>619</v>
      </c>
      <c r="X280" s="23">
        <v>3.5</v>
      </c>
      <c r="Y280" s="23">
        <v>0.11260000000000001</v>
      </c>
      <c r="Z280" s="23"/>
      <c r="AA280" s="24" t="s">
        <v>618</v>
      </c>
      <c r="AB280" s="24" t="str">
        <f t="shared" si="36"/>
        <v>Upper censored</v>
      </c>
      <c r="AC280" s="23" t="s">
        <v>35</v>
      </c>
      <c r="AD280" s="23" t="s">
        <v>561</v>
      </c>
      <c r="AE280" s="23" t="str">
        <f t="shared" si="37"/>
        <v/>
      </c>
      <c r="AF280" s="23"/>
      <c r="AG280" s="23" t="str">
        <f t="shared" si="38"/>
        <v/>
      </c>
      <c r="AH280" s="24" t="s">
        <v>619</v>
      </c>
      <c r="AI280" s="23">
        <v>3.5</v>
      </c>
      <c r="AJ280" s="23">
        <v>6.6100000000000006E-2</v>
      </c>
      <c r="AK280" s="23"/>
      <c r="AL280" s="24" t="s">
        <v>618</v>
      </c>
      <c r="AM280" s="24">
        <v>210</v>
      </c>
      <c r="AN280" s="24">
        <v>0</v>
      </c>
      <c r="AO280" s="24">
        <f t="shared" si="39"/>
        <v>120</v>
      </c>
    </row>
    <row r="281" spans="1:41" x14ac:dyDescent="0.3">
      <c r="A281" s="24" t="s">
        <v>373</v>
      </c>
      <c r="B281" s="24" t="s">
        <v>614</v>
      </c>
      <c r="C281" s="30" t="s">
        <v>616</v>
      </c>
      <c r="D281" s="26">
        <v>19</v>
      </c>
      <c r="E281" s="34" t="s">
        <v>39</v>
      </c>
      <c r="F281" s="27" t="s">
        <v>54</v>
      </c>
      <c r="G281" s="28">
        <v>44466</v>
      </c>
      <c r="H281" s="28">
        <v>44487</v>
      </c>
      <c r="I281" s="24">
        <v>15</v>
      </c>
      <c r="J281" s="24" t="s">
        <v>43</v>
      </c>
      <c r="K281" s="24" t="s">
        <v>618</v>
      </c>
      <c r="L281" s="24" t="str">
        <f t="shared" si="32"/>
        <v>Not tested</v>
      </c>
      <c r="M281" s="23" t="s">
        <v>44</v>
      </c>
      <c r="N281" s="23" t="str">
        <f t="shared" si="33"/>
        <v/>
      </c>
      <c r="O281" s="24" t="s">
        <v>620</v>
      </c>
      <c r="P281" s="23">
        <v>3.5</v>
      </c>
      <c r="Q281" s="29">
        <v>3.9100000000000003E-2</v>
      </c>
      <c r="R281" s="29"/>
      <c r="S281" s="24" t="s">
        <v>618</v>
      </c>
      <c r="T281" s="24" t="str">
        <f t="shared" si="34"/>
        <v>Technical failure</v>
      </c>
      <c r="U281" s="24" t="s">
        <v>44</v>
      </c>
      <c r="V281" s="24" t="str">
        <f t="shared" si="35"/>
        <v/>
      </c>
      <c r="W281" s="24" t="s">
        <v>620</v>
      </c>
      <c r="X281" s="23">
        <v>3.5</v>
      </c>
      <c r="Y281" s="23">
        <v>0.60760000000000003</v>
      </c>
      <c r="Z281" s="23"/>
      <c r="AA281" s="24" t="s">
        <v>618</v>
      </c>
      <c r="AB281" s="24" t="str">
        <f t="shared" si="36"/>
        <v>Not tested</v>
      </c>
      <c r="AC281" s="23" t="s">
        <v>44</v>
      </c>
      <c r="AD281" s="23" t="s">
        <v>561</v>
      </c>
      <c r="AE281" s="23" t="str">
        <f t="shared" si="37"/>
        <v/>
      </c>
      <c r="AF281" s="23"/>
      <c r="AG281" s="23" t="str">
        <f t="shared" si="38"/>
        <v/>
      </c>
      <c r="AH281" s="24" t="s">
        <v>620</v>
      </c>
      <c r="AI281" s="23">
        <v>3.5</v>
      </c>
      <c r="AJ281" s="23">
        <v>0.60329999999999995</v>
      </c>
      <c r="AK281" s="23"/>
      <c r="AL281" s="24" t="s">
        <v>618</v>
      </c>
      <c r="AM281" s="24">
        <v>210</v>
      </c>
      <c r="AN281" s="24">
        <v>0</v>
      </c>
      <c r="AO281" s="24" t="str">
        <f t="shared" si="39"/>
        <v/>
      </c>
    </row>
    <row r="282" spans="1:41" x14ac:dyDescent="0.3">
      <c r="A282" s="24" t="s">
        <v>374</v>
      </c>
      <c r="B282" s="24" t="s">
        <v>614</v>
      </c>
      <c r="C282" s="30" t="s">
        <v>616</v>
      </c>
      <c r="D282" s="26">
        <v>18.399999999999999</v>
      </c>
      <c r="E282" s="34" t="s">
        <v>39</v>
      </c>
      <c r="F282" s="27" t="s">
        <v>54</v>
      </c>
      <c r="G282" s="28">
        <v>44453</v>
      </c>
      <c r="H282" s="28">
        <v>44477</v>
      </c>
      <c r="I282" s="24">
        <v>12</v>
      </c>
      <c r="J282" s="24" t="s">
        <v>33</v>
      </c>
      <c r="K282" s="24" t="s">
        <v>618</v>
      </c>
      <c r="L282" s="24" t="str">
        <f t="shared" si="32"/>
        <v>Not tested</v>
      </c>
      <c r="M282" s="23" t="s">
        <v>44</v>
      </c>
      <c r="N282" s="23" t="str">
        <f t="shared" si="33"/>
        <v/>
      </c>
      <c r="O282" s="24" t="s">
        <v>620</v>
      </c>
      <c r="P282" s="23">
        <v>3.5</v>
      </c>
      <c r="Q282" s="29">
        <v>0.2248</v>
      </c>
      <c r="R282" s="29"/>
      <c r="S282" s="24" t="s">
        <v>618</v>
      </c>
      <c r="T282" s="24" t="str">
        <f t="shared" si="34"/>
        <v>Upper censored</v>
      </c>
      <c r="U282" s="24" t="s">
        <v>35</v>
      </c>
      <c r="V282" s="24" t="str">
        <f t="shared" si="35"/>
        <v/>
      </c>
      <c r="W282" s="24" t="s">
        <v>619</v>
      </c>
      <c r="X282" s="23">
        <v>3.5</v>
      </c>
      <c r="Y282" s="23">
        <v>2.5807000000000002</v>
      </c>
      <c r="Z282" s="23"/>
      <c r="AA282" s="24" t="s">
        <v>619</v>
      </c>
      <c r="AB282" s="24" t="str">
        <f t="shared" si="36"/>
        <v>Upper censored</v>
      </c>
      <c r="AC282" s="23" t="s">
        <v>35</v>
      </c>
      <c r="AD282" s="23" t="s">
        <v>561</v>
      </c>
      <c r="AE282" s="23" t="str">
        <f t="shared" si="37"/>
        <v/>
      </c>
      <c r="AF282" s="23"/>
      <c r="AG282" s="23" t="str">
        <f t="shared" si="38"/>
        <v/>
      </c>
      <c r="AH282" s="24" t="s">
        <v>619</v>
      </c>
      <c r="AI282" s="23">
        <v>3.5</v>
      </c>
      <c r="AJ282" s="23">
        <v>1.7211000000000001</v>
      </c>
      <c r="AK282" s="23"/>
      <c r="AL282" s="24" t="s">
        <v>619</v>
      </c>
      <c r="AM282" s="24">
        <v>210</v>
      </c>
      <c r="AN282" s="24">
        <v>0</v>
      </c>
      <c r="AO282" s="24">
        <f t="shared" si="39"/>
        <v>120</v>
      </c>
    </row>
    <row r="283" spans="1:41" x14ac:dyDescent="0.3">
      <c r="A283" s="24" t="s">
        <v>375</v>
      </c>
      <c r="B283" s="24" t="s">
        <v>436</v>
      </c>
      <c r="C283" s="30" t="s">
        <v>616</v>
      </c>
      <c r="D283" s="26">
        <v>17.600000000000001</v>
      </c>
      <c r="E283" s="34" t="s">
        <v>39</v>
      </c>
      <c r="F283" s="27" t="s">
        <v>54</v>
      </c>
      <c r="G283" s="28">
        <v>44453</v>
      </c>
      <c r="H283" s="28">
        <v>44477</v>
      </c>
      <c r="I283" s="24">
        <v>12</v>
      </c>
      <c r="J283" s="24" t="s">
        <v>33</v>
      </c>
      <c r="K283" s="24" t="s">
        <v>618</v>
      </c>
      <c r="L283" s="24" t="str">
        <f t="shared" si="32"/>
        <v>Not tested</v>
      </c>
      <c r="M283" s="23" t="s">
        <v>44</v>
      </c>
      <c r="N283" s="23" t="str">
        <f t="shared" si="33"/>
        <v/>
      </c>
      <c r="O283" s="24" t="s">
        <v>620</v>
      </c>
      <c r="P283" s="23">
        <v>3.5</v>
      </c>
      <c r="Q283" s="29">
        <v>0.1026</v>
      </c>
      <c r="R283" s="29"/>
      <c r="S283" s="24" t="s">
        <v>618</v>
      </c>
      <c r="T283" s="24" t="str">
        <f t="shared" si="34"/>
        <v>Technical failure</v>
      </c>
      <c r="U283" s="24" t="s">
        <v>44</v>
      </c>
      <c r="V283" s="24" t="str">
        <f t="shared" si="35"/>
        <v/>
      </c>
      <c r="W283" s="24" t="s">
        <v>620</v>
      </c>
      <c r="X283" s="23">
        <v>3.5</v>
      </c>
      <c r="Y283" s="23">
        <v>2.3879000000000001</v>
      </c>
      <c r="Z283" s="23"/>
      <c r="AA283" s="24" t="s">
        <v>619</v>
      </c>
      <c r="AB283" s="24" t="str">
        <f t="shared" si="36"/>
        <v>Upper censored</v>
      </c>
      <c r="AC283" s="23" t="s">
        <v>35</v>
      </c>
      <c r="AD283" s="23" t="s">
        <v>561</v>
      </c>
      <c r="AE283" s="23" t="str">
        <f t="shared" si="37"/>
        <v/>
      </c>
      <c r="AF283" s="23"/>
      <c r="AG283" s="23" t="str">
        <f t="shared" si="38"/>
        <v/>
      </c>
      <c r="AH283" s="24" t="s">
        <v>619</v>
      </c>
      <c r="AI283" s="23">
        <v>3.5</v>
      </c>
      <c r="AJ283" s="23">
        <v>1.0764</v>
      </c>
      <c r="AK283" s="23"/>
      <c r="AL283" s="24" t="s">
        <v>618</v>
      </c>
      <c r="AM283" s="24">
        <v>210</v>
      </c>
      <c r="AN283" s="24">
        <v>0</v>
      </c>
      <c r="AO283" s="24">
        <f t="shared" si="39"/>
        <v>120</v>
      </c>
    </row>
    <row r="284" spans="1:41" x14ac:dyDescent="0.3">
      <c r="A284" s="24" t="s">
        <v>376</v>
      </c>
      <c r="B284" s="24" t="s">
        <v>436</v>
      </c>
      <c r="C284" s="30" t="s">
        <v>616</v>
      </c>
      <c r="D284" s="26">
        <v>16.100000000000001</v>
      </c>
      <c r="E284" s="34" t="s">
        <v>39</v>
      </c>
      <c r="F284" s="27" t="s">
        <v>54</v>
      </c>
      <c r="G284" s="28">
        <v>44453</v>
      </c>
      <c r="H284" s="28">
        <v>44482</v>
      </c>
      <c r="I284" s="24">
        <v>12</v>
      </c>
      <c r="J284" s="24" t="s">
        <v>33</v>
      </c>
      <c r="K284" s="24" t="s">
        <v>618</v>
      </c>
      <c r="L284" s="24" t="str">
        <f t="shared" si="32"/>
        <v>Not tested</v>
      </c>
      <c r="M284" s="23" t="s">
        <v>44</v>
      </c>
      <c r="N284" s="23" t="str">
        <f t="shared" si="33"/>
        <v/>
      </c>
      <c r="O284" s="24" t="s">
        <v>620</v>
      </c>
      <c r="P284" s="23">
        <v>3.5</v>
      </c>
      <c r="Q284" s="29">
        <v>0.1042</v>
      </c>
      <c r="R284" s="29"/>
      <c r="S284" s="24" t="s">
        <v>618</v>
      </c>
      <c r="T284" s="24" t="str">
        <f t="shared" si="34"/>
        <v>Technical failure</v>
      </c>
      <c r="U284" s="24" t="s">
        <v>44</v>
      </c>
      <c r="V284" s="24" t="str">
        <f t="shared" si="35"/>
        <v/>
      </c>
      <c r="W284" s="24" t="s">
        <v>620</v>
      </c>
      <c r="X284" s="23">
        <v>3.5</v>
      </c>
      <c r="Y284" s="23">
        <v>0.75339999999999996</v>
      </c>
      <c r="Z284" s="23"/>
      <c r="AA284" s="24" t="s">
        <v>618</v>
      </c>
      <c r="AB284" s="24" t="str">
        <f t="shared" si="36"/>
        <v>Not tested</v>
      </c>
      <c r="AC284" s="24" t="s">
        <v>44</v>
      </c>
      <c r="AD284" s="23" t="s">
        <v>561</v>
      </c>
      <c r="AE284" s="23" t="str">
        <f t="shared" si="37"/>
        <v/>
      </c>
      <c r="AF284" s="24"/>
      <c r="AG284" s="23" t="str">
        <f t="shared" si="38"/>
        <v/>
      </c>
      <c r="AH284" s="24" t="s">
        <v>620</v>
      </c>
      <c r="AI284" s="23">
        <v>3.5</v>
      </c>
      <c r="AJ284" s="23">
        <v>0.65080000000000005</v>
      </c>
      <c r="AK284" s="23"/>
      <c r="AL284" s="24" t="s">
        <v>618</v>
      </c>
      <c r="AM284" s="24">
        <v>210</v>
      </c>
      <c r="AN284" s="24">
        <v>0</v>
      </c>
      <c r="AO284" s="24" t="str">
        <f t="shared" si="39"/>
        <v/>
      </c>
    </row>
    <row r="285" spans="1:41" x14ac:dyDescent="0.3">
      <c r="A285" s="24" t="s">
        <v>377</v>
      </c>
      <c r="B285" s="24" t="s">
        <v>436</v>
      </c>
      <c r="C285" s="30" t="s">
        <v>616</v>
      </c>
      <c r="D285" s="26">
        <v>16.3</v>
      </c>
      <c r="E285" s="34" t="s">
        <v>39</v>
      </c>
      <c r="F285" s="27" t="s">
        <v>54</v>
      </c>
      <c r="G285" s="28">
        <v>44453</v>
      </c>
      <c r="H285" s="28">
        <v>44477</v>
      </c>
      <c r="I285" s="24">
        <v>12</v>
      </c>
      <c r="J285" s="24" t="s">
        <v>33</v>
      </c>
      <c r="K285" s="24" t="s">
        <v>618</v>
      </c>
      <c r="L285" s="24" t="str">
        <f t="shared" si="32"/>
        <v>Not tested</v>
      </c>
      <c r="M285" s="23" t="s">
        <v>44</v>
      </c>
      <c r="N285" s="23" t="str">
        <f t="shared" si="33"/>
        <v/>
      </c>
      <c r="O285" s="24" t="s">
        <v>620</v>
      </c>
      <c r="P285" s="23">
        <v>3.5</v>
      </c>
      <c r="Q285" s="29">
        <v>6.1899999999999997E-2</v>
      </c>
      <c r="R285" s="29"/>
      <c r="S285" s="24" t="s">
        <v>618</v>
      </c>
      <c r="T285" s="24" t="str">
        <f t="shared" si="34"/>
        <v>Upper censored</v>
      </c>
      <c r="U285" s="24" t="s">
        <v>35</v>
      </c>
      <c r="V285" s="24" t="str">
        <f t="shared" si="35"/>
        <v/>
      </c>
      <c r="W285" s="24" t="s">
        <v>619</v>
      </c>
      <c r="X285" s="23">
        <v>3.5</v>
      </c>
      <c r="Y285" s="23">
        <v>0.13</v>
      </c>
      <c r="Z285" s="23"/>
      <c r="AA285" s="24" t="s">
        <v>618</v>
      </c>
      <c r="AB285" s="24" t="str">
        <f t="shared" si="36"/>
        <v>Not tested</v>
      </c>
      <c r="AC285" s="24" t="s">
        <v>44</v>
      </c>
      <c r="AD285" s="23" t="s">
        <v>561</v>
      </c>
      <c r="AE285" s="23" t="str">
        <f t="shared" si="37"/>
        <v/>
      </c>
      <c r="AF285" s="24"/>
      <c r="AG285" s="23" t="str">
        <f t="shared" si="38"/>
        <v/>
      </c>
      <c r="AH285" s="24" t="s">
        <v>620</v>
      </c>
      <c r="AI285" s="23">
        <v>3.5</v>
      </c>
      <c r="AJ285" s="23">
        <v>0.85329999999999995</v>
      </c>
      <c r="AK285" s="23"/>
      <c r="AL285" s="24" t="s">
        <v>618</v>
      </c>
      <c r="AM285" s="24">
        <v>210</v>
      </c>
      <c r="AN285" s="24">
        <v>0</v>
      </c>
      <c r="AO285" s="24" t="str">
        <f t="shared" si="39"/>
        <v/>
      </c>
    </row>
    <row r="286" spans="1:41" x14ac:dyDescent="0.3">
      <c r="A286" s="24" t="s">
        <v>378</v>
      </c>
      <c r="B286" s="24" t="s">
        <v>436</v>
      </c>
      <c r="C286" s="25" t="s">
        <v>616</v>
      </c>
      <c r="D286" s="26">
        <v>16.8</v>
      </c>
      <c r="E286" s="34" t="s">
        <v>39</v>
      </c>
      <c r="F286" s="27" t="s">
        <v>54</v>
      </c>
      <c r="G286" s="28">
        <v>44453</v>
      </c>
      <c r="H286" s="28">
        <v>44477</v>
      </c>
      <c r="I286" s="24">
        <v>12</v>
      </c>
      <c r="J286" s="24" t="s">
        <v>33</v>
      </c>
      <c r="K286" s="24" t="s">
        <v>618</v>
      </c>
      <c r="L286" s="24" t="str">
        <f t="shared" si="32"/>
        <v>Not tested</v>
      </c>
      <c r="M286" s="23" t="s">
        <v>44</v>
      </c>
      <c r="N286" s="23" t="str">
        <f t="shared" si="33"/>
        <v/>
      </c>
      <c r="O286" s="24" t="s">
        <v>620</v>
      </c>
      <c r="P286" s="23">
        <v>3.5</v>
      </c>
      <c r="Q286" s="29">
        <v>0.66810000000000003</v>
      </c>
      <c r="R286" s="29"/>
      <c r="S286" s="24" t="s">
        <v>618</v>
      </c>
      <c r="T286" s="24" t="str">
        <f t="shared" si="34"/>
        <v>Upper censored</v>
      </c>
      <c r="U286" s="24" t="s">
        <v>35</v>
      </c>
      <c r="V286" s="24" t="str">
        <f t="shared" si="35"/>
        <v/>
      </c>
      <c r="W286" s="24" t="s">
        <v>619</v>
      </c>
      <c r="X286" s="23">
        <v>3.5</v>
      </c>
      <c r="Y286" s="23">
        <v>3.5211000000000001</v>
      </c>
      <c r="Z286" s="23"/>
      <c r="AA286" s="24" t="s">
        <v>619</v>
      </c>
      <c r="AB286" s="24" t="str">
        <f t="shared" si="36"/>
        <v>Upper censored</v>
      </c>
      <c r="AC286" s="23" t="s">
        <v>35</v>
      </c>
      <c r="AD286" s="23" t="s">
        <v>561</v>
      </c>
      <c r="AE286" s="23" t="str">
        <f t="shared" si="37"/>
        <v/>
      </c>
      <c r="AF286" s="23"/>
      <c r="AG286" s="23" t="str">
        <f t="shared" si="38"/>
        <v/>
      </c>
      <c r="AH286" s="24" t="s">
        <v>619</v>
      </c>
      <c r="AI286" s="23">
        <v>3.5</v>
      </c>
      <c r="AJ286" s="23">
        <v>1.2609999999999999</v>
      </c>
      <c r="AK286" s="23"/>
      <c r="AL286" s="24" t="s">
        <v>619</v>
      </c>
      <c r="AM286" s="24">
        <v>210</v>
      </c>
      <c r="AN286" s="24">
        <v>0</v>
      </c>
      <c r="AO286" s="24">
        <f t="shared" si="39"/>
        <v>120</v>
      </c>
    </row>
    <row r="287" spans="1:41" x14ac:dyDescent="0.3">
      <c r="A287" s="24" t="s">
        <v>379</v>
      </c>
      <c r="B287" s="24" t="s">
        <v>436</v>
      </c>
      <c r="C287" s="25" t="s">
        <v>616</v>
      </c>
      <c r="D287" s="26">
        <v>19.7</v>
      </c>
      <c r="E287" s="34" t="s">
        <v>39</v>
      </c>
      <c r="F287" s="27" t="s">
        <v>54</v>
      </c>
      <c r="G287" s="28">
        <v>44453</v>
      </c>
      <c r="H287" s="28">
        <v>44477</v>
      </c>
      <c r="I287" s="24">
        <v>12</v>
      </c>
      <c r="J287" s="24" t="s">
        <v>33</v>
      </c>
      <c r="K287" s="24" t="s">
        <v>618</v>
      </c>
      <c r="L287" s="24" t="str">
        <f t="shared" si="32"/>
        <v>Not tested</v>
      </c>
      <c r="M287" s="23" t="s">
        <v>44</v>
      </c>
      <c r="N287" s="23" t="str">
        <f t="shared" si="33"/>
        <v/>
      </c>
      <c r="O287" s="23" t="s">
        <v>620</v>
      </c>
      <c r="P287" s="23">
        <v>3.5</v>
      </c>
      <c r="Q287" s="29">
        <v>0.28170000000000001</v>
      </c>
      <c r="R287" s="29"/>
      <c r="S287" s="24" t="s">
        <v>618</v>
      </c>
      <c r="T287" s="24" t="str">
        <f t="shared" si="34"/>
        <v>Upper censored</v>
      </c>
      <c r="U287" s="24" t="s">
        <v>35</v>
      </c>
      <c r="V287" s="24" t="str">
        <f t="shared" si="35"/>
        <v/>
      </c>
      <c r="W287" s="24" t="s">
        <v>619</v>
      </c>
      <c r="X287" s="23">
        <v>3.5</v>
      </c>
      <c r="Y287" s="23">
        <v>5.6989000000000001</v>
      </c>
      <c r="Z287" s="23"/>
      <c r="AA287" s="24" t="s">
        <v>619</v>
      </c>
      <c r="AB287" s="24" t="str">
        <f t="shared" si="36"/>
        <v>Upper censored</v>
      </c>
      <c r="AC287" s="23" t="s">
        <v>35</v>
      </c>
      <c r="AD287" s="23" t="s">
        <v>561</v>
      </c>
      <c r="AE287" s="23" t="str">
        <f t="shared" si="37"/>
        <v/>
      </c>
      <c r="AF287" s="23"/>
      <c r="AG287" s="23" t="str">
        <f t="shared" si="38"/>
        <v/>
      </c>
      <c r="AH287" s="24" t="s">
        <v>619</v>
      </c>
      <c r="AI287" s="23">
        <v>3.5</v>
      </c>
      <c r="AJ287" s="23">
        <v>2.0270999999999999</v>
      </c>
      <c r="AK287" s="23"/>
      <c r="AL287" s="24" t="s">
        <v>619</v>
      </c>
      <c r="AM287" s="24">
        <v>210</v>
      </c>
      <c r="AN287" s="24">
        <v>0</v>
      </c>
      <c r="AO287" s="24">
        <f t="shared" si="39"/>
        <v>120</v>
      </c>
    </row>
    <row r="288" spans="1:41" x14ac:dyDescent="0.3">
      <c r="A288" s="24" t="s">
        <v>380</v>
      </c>
      <c r="B288" s="24" t="s">
        <v>436</v>
      </c>
      <c r="C288" s="25" t="s">
        <v>616</v>
      </c>
      <c r="D288" s="26">
        <v>15.8</v>
      </c>
      <c r="E288" s="34" t="s">
        <v>39</v>
      </c>
      <c r="F288" s="27" t="s">
        <v>54</v>
      </c>
      <c r="G288" s="28">
        <v>44453</v>
      </c>
      <c r="H288" s="28">
        <v>44477</v>
      </c>
      <c r="I288" s="24">
        <v>12</v>
      </c>
      <c r="J288" s="24" t="s">
        <v>33</v>
      </c>
      <c r="K288" s="24" t="s">
        <v>618</v>
      </c>
      <c r="L288" s="24" t="str">
        <f t="shared" si="32"/>
        <v>Upper censored</v>
      </c>
      <c r="M288" s="23" t="s">
        <v>35</v>
      </c>
      <c r="N288" s="23" t="str">
        <f t="shared" si="33"/>
        <v/>
      </c>
      <c r="O288" s="24" t="s">
        <v>619</v>
      </c>
      <c r="P288" s="23">
        <v>3.5</v>
      </c>
      <c r="Q288" s="29">
        <v>0.14319999999999999</v>
      </c>
      <c r="R288" s="29"/>
      <c r="S288" s="24" t="s">
        <v>618</v>
      </c>
      <c r="T288" s="24" t="str">
        <f t="shared" si="34"/>
        <v>Upper censored</v>
      </c>
      <c r="U288" s="24" t="s">
        <v>35</v>
      </c>
      <c r="V288" s="24" t="str">
        <f t="shared" si="35"/>
        <v/>
      </c>
      <c r="W288" s="24" t="s">
        <v>619</v>
      </c>
      <c r="X288" s="23">
        <v>3.5</v>
      </c>
      <c r="Y288" s="23">
        <v>0.16700000000000001</v>
      </c>
      <c r="Z288" s="23"/>
      <c r="AA288" s="24" t="s">
        <v>618</v>
      </c>
      <c r="AB288" s="24" t="str">
        <f t="shared" si="36"/>
        <v>Upper censored</v>
      </c>
      <c r="AC288" s="23" t="s">
        <v>35</v>
      </c>
      <c r="AD288" s="23" t="s">
        <v>561</v>
      </c>
      <c r="AE288" s="23" t="str">
        <f t="shared" si="37"/>
        <v/>
      </c>
      <c r="AF288" s="23"/>
      <c r="AG288" s="23" t="str">
        <f t="shared" si="38"/>
        <v/>
      </c>
      <c r="AH288" s="24" t="s">
        <v>619</v>
      </c>
      <c r="AI288" s="23">
        <v>3.5</v>
      </c>
      <c r="AJ288" s="23">
        <v>2.8549000000000002</v>
      </c>
      <c r="AK288" s="23"/>
      <c r="AL288" s="24" t="s">
        <v>619</v>
      </c>
      <c r="AM288" s="24">
        <v>210</v>
      </c>
      <c r="AN288" s="24">
        <v>0</v>
      </c>
      <c r="AO288" s="24">
        <f t="shared" si="39"/>
        <v>120</v>
      </c>
    </row>
    <row r="289" spans="1:41" x14ac:dyDescent="0.3">
      <c r="A289" s="24" t="s">
        <v>381</v>
      </c>
      <c r="B289" s="24" t="s">
        <v>614</v>
      </c>
      <c r="C289" s="25" t="s">
        <v>616</v>
      </c>
      <c r="D289" s="26">
        <v>22.4</v>
      </c>
      <c r="E289" s="34" t="s">
        <v>39</v>
      </c>
      <c r="F289" s="27" t="s">
        <v>54</v>
      </c>
      <c r="G289" s="28">
        <v>44454</v>
      </c>
      <c r="H289" s="28">
        <v>44476</v>
      </c>
      <c r="I289" s="24">
        <v>15</v>
      </c>
      <c r="J289" s="24" t="s">
        <v>43</v>
      </c>
      <c r="K289" s="24" t="s">
        <v>618</v>
      </c>
      <c r="L289" s="24" t="str">
        <f t="shared" si="32"/>
        <v>Not tested</v>
      </c>
      <c r="M289" s="23" t="s">
        <v>44</v>
      </c>
      <c r="N289" s="23" t="str">
        <f t="shared" si="33"/>
        <v/>
      </c>
      <c r="O289" s="24" t="s">
        <v>620</v>
      </c>
      <c r="P289" s="23">
        <v>3.5</v>
      </c>
      <c r="Q289" s="29">
        <v>0.1477</v>
      </c>
      <c r="R289" s="29"/>
      <c r="S289" s="24" t="s">
        <v>618</v>
      </c>
      <c r="T289" s="24" t="str">
        <f t="shared" si="34"/>
        <v>Upper censored</v>
      </c>
      <c r="U289" s="24" t="s">
        <v>35</v>
      </c>
      <c r="V289" s="24" t="str">
        <f t="shared" si="35"/>
        <v/>
      </c>
      <c r="W289" s="24" t="s">
        <v>619</v>
      </c>
      <c r="X289" s="23">
        <v>3.5</v>
      </c>
      <c r="Y289" s="23">
        <v>0.1696</v>
      </c>
      <c r="Z289" s="23"/>
      <c r="AA289" s="24" t="s">
        <v>618</v>
      </c>
      <c r="AB289" s="24" t="str">
        <f t="shared" si="36"/>
        <v>Upper censored</v>
      </c>
      <c r="AC289" s="23" t="s">
        <v>35</v>
      </c>
      <c r="AD289" s="23" t="s">
        <v>561</v>
      </c>
      <c r="AE289" s="23" t="str">
        <f t="shared" si="37"/>
        <v/>
      </c>
      <c r="AF289" s="23"/>
      <c r="AG289" s="23" t="str">
        <f t="shared" si="38"/>
        <v/>
      </c>
      <c r="AH289" s="24" t="s">
        <v>619</v>
      </c>
      <c r="AI289" s="23">
        <v>3.5</v>
      </c>
      <c r="AJ289" s="23">
        <v>0.16900000000000001</v>
      </c>
      <c r="AK289" s="23"/>
      <c r="AL289" s="24" t="s">
        <v>618</v>
      </c>
      <c r="AM289" s="24">
        <v>210</v>
      </c>
      <c r="AN289" s="24">
        <v>0</v>
      </c>
      <c r="AO289" s="24">
        <f t="shared" si="39"/>
        <v>120</v>
      </c>
    </row>
    <row r="290" spans="1:41" x14ac:dyDescent="0.3">
      <c r="A290" s="24" t="s">
        <v>382</v>
      </c>
      <c r="B290" s="24" t="s">
        <v>614</v>
      </c>
      <c r="C290" s="25"/>
      <c r="D290" s="26">
        <v>18.600000000000001</v>
      </c>
      <c r="E290" s="34" t="s">
        <v>39</v>
      </c>
      <c r="F290" s="27" t="s">
        <v>54</v>
      </c>
      <c r="G290" s="28">
        <v>44453</v>
      </c>
      <c r="H290" s="28">
        <v>44477</v>
      </c>
      <c r="I290" s="24">
        <v>12</v>
      </c>
      <c r="J290" s="24" t="s">
        <v>33</v>
      </c>
      <c r="K290" s="24" t="s">
        <v>618</v>
      </c>
      <c r="L290" s="24" t="str">
        <f t="shared" si="32"/>
        <v>Not tested</v>
      </c>
      <c r="M290" s="23" t="s">
        <v>44</v>
      </c>
      <c r="N290" s="23" t="str">
        <f t="shared" si="33"/>
        <v/>
      </c>
      <c r="O290" s="24" t="s">
        <v>620</v>
      </c>
      <c r="P290" s="23">
        <v>3.5</v>
      </c>
      <c r="Q290" s="29">
        <v>1.5308999999999999</v>
      </c>
      <c r="R290" s="29"/>
      <c r="S290" s="24" t="s">
        <v>619</v>
      </c>
      <c r="T290" s="24" t="str">
        <f t="shared" si="34"/>
        <v>Normal</v>
      </c>
      <c r="U290" s="24">
        <v>36.169400000000003</v>
      </c>
      <c r="V290" s="24">
        <f t="shared" si="35"/>
        <v>36.169400000000003</v>
      </c>
      <c r="W290" s="24" t="s">
        <v>619</v>
      </c>
      <c r="X290" s="23">
        <v>3.5</v>
      </c>
      <c r="Y290" s="23">
        <v>1.2915000000000001</v>
      </c>
      <c r="Z290" s="23"/>
      <c r="AA290" s="24" t="s">
        <v>619</v>
      </c>
      <c r="AB290" s="24" t="str">
        <f t="shared" si="36"/>
        <v>Normal</v>
      </c>
      <c r="AC290" s="23">
        <v>301682</v>
      </c>
      <c r="AD290" s="23">
        <v>30.168199999999999</v>
      </c>
      <c r="AE290" s="23" t="str">
        <f t="shared" si="37"/>
        <v/>
      </c>
      <c r="AF290" s="23"/>
      <c r="AG290" s="23" t="str">
        <f t="shared" si="38"/>
        <v/>
      </c>
      <c r="AH290" s="24" t="s">
        <v>619</v>
      </c>
      <c r="AI290" s="23">
        <v>3.5</v>
      </c>
      <c r="AJ290" s="23">
        <v>0.94210000000000005</v>
      </c>
      <c r="AK290" s="23"/>
      <c r="AL290" s="24" t="s">
        <v>618</v>
      </c>
      <c r="AM290" s="24"/>
      <c r="AN290" s="24"/>
      <c r="AO290" s="24" t="str">
        <f t="shared" si="39"/>
        <v/>
      </c>
    </row>
    <row r="291" spans="1:41" x14ac:dyDescent="0.3">
      <c r="A291" s="24" t="s">
        <v>383</v>
      </c>
      <c r="B291" s="24" t="s">
        <v>436</v>
      </c>
      <c r="C291" s="25" t="s">
        <v>615</v>
      </c>
      <c r="D291" s="26">
        <v>29.7</v>
      </c>
      <c r="E291" s="34" t="s">
        <v>47</v>
      </c>
      <c r="F291" s="27" t="s">
        <v>54</v>
      </c>
      <c r="G291" s="28">
        <v>44453</v>
      </c>
      <c r="H291" s="28">
        <v>44477</v>
      </c>
      <c r="I291" s="24">
        <v>12</v>
      </c>
      <c r="J291" s="24" t="s">
        <v>33</v>
      </c>
      <c r="K291" s="24" t="s">
        <v>618</v>
      </c>
      <c r="L291" s="24" t="str">
        <f t="shared" si="32"/>
        <v>Not tested</v>
      </c>
      <c r="M291" s="23" t="s">
        <v>44</v>
      </c>
      <c r="N291" s="23" t="str">
        <f t="shared" si="33"/>
        <v/>
      </c>
      <c r="O291" s="24" t="s">
        <v>620</v>
      </c>
      <c r="P291" s="23">
        <v>3.5</v>
      </c>
      <c r="Q291" s="29">
        <v>4.4236000000000004</v>
      </c>
      <c r="R291" s="29"/>
      <c r="S291" s="24" t="s">
        <v>619</v>
      </c>
      <c r="T291" s="24" t="str">
        <f t="shared" si="34"/>
        <v>Upper censored</v>
      </c>
      <c r="U291" s="24" t="s">
        <v>35</v>
      </c>
      <c r="V291" s="24" t="str">
        <f t="shared" si="35"/>
        <v/>
      </c>
      <c r="W291" s="24" t="s">
        <v>619</v>
      </c>
      <c r="X291" s="23">
        <v>3.5</v>
      </c>
      <c r="Y291" s="23">
        <v>4.8083999999999998</v>
      </c>
      <c r="Z291" s="23"/>
      <c r="AA291" s="24" t="s">
        <v>619</v>
      </c>
      <c r="AB291" s="24" t="str">
        <f t="shared" si="36"/>
        <v>Upper censored</v>
      </c>
      <c r="AC291" s="23" t="s">
        <v>35</v>
      </c>
      <c r="AD291" s="23" t="s">
        <v>561</v>
      </c>
      <c r="AE291" s="23" t="str">
        <f t="shared" si="37"/>
        <v/>
      </c>
      <c r="AF291" s="23"/>
      <c r="AG291" s="23" t="str">
        <f t="shared" si="38"/>
        <v/>
      </c>
      <c r="AH291" s="24" t="s">
        <v>619</v>
      </c>
      <c r="AI291" s="23">
        <v>3.5</v>
      </c>
      <c r="AJ291" s="23">
        <v>2.3069000000000002</v>
      </c>
      <c r="AK291" s="23"/>
      <c r="AL291" s="24" t="s">
        <v>619</v>
      </c>
      <c r="AM291" s="24">
        <v>210</v>
      </c>
      <c r="AN291" s="24">
        <v>0</v>
      </c>
      <c r="AO291" s="24">
        <f t="shared" si="39"/>
        <v>120</v>
      </c>
    </row>
    <row r="292" spans="1:41" x14ac:dyDescent="0.3">
      <c r="A292" s="24" t="s">
        <v>384</v>
      </c>
      <c r="B292" s="24" t="s">
        <v>436</v>
      </c>
      <c r="C292" s="25"/>
      <c r="D292" s="26">
        <v>25.1</v>
      </c>
      <c r="E292" s="34" t="s">
        <v>31</v>
      </c>
      <c r="F292" s="27" t="s">
        <v>54</v>
      </c>
      <c r="G292" s="28">
        <v>44453</v>
      </c>
      <c r="H292" s="28">
        <v>44476</v>
      </c>
      <c r="I292" s="24">
        <v>12</v>
      </c>
      <c r="J292" s="24" t="s">
        <v>33</v>
      </c>
      <c r="K292" s="24" t="s">
        <v>618</v>
      </c>
      <c r="L292" s="24" t="str">
        <f t="shared" si="32"/>
        <v>Not tested</v>
      </c>
      <c r="M292" s="23" t="s">
        <v>44</v>
      </c>
      <c r="N292" s="23" t="str">
        <f t="shared" si="33"/>
        <v/>
      </c>
      <c r="O292" s="24" t="s">
        <v>620</v>
      </c>
      <c r="P292" s="23">
        <v>3.5</v>
      </c>
      <c r="Q292" s="29">
        <v>2.2886000000000002</v>
      </c>
      <c r="R292" s="29"/>
      <c r="S292" s="24" t="s">
        <v>619</v>
      </c>
      <c r="T292" s="24" t="str">
        <f t="shared" si="34"/>
        <v>Upper censored</v>
      </c>
      <c r="U292" s="24" t="s">
        <v>35</v>
      </c>
      <c r="V292" s="24" t="str">
        <f t="shared" si="35"/>
        <v/>
      </c>
      <c r="W292" s="24" t="s">
        <v>619</v>
      </c>
      <c r="X292" s="23">
        <v>3.5</v>
      </c>
      <c r="Y292" s="23">
        <v>0.87529999999999997</v>
      </c>
      <c r="Z292" s="23"/>
      <c r="AA292" s="24" t="s">
        <v>618</v>
      </c>
      <c r="AB292" s="24" t="str">
        <f t="shared" si="36"/>
        <v>Upper censored</v>
      </c>
      <c r="AC292" s="23" t="s">
        <v>35</v>
      </c>
      <c r="AD292" s="23" t="s">
        <v>561</v>
      </c>
      <c r="AE292" s="23" t="str">
        <f t="shared" si="37"/>
        <v/>
      </c>
      <c r="AF292" s="23"/>
      <c r="AG292" s="23" t="str">
        <f t="shared" si="38"/>
        <v/>
      </c>
      <c r="AH292" s="24" t="s">
        <v>619</v>
      </c>
      <c r="AI292" s="23">
        <v>3.5</v>
      </c>
      <c r="AJ292" s="23">
        <v>7.0201000000000002</v>
      </c>
      <c r="AK292" s="23"/>
      <c r="AL292" s="24" t="s">
        <v>619</v>
      </c>
      <c r="AM292" s="24">
        <v>210</v>
      </c>
      <c r="AN292" s="24">
        <v>0</v>
      </c>
      <c r="AO292" s="24">
        <f t="shared" si="39"/>
        <v>120</v>
      </c>
    </row>
    <row r="293" spans="1:41" x14ac:dyDescent="0.3">
      <c r="A293" s="24" t="s">
        <v>385</v>
      </c>
      <c r="B293" s="24" t="s">
        <v>614</v>
      </c>
      <c r="C293" s="25" t="s">
        <v>616</v>
      </c>
      <c r="D293" s="26">
        <v>20.6</v>
      </c>
      <c r="E293" s="34" t="s">
        <v>39</v>
      </c>
      <c r="F293" s="27" t="s">
        <v>54</v>
      </c>
      <c r="G293" s="28">
        <v>44453</v>
      </c>
      <c r="H293" s="28">
        <v>44476</v>
      </c>
      <c r="I293" s="24">
        <v>12</v>
      </c>
      <c r="J293" s="24" t="s">
        <v>33</v>
      </c>
      <c r="K293" s="24" t="s">
        <v>618</v>
      </c>
      <c r="L293" s="24" t="str">
        <f t="shared" si="32"/>
        <v>Not tested</v>
      </c>
      <c r="M293" s="23" t="s">
        <v>44</v>
      </c>
      <c r="N293" s="23" t="str">
        <f t="shared" si="33"/>
        <v/>
      </c>
      <c r="O293" s="24" t="s">
        <v>620</v>
      </c>
      <c r="P293" s="23">
        <v>3.5</v>
      </c>
      <c r="Q293" s="29">
        <v>1.3332999999999999</v>
      </c>
      <c r="R293" s="29"/>
      <c r="S293" s="24" t="s">
        <v>619</v>
      </c>
      <c r="T293" s="24" t="str">
        <f t="shared" si="34"/>
        <v>Technical failure</v>
      </c>
      <c r="U293" s="24" t="s">
        <v>44</v>
      </c>
      <c r="V293" s="24" t="str">
        <f t="shared" si="35"/>
        <v/>
      </c>
      <c r="W293" s="24" t="s">
        <v>620</v>
      </c>
      <c r="X293" s="23">
        <v>3.5</v>
      </c>
      <c r="Y293" s="23">
        <v>7.5246000000000004</v>
      </c>
      <c r="Z293" s="23"/>
      <c r="AA293" s="24" t="s">
        <v>619</v>
      </c>
      <c r="AB293" s="24" t="str">
        <f t="shared" si="36"/>
        <v>Upper censored</v>
      </c>
      <c r="AC293" s="23" t="s">
        <v>35</v>
      </c>
      <c r="AD293" s="23" t="s">
        <v>561</v>
      </c>
      <c r="AE293" s="23" t="str">
        <f t="shared" si="37"/>
        <v/>
      </c>
      <c r="AF293" s="23"/>
      <c r="AG293" s="23" t="str">
        <f t="shared" si="38"/>
        <v/>
      </c>
      <c r="AH293" s="24" t="s">
        <v>619</v>
      </c>
      <c r="AI293" s="23">
        <v>3.5</v>
      </c>
      <c r="AJ293" s="23">
        <v>3.6017000000000001</v>
      </c>
      <c r="AK293" s="23"/>
      <c r="AL293" s="24" t="s">
        <v>619</v>
      </c>
      <c r="AM293" s="24">
        <v>210</v>
      </c>
      <c r="AN293" s="24">
        <v>0</v>
      </c>
      <c r="AO293" s="24">
        <f t="shared" si="39"/>
        <v>120</v>
      </c>
    </row>
    <row r="294" spans="1:41" x14ac:dyDescent="0.3">
      <c r="A294" s="24" t="s">
        <v>386</v>
      </c>
      <c r="B294" s="24" t="s">
        <v>436</v>
      </c>
      <c r="C294" s="25" t="s">
        <v>616</v>
      </c>
      <c r="D294" s="26">
        <v>18.399999999999999</v>
      </c>
      <c r="E294" s="34" t="s">
        <v>39</v>
      </c>
      <c r="F294" s="27" t="s">
        <v>54</v>
      </c>
      <c r="G294" s="28">
        <v>44453</v>
      </c>
      <c r="H294" s="28">
        <v>44476</v>
      </c>
      <c r="I294" s="24">
        <v>12</v>
      </c>
      <c r="J294" s="24" t="s">
        <v>33</v>
      </c>
      <c r="K294" s="24" t="s">
        <v>618</v>
      </c>
      <c r="L294" s="24" t="str">
        <f t="shared" si="32"/>
        <v>Not tested</v>
      </c>
      <c r="M294" s="23" t="s">
        <v>44</v>
      </c>
      <c r="N294" s="23" t="str">
        <f t="shared" si="33"/>
        <v/>
      </c>
      <c r="O294" s="24" t="s">
        <v>620</v>
      </c>
      <c r="P294" s="23">
        <v>3.5</v>
      </c>
      <c r="Q294" s="29">
        <v>1.9776</v>
      </c>
      <c r="R294" s="29"/>
      <c r="S294" s="24" t="s">
        <v>619</v>
      </c>
      <c r="T294" s="24" t="str">
        <f t="shared" si="34"/>
        <v>Upper censored</v>
      </c>
      <c r="U294" s="24" t="s">
        <v>35</v>
      </c>
      <c r="V294" s="24" t="str">
        <f t="shared" si="35"/>
        <v/>
      </c>
      <c r="W294" s="24" t="s">
        <v>619</v>
      </c>
      <c r="X294" s="23">
        <v>3.5</v>
      </c>
      <c r="Y294" s="23">
        <v>4.6383999999999999</v>
      </c>
      <c r="Z294" s="23"/>
      <c r="AA294" s="24" t="s">
        <v>619</v>
      </c>
      <c r="AB294" s="24" t="str">
        <f t="shared" si="36"/>
        <v>Normal</v>
      </c>
      <c r="AC294" s="23">
        <v>57164</v>
      </c>
      <c r="AD294" s="23">
        <v>5.7164000000000001</v>
      </c>
      <c r="AE294" s="23" t="str">
        <f t="shared" si="37"/>
        <v/>
      </c>
      <c r="AF294" s="23"/>
      <c r="AG294" s="23" t="str">
        <f t="shared" si="38"/>
        <v/>
      </c>
      <c r="AH294" s="24" t="s">
        <v>619</v>
      </c>
      <c r="AI294" s="23">
        <v>3.5</v>
      </c>
      <c r="AJ294" s="23">
        <v>1.6069</v>
      </c>
      <c r="AK294" s="23"/>
      <c r="AL294" s="24" t="s">
        <v>619</v>
      </c>
      <c r="AM294" s="24"/>
      <c r="AN294" s="24"/>
      <c r="AO294" s="24" t="str">
        <f t="shared" si="39"/>
        <v/>
      </c>
    </row>
    <row r="295" spans="1:41" x14ac:dyDescent="0.3">
      <c r="A295" s="24" t="s">
        <v>387</v>
      </c>
      <c r="B295" s="24" t="s">
        <v>436</v>
      </c>
      <c r="C295" s="30"/>
      <c r="D295" s="26">
        <v>17.600000000000001</v>
      </c>
      <c r="E295" s="34" t="s">
        <v>39</v>
      </c>
      <c r="F295" s="27" t="s">
        <v>54</v>
      </c>
      <c r="G295" s="28">
        <v>44453</v>
      </c>
      <c r="H295" s="28">
        <v>44476</v>
      </c>
      <c r="I295" s="24">
        <v>12</v>
      </c>
      <c r="J295" s="24" t="s">
        <v>33</v>
      </c>
      <c r="K295" s="24" t="s">
        <v>618</v>
      </c>
      <c r="L295" s="24" t="str">
        <f t="shared" si="32"/>
        <v>Upper censored</v>
      </c>
      <c r="M295" s="23" t="s">
        <v>35</v>
      </c>
      <c r="N295" s="23" t="str">
        <f t="shared" si="33"/>
        <v/>
      </c>
      <c r="O295" s="24" t="s">
        <v>619</v>
      </c>
      <c r="P295" s="23">
        <v>3.5</v>
      </c>
      <c r="Q295" s="29">
        <v>6.7100000000000007E-2</v>
      </c>
      <c r="R295" s="29"/>
      <c r="S295" s="24" t="s">
        <v>618</v>
      </c>
      <c r="T295" s="24" t="str">
        <f t="shared" si="34"/>
        <v>Upper censored</v>
      </c>
      <c r="U295" s="24" t="s">
        <v>35</v>
      </c>
      <c r="V295" s="24" t="str">
        <f t="shared" si="35"/>
        <v/>
      </c>
      <c r="W295" s="24" t="s">
        <v>619</v>
      </c>
      <c r="X295" s="23">
        <v>3.5</v>
      </c>
      <c r="Y295" s="23">
        <v>9.7299999999999998E-2</v>
      </c>
      <c r="Z295" s="23"/>
      <c r="AA295" s="24" t="s">
        <v>618</v>
      </c>
      <c r="AB295" s="24" t="str">
        <f t="shared" si="36"/>
        <v>Upper censored</v>
      </c>
      <c r="AC295" s="23" t="s">
        <v>35</v>
      </c>
      <c r="AD295" s="23" t="s">
        <v>561</v>
      </c>
      <c r="AE295" s="23" t="str">
        <f t="shared" si="37"/>
        <v/>
      </c>
      <c r="AF295" s="23"/>
      <c r="AG295" s="23" t="str">
        <f t="shared" si="38"/>
        <v/>
      </c>
      <c r="AH295" s="24" t="s">
        <v>619</v>
      </c>
      <c r="AI295" s="23">
        <v>3.5</v>
      </c>
      <c r="AJ295" s="23">
        <v>7.3700000000000002E-2</v>
      </c>
      <c r="AK295" s="23"/>
      <c r="AL295" s="24" t="s">
        <v>618</v>
      </c>
      <c r="AM295" s="24">
        <v>210</v>
      </c>
      <c r="AN295" s="24">
        <v>0</v>
      </c>
      <c r="AO295" s="24">
        <f t="shared" si="39"/>
        <v>120</v>
      </c>
    </row>
  </sheetData>
  <autoFilter ref="A1:AO295" xr:uid="{D26D04E3-A56D-4F85-8CB7-3630ADCCAE8A}"/>
  <dataValidations count="1">
    <dataValidation type="decimal" allowBlank="1" showInputMessage="1" showErrorMessage="1" sqref="D2:D295" xr:uid="{5E957180-A7AA-445E-AE12-D351BF673A51}">
      <formula1>10</formula1>
      <formula2>45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AA56-017C-4966-A32B-249650C6E00B}">
  <sheetPr>
    <tabColor rgb="FF002060"/>
  </sheetPr>
  <dimension ref="A2:D29"/>
  <sheetViews>
    <sheetView topLeftCell="A5" workbookViewId="0">
      <selection activeCell="L28" sqref="L28"/>
    </sheetView>
  </sheetViews>
  <sheetFormatPr baseColWidth="10" defaultRowHeight="14.4" x14ac:dyDescent="0.3"/>
  <sheetData>
    <row r="2" spans="1:4" x14ac:dyDescent="0.3">
      <c r="A2" s="19" t="s">
        <v>545</v>
      </c>
    </row>
    <row r="4" spans="1:4" x14ac:dyDescent="0.3">
      <c r="A4" t="s">
        <v>452</v>
      </c>
      <c r="B4">
        <f>COUNTA('Données nettoyées (Fr)'!A2:A295)</f>
        <v>294</v>
      </c>
      <c r="D4" t="s">
        <v>568</v>
      </c>
    </row>
    <row r="5" spans="1:4" x14ac:dyDescent="0.3">
      <c r="A5" t="s">
        <v>546</v>
      </c>
      <c r="B5">
        <f>COUNTA(_xlfn.UNIQUE('Données nettoyées (Fr)'!A2:A295))</f>
        <v>294</v>
      </c>
      <c r="D5" t="s">
        <v>569</v>
      </c>
    </row>
    <row r="7" spans="1:4" x14ac:dyDescent="0.3">
      <c r="A7" s="19" t="s">
        <v>547</v>
      </c>
    </row>
    <row r="9" spans="1:4" x14ac:dyDescent="0.3">
      <c r="A9" t="s">
        <v>552</v>
      </c>
      <c r="B9">
        <f>COUNTIF('Données nettoyées (Fr)'!L2:L295,"Censure haute")</f>
        <v>43</v>
      </c>
    </row>
    <row r="10" spans="1:4" x14ac:dyDescent="0.3">
      <c r="A10" t="s">
        <v>552</v>
      </c>
      <c r="B10">
        <f>COUNTIF('Données nettoyées (Fr)'!T2:T295,"Censure haute")</f>
        <v>156</v>
      </c>
    </row>
    <row r="11" spans="1:4" x14ac:dyDescent="0.3">
      <c r="A11" t="s">
        <v>553</v>
      </c>
      <c r="B11">
        <f>COUNTIF('Données nettoyées (Fr)'!AB2:AB295,"Censure haute")</f>
        <v>174</v>
      </c>
    </row>
    <row r="13" spans="1:4" x14ac:dyDescent="0.3">
      <c r="A13" s="19" t="s">
        <v>549</v>
      </c>
    </row>
    <row r="15" spans="1:4" x14ac:dyDescent="0.3">
      <c r="A15" t="s">
        <v>550</v>
      </c>
      <c r="B15">
        <f>AVERAGEIF('Données nettoyées (Fr)'!L2:L295,"Normal",'Données nettoyées (Fr)'!N2:N295)</f>
        <v>18.981080882352945</v>
      </c>
      <c r="D15" t="s">
        <v>570</v>
      </c>
    </row>
    <row r="16" spans="1:4" x14ac:dyDescent="0.3">
      <c r="A16" t="s">
        <v>551</v>
      </c>
      <c r="B16">
        <f>AVERAGEIF('Données nettoyées (Fr)'!T2:T295,"Normal",'Données nettoyées (Fr)'!V2:V295)</f>
        <v>29.719931914893621</v>
      </c>
      <c r="D16" t="s">
        <v>571</v>
      </c>
    </row>
    <row r="17" spans="1:4" x14ac:dyDescent="0.3">
      <c r="A17" t="s">
        <v>548</v>
      </c>
      <c r="B17">
        <f>AVERAGEIF('Données nettoyées (Fr)'!AB2:AB295,"Normal",'Données nettoyées (Fr)'!AD2:AD295)</f>
        <v>44.493177192982465</v>
      </c>
      <c r="D17" t="s">
        <v>572</v>
      </c>
    </row>
    <row r="19" spans="1:4" x14ac:dyDescent="0.3">
      <c r="A19" s="19" t="s">
        <v>554</v>
      </c>
    </row>
    <row r="21" spans="1:4" x14ac:dyDescent="0.3">
      <c r="A21" s="20" t="s">
        <v>560</v>
      </c>
      <c r="B21" cm="1">
        <f t="array" ref="B21">SUMPRODUCT(('Données nettoyées (Fr)'!H2:H295&lt;&gt;"")*('Données nettoyées (Fr)'!G2:G295&lt;&gt;"")*('Données nettoyées (Fr)'!H2:H295&lt;'Données nettoyées (Fr)'!G2:G295))</f>
        <v>0</v>
      </c>
      <c r="D21" t="s">
        <v>573</v>
      </c>
    </row>
    <row r="23" spans="1:4" x14ac:dyDescent="0.3">
      <c r="A23" s="19" t="s">
        <v>555</v>
      </c>
    </row>
    <row r="24" spans="1:4" x14ac:dyDescent="0.3">
      <c r="A24" t="s">
        <v>556</v>
      </c>
      <c r="B24">
        <f>MIN('Données nettoyées (Fr)'!I2:I295)</f>
        <v>11</v>
      </c>
      <c r="D24" t="s">
        <v>574</v>
      </c>
    </row>
    <row r="25" spans="1:4" x14ac:dyDescent="0.3">
      <c r="A25" t="s">
        <v>557</v>
      </c>
      <c r="B25">
        <f>MAX('Données nettoyées (Fr)'!I2:I295)</f>
        <v>16</v>
      </c>
    </row>
    <row r="27" spans="1:4" x14ac:dyDescent="0.3">
      <c r="A27" s="19" t="s">
        <v>558</v>
      </c>
    </row>
    <row r="29" spans="1:4" x14ac:dyDescent="0.3">
      <c r="A29" t="s">
        <v>559</v>
      </c>
      <c r="B29">
        <f>COUNTIFS(AO2:AO295,120,AN2:AN295,0)</f>
        <v>0</v>
      </c>
      <c r="D29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Sheet1</vt:lpstr>
      <vt:lpstr>Inspection</vt:lpstr>
      <vt:lpstr>Dictionnaire</vt:lpstr>
      <vt:lpstr>Journal de Nettoyage</vt:lpstr>
      <vt:lpstr>Données nettoyées (Fr)</vt:lpstr>
      <vt:lpstr>Cleaned_data (Eng)</vt:lpstr>
      <vt:lpstr>Indicateurs de vérifications</vt:lpstr>
      <vt:lpstr>'Cleaned_data (Eng)'!Class_IMC</vt:lpstr>
      <vt:lpstr>Class_IMC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Emelyn Shroff</dc:creator>
  <dc:description/>
  <cp:lastModifiedBy>HP</cp:lastModifiedBy>
  <cp:revision>1</cp:revision>
  <dcterms:created xsi:type="dcterms:W3CDTF">2022-07-09T11:07:11Z</dcterms:created>
  <dcterms:modified xsi:type="dcterms:W3CDTF">2026-08-30T00:53:03Z</dcterms:modified>
  <dc:language>en-GB</dc:language>
</cp:coreProperties>
</file>