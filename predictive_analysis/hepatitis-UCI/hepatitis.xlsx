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mprouvement\Skills Branding\predictive_analysis\hepatitis-UCI\"/>
    </mc:Choice>
  </mc:AlternateContent>
  <xr:revisionPtr revIDLastSave="0" documentId="13_ncr:9_{146EAA07-8982-4C4E-8268-9552FD56AFE1}" xr6:coauthVersionLast="47" xr6:coauthVersionMax="47" xr10:uidLastSave="{00000000-0000-0000-0000-000000000000}"/>
  <bookViews>
    <workbookView xWindow="768" yWindow="504" windowWidth="19728" windowHeight="11736" firstSheet="2" activeTab="5" xr2:uid="{BEF03296-1120-4C7A-945A-22B349B36F47}"/>
  </bookViews>
  <sheets>
    <sheet name="hepatitis" sheetId="1" r:id="rId1"/>
    <sheet name="analysis_steps" sheetId="2" r:id="rId2"/>
    <sheet name="data_inspection" sheetId="4" r:id="rId3"/>
    <sheet name="dictionnary" sheetId="3" r:id="rId4"/>
    <sheet name="hepatitis_table" sheetId="5" r:id="rId5"/>
    <sheet name="descriptives_statistics" sheetId="6" r:id="rId6"/>
  </sheets>
  <calcPr calcId="0"/>
  <pivotCaches>
    <pivotCache cacheId="21" r:id="rId7"/>
  </pivotCaches>
</workbook>
</file>

<file path=xl/calcChain.xml><?xml version="1.0" encoding="utf-8"?>
<calcChain xmlns="http://schemas.openxmlformats.org/spreadsheetml/2006/main">
  <c r="C19" i="4" l="1"/>
  <c r="C20" i="4"/>
  <c r="C21" i="4"/>
  <c r="C23" i="4"/>
  <c r="C25" i="4"/>
  <c r="C27" i="4"/>
  <c r="C28" i="4"/>
  <c r="C16" i="4"/>
  <c r="B35" i="4"/>
  <c r="C35" i="4" s="1"/>
  <c r="B33" i="4"/>
  <c r="C33" i="4" s="1"/>
  <c r="B31" i="4"/>
  <c r="C31" i="4" s="1"/>
  <c r="B29" i="4"/>
  <c r="C29" i="4" s="1"/>
  <c r="B27" i="4"/>
  <c r="B25" i="4"/>
  <c r="B23" i="4"/>
  <c r="B21" i="4"/>
  <c r="B19" i="4"/>
  <c r="B34" i="4"/>
  <c r="C34" i="4" s="1"/>
  <c r="B32" i="4"/>
  <c r="C32" i="4" s="1"/>
  <c r="B30" i="4"/>
  <c r="C30" i="4" s="1"/>
  <c r="B28" i="4"/>
  <c r="B26" i="4"/>
  <c r="C26" i="4" s="1"/>
  <c r="B24" i="4"/>
  <c r="C24" i="4" s="1"/>
  <c r="B22" i="4"/>
  <c r="C22" i="4" s="1"/>
  <c r="B20" i="4"/>
  <c r="B18" i="4"/>
  <c r="C18" i="4" s="1"/>
  <c r="B17" i="4"/>
  <c r="C17" i="4" s="1"/>
  <c r="B16" i="4"/>
  <c r="B7" i="4"/>
  <c r="B6" i="4"/>
</calcChain>
</file>

<file path=xl/sharedStrings.xml><?xml version="1.0" encoding="utf-8"?>
<sst xmlns="http://schemas.openxmlformats.org/spreadsheetml/2006/main" count="4510" uniqueCount="128">
  <si>
    <t>age</t>
  </si>
  <si>
    <t>sex</t>
  </si>
  <si>
    <t>steroid</t>
  </si>
  <si>
    <t>antivirals</t>
  </si>
  <si>
    <t>fatigue</t>
  </si>
  <si>
    <t>malaise</t>
  </si>
  <si>
    <t>anorexia</t>
  </si>
  <si>
    <t>liver_big</t>
  </si>
  <si>
    <t>liver_firm</t>
  </si>
  <si>
    <t>spleen_palpable</t>
  </si>
  <si>
    <t>spiders</t>
  </si>
  <si>
    <t>ascites</t>
  </si>
  <si>
    <t>varices</t>
  </si>
  <si>
    <t>bilirubin</t>
  </si>
  <si>
    <t>alk_phosphate</t>
  </si>
  <si>
    <t>sgot</t>
  </si>
  <si>
    <t>albumin</t>
  </si>
  <si>
    <t>protime</t>
  </si>
  <si>
    <t>histology</t>
  </si>
  <si>
    <t>class</t>
  </si>
  <si>
    <t>male</t>
  </si>
  <si>
    <t>false</t>
  </si>
  <si>
    <t>live</t>
  </si>
  <si>
    <t>female</t>
  </si>
  <si>
    <t>true</t>
  </si>
  <si>
    <t>die</t>
  </si>
  <si>
    <t>Variables_table</t>
  </si>
  <si>
    <t>Variable</t>
  </si>
  <si>
    <t>Description</t>
  </si>
  <si>
    <t>Type</t>
  </si>
  <si>
    <t>Unit</t>
  </si>
  <si>
    <t>Class</t>
  </si>
  <si>
    <t>Qualitative binary</t>
  </si>
  <si>
    <t>Age</t>
  </si>
  <si>
    <t>Age of the patient</t>
  </si>
  <si>
    <t>Quantitative discrete</t>
  </si>
  <si>
    <t>years</t>
  </si>
  <si>
    <t>Sex</t>
  </si>
  <si>
    <t>Sex of the patient</t>
  </si>
  <si>
    <t>male; female</t>
  </si>
  <si>
    <t>Steroid</t>
  </si>
  <si>
    <t>Antivirals</t>
  </si>
  <si>
    <t>Fatigue</t>
  </si>
  <si>
    <t>Presence of fatigue</t>
  </si>
  <si>
    <t>Malaise</t>
  </si>
  <si>
    <t>Presence of malaise or general discomfort</t>
  </si>
  <si>
    <t>Anorexia</t>
  </si>
  <si>
    <t>Presence of anorexia or loss of appetite</t>
  </si>
  <si>
    <t>Liver Big</t>
  </si>
  <si>
    <t>Presence of an enlarged liver</t>
  </si>
  <si>
    <t>Liver Firm</t>
  </si>
  <si>
    <t>Presence of a firm liver</t>
  </si>
  <si>
    <t>Spleen Palpable</t>
  </si>
  <si>
    <t>Spiders</t>
  </si>
  <si>
    <t>Presence of spider nevi or spider-like blood vessels on the skin</t>
  </si>
  <si>
    <t>Ascites</t>
  </si>
  <si>
    <t>Presence of ascites, characterized by abnormal fluid accumulation in the abdomen</t>
  </si>
  <si>
    <t>Varices</t>
  </si>
  <si>
    <t>Presence of varices, which are abnormally enlarged veins associated with liver disease</t>
  </si>
  <si>
    <t>Bilirubin</t>
  </si>
  <si>
    <t>Blood bilirubin level</t>
  </si>
  <si>
    <t>Quantitative continuous</t>
  </si>
  <si>
    <t>Continuous numerical value</t>
  </si>
  <si>
    <t>Alk Phosphate</t>
  </si>
  <si>
    <t>Blood alkaline phosphatase level</t>
  </si>
  <si>
    <t>Numerical value</t>
  </si>
  <si>
    <t>SGOT</t>
  </si>
  <si>
    <t>Serum glutamic-oxaloacetic transaminase level</t>
  </si>
  <si>
    <t>Albumin</t>
  </si>
  <si>
    <t>Blood albumin level</t>
  </si>
  <si>
    <t>Protime</t>
  </si>
  <si>
    <t>Prothrombin time, reflecting blood clotting function</t>
  </si>
  <si>
    <t>Histology</t>
  </si>
  <si>
    <t>true; false</t>
  </si>
  <si>
    <t>Inspection</t>
  </si>
  <si>
    <t>Dimensions</t>
  </si>
  <si>
    <t>Rows</t>
  </si>
  <si>
    <t>Columns</t>
  </si>
  <si>
    <t>Patient outcome indicating if the patient died or survived</t>
  </si>
  <si>
    <t>If the patient received steroid treatment</t>
  </si>
  <si>
    <t>If the patient received antiviral treatment</t>
  </si>
  <si>
    <t>If the spleen is palpable on physical examination</t>
  </si>
  <si>
    <t>Histological examination result indicating If histological evidence of liver disease was present</t>
  </si>
  <si>
    <t>Modalities</t>
  </si>
  <si>
    <t>die; live</t>
  </si>
  <si>
    <t>Duplicates</t>
  </si>
  <si>
    <t>N°</t>
  </si>
  <si>
    <t>Date</t>
  </si>
  <si>
    <t>Etapes</t>
  </si>
  <si>
    <t>Variable(s)</t>
  </si>
  <si>
    <t>Action réalisée</t>
  </si>
  <si>
    <t>Justification</t>
  </si>
  <si>
    <t>Livrables</t>
  </si>
  <si>
    <t>Observations</t>
  </si>
  <si>
    <t>Téléchargement de la base et de la documentation officielle</t>
  </si>
  <si>
    <t>Data inspection</t>
  </si>
  <si>
    <t>dictionnary</t>
  </si>
  <si>
    <t>There is no informations in the official documentation concerning duplicates values</t>
  </si>
  <si>
    <t>Missing values</t>
  </si>
  <si>
    <t>Variables</t>
  </si>
  <si>
    <t>Percentage (%)</t>
  </si>
  <si>
    <t>Consistency</t>
  </si>
  <si>
    <t>Inconsistent data</t>
  </si>
  <si>
    <t>Inconsistent modalities</t>
  </si>
  <si>
    <t>Data quality control</t>
  </si>
  <si>
    <t>Conclusion</t>
  </si>
  <si>
    <t>Result</t>
  </si>
  <si>
    <t>Dataset structure</t>
  </si>
  <si>
    <t>Consistent with the original dataset</t>
  </si>
  <si>
    <t>Number of observations</t>
  </si>
  <si>
    <t>Number of variables</t>
  </si>
  <si>
    <t>Duplicate records</t>
  </si>
  <si>
    <t>None identified</t>
  </si>
  <si>
    <t>Identified and quantified</t>
  </si>
  <si>
    <t>Inconsistent categorical values</t>
  </si>
  <si>
    <t>Data dictionary</t>
  </si>
  <si>
    <t>Complete and consistent with the official documentation</t>
  </si>
  <si>
    <t>Overall data quality</t>
  </si>
  <si>
    <t>Satisfactory</t>
  </si>
  <si>
    <t>Control Check</t>
  </si>
  <si>
    <t>File conversion</t>
  </si>
  <si>
    <t>Descriptives statistics</t>
  </si>
  <si>
    <t>Categotical variables</t>
  </si>
  <si>
    <t>Total général</t>
  </si>
  <si>
    <t>Percentage</t>
  </si>
  <si>
    <t>Headcount</t>
  </si>
  <si>
    <t>(vide)</t>
  </si>
  <si>
    <t>Nombre de liver_big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</si>
</sst>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6" fillId="0" borderId="0" xfId="0" applyFont="1"/>
    <xf numFmtId="9" fontId="0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6.800626851851" createdVersion="8" refreshedVersion="8" minRefreshableVersion="3" recordCount="155" xr:uid="{A01D351C-6755-480B-B01F-46144410FF79}">
  <cacheSource type="worksheet">
    <worksheetSource name="Tableau1"/>
  </cacheSource>
  <cacheFields count="20">
    <cacheField name="age" numFmtId="0">
      <sharedItems containsSemiMixedTypes="0" containsString="0" containsNumber="1" containsInteger="1" minValue="7" maxValue="78"/>
    </cacheField>
    <cacheField name="sex" numFmtId="0">
      <sharedItems count="2">
        <s v="male"/>
        <s v="female"/>
      </sharedItems>
    </cacheField>
    <cacheField name="steroid" numFmtId="0">
      <sharedItems containsBlank="1" count="3">
        <s v="false"/>
        <s v="true"/>
        <m/>
      </sharedItems>
    </cacheField>
    <cacheField name="antivirals" numFmtId="0">
      <sharedItems count="2">
        <s v="false"/>
        <s v="true"/>
      </sharedItems>
    </cacheField>
    <cacheField name="fatigue" numFmtId="0">
      <sharedItems containsBlank="1" count="3">
        <s v="false"/>
        <s v="true"/>
        <m/>
      </sharedItems>
    </cacheField>
    <cacheField name="malaise" numFmtId="0">
      <sharedItems containsBlank="1" count="3">
        <s v="false"/>
        <s v="true"/>
        <m/>
      </sharedItems>
    </cacheField>
    <cacheField name="anorexia" numFmtId="0">
      <sharedItems containsBlank="1" count="3">
        <s v="false"/>
        <s v="true"/>
        <m/>
      </sharedItems>
    </cacheField>
    <cacheField name="liver_big" numFmtId="0">
      <sharedItems containsBlank="1" count="3">
        <s v="false"/>
        <s v="true"/>
        <m/>
      </sharedItems>
    </cacheField>
    <cacheField name="liver_firm" numFmtId="0">
      <sharedItems containsBlank="1" count="3">
        <s v="false"/>
        <s v="true"/>
        <m/>
      </sharedItems>
    </cacheField>
    <cacheField name="spleen_palpable" numFmtId="0">
      <sharedItems containsBlank="1" count="3">
        <s v="false"/>
        <s v="true"/>
        <m/>
      </sharedItems>
    </cacheField>
    <cacheField name="spiders" numFmtId="0">
      <sharedItems containsBlank="1"/>
    </cacheField>
    <cacheField name="ascites" numFmtId="0">
      <sharedItems containsBlank="1"/>
    </cacheField>
    <cacheField name="varices" numFmtId="0">
      <sharedItems containsBlank="1"/>
    </cacheField>
    <cacheField name="bilirubin" numFmtId="0">
      <sharedItems containsString="0" containsBlank="1" containsNumber="1" minValue="0.3" maxValue="8"/>
    </cacheField>
    <cacheField name="alk_phosphate" numFmtId="0">
      <sharedItems containsString="0" containsBlank="1" containsNumber="1" containsInteger="1" minValue="26" maxValue="295"/>
    </cacheField>
    <cacheField name="sgot" numFmtId="0">
      <sharedItems containsString="0" containsBlank="1" containsNumber="1" containsInteger="1" minValue="14" maxValue="648"/>
    </cacheField>
    <cacheField name="albumin" numFmtId="0">
      <sharedItems containsString="0" containsBlank="1" containsNumber="1" minValue="2.1" maxValue="6.4"/>
    </cacheField>
    <cacheField name="protime" numFmtId="0">
      <sharedItems containsString="0" containsBlank="1" containsNumber="1" containsInteger="1" minValue="0" maxValue="100"/>
    </cacheField>
    <cacheField name="histology" numFmtId="0">
      <sharedItems/>
    </cacheField>
    <cacheField name="class" numFmtId="0">
      <sharedItems count="2">
        <s v="live"/>
        <s v="di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n v="30"/>
    <x v="0"/>
    <x v="0"/>
    <x v="0"/>
    <x v="0"/>
    <x v="0"/>
    <x v="0"/>
    <x v="0"/>
    <x v="0"/>
    <x v="0"/>
    <s v="false"/>
    <s v="false"/>
    <s v="false"/>
    <n v="1"/>
    <n v="85"/>
    <n v="18"/>
    <n v="4"/>
    <m/>
    <s v="false"/>
    <x v="0"/>
  </r>
  <r>
    <n v="50"/>
    <x v="1"/>
    <x v="0"/>
    <x v="0"/>
    <x v="1"/>
    <x v="0"/>
    <x v="0"/>
    <x v="0"/>
    <x v="0"/>
    <x v="0"/>
    <s v="false"/>
    <s v="false"/>
    <s v="false"/>
    <n v="0.9"/>
    <n v="135"/>
    <n v="42"/>
    <n v="3.5"/>
    <m/>
    <s v="false"/>
    <x v="0"/>
  </r>
  <r>
    <n v="78"/>
    <x v="1"/>
    <x v="1"/>
    <x v="0"/>
    <x v="1"/>
    <x v="0"/>
    <x v="0"/>
    <x v="1"/>
    <x v="0"/>
    <x v="0"/>
    <s v="false"/>
    <s v="false"/>
    <s v="false"/>
    <n v="0.7"/>
    <n v="96"/>
    <n v="32"/>
    <n v="4"/>
    <m/>
    <s v="false"/>
    <x v="0"/>
  </r>
  <r>
    <n v="31"/>
    <x v="1"/>
    <x v="2"/>
    <x v="1"/>
    <x v="0"/>
    <x v="0"/>
    <x v="0"/>
    <x v="1"/>
    <x v="0"/>
    <x v="0"/>
    <s v="false"/>
    <s v="false"/>
    <s v="false"/>
    <n v="0.7"/>
    <n v="46"/>
    <n v="52"/>
    <n v="4"/>
    <n v="80"/>
    <s v="false"/>
    <x v="0"/>
  </r>
  <r>
    <n v="34"/>
    <x v="1"/>
    <x v="1"/>
    <x v="0"/>
    <x v="0"/>
    <x v="0"/>
    <x v="0"/>
    <x v="1"/>
    <x v="0"/>
    <x v="0"/>
    <s v="false"/>
    <s v="false"/>
    <s v="false"/>
    <n v="1"/>
    <m/>
    <n v="200"/>
    <n v="4"/>
    <m/>
    <s v="false"/>
    <x v="0"/>
  </r>
  <r>
    <n v="34"/>
    <x v="1"/>
    <x v="1"/>
    <x v="0"/>
    <x v="0"/>
    <x v="0"/>
    <x v="0"/>
    <x v="1"/>
    <x v="0"/>
    <x v="0"/>
    <s v="false"/>
    <s v="false"/>
    <s v="false"/>
    <n v="0.9"/>
    <n v="95"/>
    <n v="28"/>
    <n v="4"/>
    <n v="75"/>
    <s v="false"/>
    <x v="0"/>
  </r>
  <r>
    <n v="51"/>
    <x v="1"/>
    <x v="0"/>
    <x v="0"/>
    <x v="1"/>
    <x v="0"/>
    <x v="1"/>
    <x v="1"/>
    <x v="0"/>
    <x v="1"/>
    <s v="true"/>
    <s v="false"/>
    <s v="false"/>
    <m/>
    <m/>
    <m/>
    <m/>
    <m/>
    <s v="false"/>
    <x v="1"/>
  </r>
  <r>
    <n v="23"/>
    <x v="1"/>
    <x v="1"/>
    <x v="0"/>
    <x v="0"/>
    <x v="0"/>
    <x v="0"/>
    <x v="1"/>
    <x v="0"/>
    <x v="0"/>
    <s v="false"/>
    <s v="false"/>
    <s v="false"/>
    <n v="1"/>
    <m/>
    <m/>
    <m/>
    <m/>
    <s v="false"/>
    <x v="0"/>
  </r>
  <r>
    <n v="39"/>
    <x v="1"/>
    <x v="1"/>
    <x v="0"/>
    <x v="1"/>
    <x v="0"/>
    <x v="0"/>
    <x v="1"/>
    <x v="1"/>
    <x v="0"/>
    <s v="false"/>
    <s v="false"/>
    <s v="false"/>
    <n v="0.7"/>
    <m/>
    <n v="48"/>
    <n v="4.4000000000000004"/>
    <m/>
    <s v="false"/>
    <x v="0"/>
  </r>
  <r>
    <n v="30"/>
    <x v="1"/>
    <x v="1"/>
    <x v="0"/>
    <x v="0"/>
    <x v="0"/>
    <x v="0"/>
    <x v="1"/>
    <x v="0"/>
    <x v="0"/>
    <s v="false"/>
    <s v="false"/>
    <s v="false"/>
    <n v="1"/>
    <m/>
    <n v="120"/>
    <n v="3.9"/>
    <m/>
    <s v="false"/>
    <x v="0"/>
  </r>
  <r>
    <n v="39"/>
    <x v="1"/>
    <x v="0"/>
    <x v="1"/>
    <x v="0"/>
    <x v="0"/>
    <x v="0"/>
    <x v="0"/>
    <x v="1"/>
    <x v="0"/>
    <s v="false"/>
    <s v="false"/>
    <s v="false"/>
    <n v="1.3"/>
    <n v="78"/>
    <n v="30"/>
    <n v="4.4000000000000004"/>
    <n v="85"/>
    <s v="false"/>
    <x v="0"/>
  </r>
  <r>
    <n v="32"/>
    <x v="1"/>
    <x v="1"/>
    <x v="1"/>
    <x v="1"/>
    <x v="0"/>
    <x v="0"/>
    <x v="1"/>
    <x v="1"/>
    <x v="0"/>
    <s v="true"/>
    <s v="false"/>
    <s v="false"/>
    <n v="1"/>
    <n v="59"/>
    <n v="249"/>
    <n v="3.7"/>
    <n v="54"/>
    <s v="false"/>
    <x v="0"/>
  </r>
  <r>
    <n v="41"/>
    <x v="1"/>
    <x v="1"/>
    <x v="1"/>
    <x v="1"/>
    <x v="0"/>
    <x v="0"/>
    <x v="1"/>
    <x v="1"/>
    <x v="0"/>
    <s v="false"/>
    <s v="false"/>
    <s v="false"/>
    <n v="0.9"/>
    <n v="81"/>
    <n v="60"/>
    <n v="3.9"/>
    <n v="52"/>
    <s v="false"/>
    <x v="0"/>
  </r>
  <r>
    <n v="30"/>
    <x v="1"/>
    <x v="1"/>
    <x v="0"/>
    <x v="1"/>
    <x v="0"/>
    <x v="0"/>
    <x v="1"/>
    <x v="1"/>
    <x v="0"/>
    <s v="false"/>
    <s v="false"/>
    <s v="false"/>
    <n v="2.2000000000000002"/>
    <n v="57"/>
    <n v="144"/>
    <n v="4.9000000000000004"/>
    <n v="78"/>
    <s v="false"/>
    <x v="0"/>
  </r>
  <r>
    <n v="47"/>
    <x v="1"/>
    <x v="0"/>
    <x v="1"/>
    <x v="0"/>
    <x v="0"/>
    <x v="0"/>
    <x v="1"/>
    <x v="0"/>
    <x v="0"/>
    <s v="false"/>
    <s v="false"/>
    <s v="false"/>
    <m/>
    <m/>
    <n v="60"/>
    <m/>
    <m/>
    <s v="false"/>
    <x v="0"/>
  </r>
  <r>
    <n v="38"/>
    <x v="1"/>
    <x v="0"/>
    <x v="0"/>
    <x v="1"/>
    <x v="1"/>
    <x v="1"/>
    <x v="1"/>
    <x v="0"/>
    <x v="0"/>
    <s v="false"/>
    <s v="true"/>
    <s v="false"/>
    <n v="2"/>
    <n v="72"/>
    <n v="89"/>
    <n v="2.9"/>
    <n v="46"/>
    <s v="false"/>
    <x v="0"/>
  </r>
  <r>
    <n v="66"/>
    <x v="1"/>
    <x v="1"/>
    <x v="0"/>
    <x v="1"/>
    <x v="0"/>
    <x v="0"/>
    <x v="1"/>
    <x v="0"/>
    <x v="0"/>
    <s v="false"/>
    <s v="false"/>
    <s v="false"/>
    <n v="1.2"/>
    <n v="102"/>
    <n v="53"/>
    <n v="4.3"/>
    <m/>
    <s v="false"/>
    <x v="0"/>
  </r>
  <r>
    <n v="40"/>
    <x v="1"/>
    <x v="0"/>
    <x v="0"/>
    <x v="1"/>
    <x v="0"/>
    <x v="0"/>
    <x v="1"/>
    <x v="1"/>
    <x v="0"/>
    <s v="false"/>
    <s v="false"/>
    <s v="false"/>
    <n v="0.6"/>
    <n v="62"/>
    <n v="166"/>
    <n v="4"/>
    <n v="63"/>
    <s v="false"/>
    <x v="0"/>
  </r>
  <r>
    <n v="38"/>
    <x v="1"/>
    <x v="1"/>
    <x v="0"/>
    <x v="0"/>
    <x v="0"/>
    <x v="0"/>
    <x v="1"/>
    <x v="0"/>
    <x v="0"/>
    <s v="false"/>
    <s v="false"/>
    <s v="false"/>
    <n v="0.7"/>
    <n v="53"/>
    <n v="42"/>
    <n v="4.0999999999999996"/>
    <n v="85"/>
    <s v="true"/>
    <x v="0"/>
  </r>
  <r>
    <n v="38"/>
    <x v="1"/>
    <x v="0"/>
    <x v="1"/>
    <x v="0"/>
    <x v="0"/>
    <x v="0"/>
    <x v="0"/>
    <x v="1"/>
    <x v="0"/>
    <s v="false"/>
    <s v="false"/>
    <s v="false"/>
    <n v="0.7"/>
    <n v="70"/>
    <n v="28"/>
    <n v="4.2"/>
    <n v="62"/>
    <s v="false"/>
    <x v="0"/>
  </r>
  <r>
    <n v="22"/>
    <x v="0"/>
    <x v="1"/>
    <x v="1"/>
    <x v="1"/>
    <x v="0"/>
    <x v="0"/>
    <x v="1"/>
    <x v="0"/>
    <x v="0"/>
    <s v="false"/>
    <s v="false"/>
    <s v="false"/>
    <n v="0.9"/>
    <n v="48"/>
    <n v="20"/>
    <n v="4.2"/>
    <n v="64"/>
    <s v="false"/>
    <x v="0"/>
  </r>
  <r>
    <n v="27"/>
    <x v="1"/>
    <x v="1"/>
    <x v="0"/>
    <x v="1"/>
    <x v="1"/>
    <x v="1"/>
    <x v="0"/>
    <x v="1"/>
    <x v="1"/>
    <s v="true"/>
    <s v="false"/>
    <s v="false"/>
    <n v="1.2"/>
    <n v="133"/>
    <n v="98"/>
    <n v="4.0999999999999996"/>
    <n v="39"/>
    <s v="false"/>
    <x v="0"/>
  </r>
  <r>
    <n v="31"/>
    <x v="1"/>
    <x v="1"/>
    <x v="0"/>
    <x v="0"/>
    <x v="0"/>
    <x v="0"/>
    <x v="1"/>
    <x v="0"/>
    <x v="0"/>
    <s v="false"/>
    <s v="false"/>
    <s v="false"/>
    <n v="1"/>
    <n v="85"/>
    <n v="20"/>
    <n v="4"/>
    <n v="100"/>
    <s v="false"/>
    <x v="0"/>
  </r>
  <r>
    <n v="42"/>
    <x v="1"/>
    <x v="1"/>
    <x v="0"/>
    <x v="0"/>
    <x v="0"/>
    <x v="0"/>
    <x v="1"/>
    <x v="0"/>
    <x v="0"/>
    <s v="false"/>
    <s v="false"/>
    <s v="false"/>
    <n v="0.9"/>
    <n v="60"/>
    <n v="63"/>
    <n v="4.7"/>
    <n v="47"/>
    <s v="false"/>
    <x v="0"/>
  </r>
  <r>
    <n v="25"/>
    <x v="0"/>
    <x v="0"/>
    <x v="1"/>
    <x v="0"/>
    <x v="0"/>
    <x v="0"/>
    <x v="1"/>
    <x v="0"/>
    <x v="0"/>
    <s v="false"/>
    <s v="false"/>
    <s v="false"/>
    <n v="0.4"/>
    <n v="45"/>
    <n v="18"/>
    <n v="4.3"/>
    <n v="70"/>
    <s v="false"/>
    <x v="0"/>
  </r>
  <r>
    <n v="27"/>
    <x v="1"/>
    <x v="0"/>
    <x v="0"/>
    <x v="1"/>
    <x v="1"/>
    <x v="0"/>
    <x v="1"/>
    <x v="0"/>
    <x v="0"/>
    <s v="false"/>
    <s v="false"/>
    <s v="false"/>
    <n v="0.8"/>
    <n v="95"/>
    <n v="46"/>
    <n v="3.8"/>
    <n v="100"/>
    <s v="false"/>
    <x v="0"/>
  </r>
  <r>
    <n v="49"/>
    <x v="1"/>
    <x v="0"/>
    <x v="1"/>
    <x v="1"/>
    <x v="1"/>
    <x v="1"/>
    <x v="1"/>
    <x v="1"/>
    <x v="0"/>
    <s v="true"/>
    <s v="false"/>
    <s v="false"/>
    <n v="0.6"/>
    <n v="85"/>
    <n v="48"/>
    <n v="3.7"/>
    <m/>
    <s v="false"/>
    <x v="0"/>
  </r>
  <r>
    <n v="58"/>
    <x v="0"/>
    <x v="1"/>
    <x v="0"/>
    <x v="1"/>
    <x v="0"/>
    <x v="0"/>
    <x v="1"/>
    <x v="1"/>
    <x v="0"/>
    <s v="true"/>
    <s v="false"/>
    <s v="false"/>
    <n v="1.4"/>
    <n v="175"/>
    <n v="55"/>
    <n v="2.7"/>
    <n v="36"/>
    <s v="false"/>
    <x v="0"/>
  </r>
  <r>
    <n v="61"/>
    <x v="1"/>
    <x v="0"/>
    <x v="0"/>
    <x v="1"/>
    <x v="0"/>
    <x v="0"/>
    <x v="0"/>
    <x v="1"/>
    <x v="0"/>
    <s v="false"/>
    <s v="false"/>
    <s v="false"/>
    <n v="1.3"/>
    <n v="78"/>
    <n v="25"/>
    <n v="3.8"/>
    <n v="100"/>
    <s v="false"/>
    <x v="0"/>
  </r>
  <r>
    <n v="51"/>
    <x v="1"/>
    <x v="0"/>
    <x v="1"/>
    <x v="1"/>
    <x v="1"/>
    <x v="0"/>
    <x v="1"/>
    <x v="0"/>
    <x v="0"/>
    <s v="false"/>
    <s v="false"/>
    <s v="false"/>
    <n v="1"/>
    <n v="78"/>
    <n v="58"/>
    <n v="4.5999999999999996"/>
    <n v="52"/>
    <s v="false"/>
    <x v="0"/>
  </r>
  <r>
    <n v="39"/>
    <x v="1"/>
    <x v="0"/>
    <x v="1"/>
    <x v="1"/>
    <x v="1"/>
    <x v="0"/>
    <x v="1"/>
    <x v="1"/>
    <x v="0"/>
    <s v="false"/>
    <s v="false"/>
    <s v="false"/>
    <n v="2.2999999999999998"/>
    <n v="280"/>
    <n v="98"/>
    <n v="3.8"/>
    <n v="40"/>
    <s v="false"/>
    <x v="1"/>
  </r>
  <r>
    <n v="62"/>
    <x v="1"/>
    <x v="0"/>
    <x v="0"/>
    <x v="1"/>
    <x v="1"/>
    <x v="0"/>
    <x v="2"/>
    <x v="2"/>
    <x v="0"/>
    <s v="false"/>
    <s v="false"/>
    <s v="false"/>
    <n v="1"/>
    <m/>
    <n v="60"/>
    <m/>
    <m/>
    <s v="false"/>
    <x v="1"/>
  </r>
  <r>
    <n v="41"/>
    <x v="0"/>
    <x v="1"/>
    <x v="1"/>
    <x v="1"/>
    <x v="1"/>
    <x v="1"/>
    <x v="1"/>
    <x v="0"/>
    <x v="0"/>
    <s v="false"/>
    <s v="false"/>
    <s v="false"/>
    <n v="0.7"/>
    <n v="81"/>
    <n v="53"/>
    <n v="5"/>
    <n v="74"/>
    <s v="false"/>
    <x v="0"/>
  </r>
  <r>
    <n v="26"/>
    <x v="0"/>
    <x v="0"/>
    <x v="0"/>
    <x v="0"/>
    <x v="0"/>
    <x v="0"/>
    <x v="1"/>
    <x v="1"/>
    <x v="0"/>
    <s v="false"/>
    <s v="false"/>
    <s v="false"/>
    <n v="0.5"/>
    <n v="135"/>
    <n v="29"/>
    <n v="3.8"/>
    <n v="60"/>
    <s v="false"/>
    <x v="0"/>
  </r>
  <r>
    <n v="35"/>
    <x v="1"/>
    <x v="1"/>
    <x v="0"/>
    <x v="1"/>
    <x v="0"/>
    <x v="0"/>
    <x v="1"/>
    <x v="0"/>
    <x v="0"/>
    <s v="false"/>
    <s v="false"/>
    <s v="false"/>
    <n v="0.9"/>
    <n v="58"/>
    <n v="92"/>
    <n v="4.3"/>
    <n v="73"/>
    <s v="false"/>
    <x v="0"/>
  </r>
  <r>
    <n v="37"/>
    <x v="1"/>
    <x v="1"/>
    <x v="0"/>
    <x v="1"/>
    <x v="0"/>
    <x v="0"/>
    <x v="1"/>
    <x v="0"/>
    <x v="0"/>
    <s v="true"/>
    <s v="false"/>
    <s v="false"/>
    <n v="0.6"/>
    <n v="67"/>
    <n v="28"/>
    <n v="4.2"/>
    <m/>
    <s v="false"/>
    <x v="1"/>
  </r>
  <r>
    <n v="23"/>
    <x v="1"/>
    <x v="1"/>
    <x v="0"/>
    <x v="1"/>
    <x v="1"/>
    <x v="1"/>
    <x v="1"/>
    <x v="0"/>
    <x v="1"/>
    <s v="false"/>
    <s v="false"/>
    <s v="false"/>
    <n v="1.3"/>
    <n v="194"/>
    <n v="150"/>
    <n v="4.0999999999999996"/>
    <n v="90"/>
    <s v="false"/>
    <x v="0"/>
  </r>
  <r>
    <n v="20"/>
    <x v="0"/>
    <x v="0"/>
    <x v="0"/>
    <x v="1"/>
    <x v="1"/>
    <x v="1"/>
    <x v="0"/>
    <x v="1"/>
    <x v="1"/>
    <s v="true"/>
    <s v="false"/>
    <s v="false"/>
    <n v="2.2999999999999998"/>
    <n v="150"/>
    <n v="68"/>
    <n v="3.9"/>
    <m/>
    <s v="false"/>
    <x v="0"/>
  </r>
  <r>
    <n v="42"/>
    <x v="1"/>
    <x v="0"/>
    <x v="0"/>
    <x v="0"/>
    <x v="0"/>
    <x v="0"/>
    <x v="1"/>
    <x v="0"/>
    <x v="0"/>
    <s v="false"/>
    <s v="false"/>
    <s v="false"/>
    <n v="1"/>
    <n v="85"/>
    <n v="14"/>
    <n v="4"/>
    <n v="100"/>
    <s v="false"/>
    <x v="0"/>
  </r>
  <r>
    <n v="65"/>
    <x v="1"/>
    <x v="1"/>
    <x v="0"/>
    <x v="1"/>
    <x v="1"/>
    <x v="0"/>
    <x v="1"/>
    <x v="1"/>
    <x v="1"/>
    <s v="true"/>
    <s v="true"/>
    <s v="false"/>
    <n v="0.3"/>
    <n v="180"/>
    <n v="53"/>
    <n v="2.9"/>
    <n v="74"/>
    <s v="true"/>
    <x v="0"/>
  </r>
  <r>
    <n v="52"/>
    <x v="1"/>
    <x v="0"/>
    <x v="1"/>
    <x v="0"/>
    <x v="0"/>
    <x v="0"/>
    <x v="1"/>
    <x v="0"/>
    <x v="0"/>
    <s v="false"/>
    <s v="false"/>
    <s v="false"/>
    <n v="0.7"/>
    <n v="75"/>
    <n v="55"/>
    <n v="4"/>
    <n v="21"/>
    <s v="false"/>
    <x v="0"/>
  </r>
  <r>
    <n v="23"/>
    <x v="1"/>
    <x v="1"/>
    <x v="0"/>
    <x v="0"/>
    <x v="0"/>
    <x v="0"/>
    <x v="2"/>
    <x v="2"/>
    <x v="2"/>
    <m/>
    <m/>
    <m/>
    <n v="4.5999999999999996"/>
    <n v="56"/>
    <n v="16"/>
    <n v="4.5999999999999996"/>
    <m/>
    <s v="false"/>
    <x v="0"/>
  </r>
  <r>
    <n v="33"/>
    <x v="1"/>
    <x v="1"/>
    <x v="0"/>
    <x v="0"/>
    <x v="0"/>
    <x v="0"/>
    <x v="1"/>
    <x v="0"/>
    <x v="0"/>
    <s v="false"/>
    <s v="false"/>
    <s v="false"/>
    <n v="1"/>
    <n v="46"/>
    <n v="90"/>
    <n v="4.4000000000000004"/>
    <n v="60"/>
    <s v="false"/>
    <x v="0"/>
  </r>
  <r>
    <n v="56"/>
    <x v="1"/>
    <x v="0"/>
    <x v="0"/>
    <x v="1"/>
    <x v="0"/>
    <x v="0"/>
    <x v="1"/>
    <x v="0"/>
    <x v="0"/>
    <s v="false"/>
    <s v="false"/>
    <s v="false"/>
    <n v="0.7"/>
    <n v="71"/>
    <n v="18"/>
    <n v="4.4000000000000004"/>
    <n v="100"/>
    <s v="false"/>
    <x v="0"/>
  </r>
  <r>
    <n v="34"/>
    <x v="1"/>
    <x v="1"/>
    <x v="0"/>
    <x v="0"/>
    <x v="0"/>
    <x v="0"/>
    <x v="1"/>
    <x v="0"/>
    <x v="0"/>
    <s v="false"/>
    <s v="false"/>
    <s v="false"/>
    <m/>
    <m/>
    <n v="86"/>
    <m/>
    <m/>
    <s v="false"/>
    <x v="0"/>
  </r>
  <r>
    <n v="28"/>
    <x v="1"/>
    <x v="1"/>
    <x v="0"/>
    <x v="1"/>
    <x v="1"/>
    <x v="0"/>
    <x v="1"/>
    <x v="0"/>
    <x v="0"/>
    <s v="false"/>
    <s v="false"/>
    <s v="false"/>
    <n v="0.7"/>
    <n v="74"/>
    <n v="110"/>
    <n v="4.4000000000000004"/>
    <m/>
    <s v="false"/>
    <x v="0"/>
  </r>
  <r>
    <n v="37"/>
    <x v="1"/>
    <x v="0"/>
    <x v="0"/>
    <x v="0"/>
    <x v="0"/>
    <x v="0"/>
    <x v="1"/>
    <x v="1"/>
    <x v="0"/>
    <s v="true"/>
    <s v="false"/>
    <s v="false"/>
    <n v="0.6"/>
    <n v="80"/>
    <n v="80"/>
    <n v="3.8"/>
    <m/>
    <s v="false"/>
    <x v="0"/>
  </r>
  <r>
    <n v="28"/>
    <x v="0"/>
    <x v="1"/>
    <x v="0"/>
    <x v="1"/>
    <x v="1"/>
    <x v="0"/>
    <x v="1"/>
    <x v="1"/>
    <x v="0"/>
    <s v="false"/>
    <s v="false"/>
    <s v="false"/>
    <n v="1.8"/>
    <n v="191"/>
    <n v="420"/>
    <n v="3.3"/>
    <n v="46"/>
    <s v="false"/>
    <x v="0"/>
  </r>
  <r>
    <n v="36"/>
    <x v="1"/>
    <x v="0"/>
    <x v="0"/>
    <x v="0"/>
    <x v="0"/>
    <x v="0"/>
    <x v="1"/>
    <x v="0"/>
    <x v="1"/>
    <s v="false"/>
    <s v="false"/>
    <s v="false"/>
    <n v="0.8"/>
    <n v="85"/>
    <n v="44"/>
    <n v="4.2"/>
    <n v="85"/>
    <s v="false"/>
    <x v="0"/>
  </r>
  <r>
    <n v="38"/>
    <x v="1"/>
    <x v="1"/>
    <x v="1"/>
    <x v="1"/>
    <x v="1"/>
    <x v="1"/>
    <x v="1"/>
    <x v="0"/>
    <x v="0"/>
    <s v="true"/>
    <s v="false"/>
    <s v="false"/>
    <n v="0.7"/>
    <n v="125"/>
    <n v="65"/>
    <n v="4.2"/>
    <n v="77"/>
    <s v="false"/>
    <x v="0"/>
  </r>
  <r>
    <n v="39"/>
    <x v="1"/>
    <x v="0"/>
    <x v="0"/>
    <x v="0"/>
    <x v="0"/>
    <x v="0"/>
    <x v="1"/>
    <x v="0"/>
    <x v="0"/>
    <s v="false"/>
    <s v="false"/>
    <s v="false"/>
    <n v="0.9"/>
    <n v="85"/>
    <n v="60"/>
    <n v="4"/>
    <m/>
    <s v="false"/>
    <x v="0"/>
  </r>
  <r>
    <n v="39"/>
    <x v="1"/>
    <x v="1"/>
    <x v="0"/>
    <x v="0"/>
    <x v="0"/>
    <x v="0"/>
    <x v="1"/>
    <x v="0"/>
    <x v="0"/>
    <s v="false"/>
    <s v="false"/>
    <s v="false"/>
    <n v="1"/>
    <n v="85"/>
    <n v="20"/>
    <n v="4"/>
    <m/>
    <s v="false"/>
    <x v="0"/>
  </r>
  <r>
    <n v="44"/>
    <x v="1"/>
    <x v="1"/>
    <x v="0"/>
    <x v="0"/>
    <x v="0"/>
    <x v="0"/>
    <x v="1"/>
    <x v="0"/>
    <x v="0"/>
    <s v="false"/>
    <s v="false"/>
    <s v="false"/>
    <n v="0.6"/>
    <n v="110"/>
    <n v="145"/>
    <n v="4.4000000000000004"/>
    <n v="70"/>
    <s v="false"/>
    <x v="0"/>
  </r>
  <r>
    <n v="40"/>
    <x v="1"/>
    <x v="1"/>
    <x v="1"/>
    <x v="1"/>
    <x v="0"/>
    <x v="0"/>
    <x v="1"/>
    <x v="1"/>
    <x v="1"/>
    <s v="false"/>
    <s v="false"/>
    <s v="false"/>
    <n v="1.2"/>
    <n v="85"/>
    <n v="31"/>
    <n v="4"/>
    <n v="100"/>
    <s v="false"/>
    <x v="0"/>
  </r>
  <r>
    <n v="30"/>
    <x v="1"/>
    <x v="1"/>
    <x v="0"/>
    <x v="1"/>
    <x v="0"/>
    <x v="0"/>
    <x v="1"/>
    <x v="0"/>
    <x v="0"/>
    <s v="false"/>
    <s v="false"/>
    <s v="false"/>
    <n v="0.7"/>
    <n v="50"/>
    <n v="78"/>
    <n v="4.2"/>
    <n v="74"/>
    <s v="false"/>
    <x v="0"/>
  </r>
  <r>
    <n v="37"/>
    <x v="1"/>
    <x v="0"/>
    <x v="0"/>
    <x v="1"/>
    <x v="1"/>
    <x v="1"/>
    <x v="1"/>
    <x v="0"/>
    <x v="0"/>
    <s v="false"/>
    <s v="false"/>
    <s v="false"/>
    <n v="0.8"/>
    <n v="92"/>
    <n v="59"/>
    <m/>
    <m/>
    <s v="false"/>
    <x v="0"/>
  </r>
  <r>
    <n v="34"/>
    <x v="1"/>
    <x v="0"/>
    <x v="0"/>
    <x v="2"/>
    <x v="2"/>
    <x v="2"/>
    <x v="2"/>
    <x v="2"/>
    <x v="2"/>
    <m/>
    <m/>
    <m/>
    <m/>
    <m/>
    <m/>
    <m/>
    <m/>
    <s v="false"/>
    <x v="0"/>
  </r>
  <r>
    <n v="30"/>
    <x v="1"/>
    <x v="1"/>
    <x v="1"/>
    <x v="0"/>
    <x v="0"/>
    <x v="0"/>
    <x v="1"/>
    <x v="0"/>
    <x v="0"/>
    <s v="false"/>
    <s v="false"/>
    <s v="false"/>
    <n v="0.7"/>
    <n v="52"/>
    <n v="38"/>
    <n v="3.9"/>
    <n v="52"/>
    <s v="false"/>
    <x v="0"/>
  </r>
  <r>
    <n v="64"/>
    <x v="1"/>
    <x v="1"/>
    <x v="1"/>
    <x v="1"/>
    <x v="1"/>
    <x v="0"/>
    <x v="0"/>
    <x v="1"/>
    <x v="0"/>
    <s v="false"/>
    <s v="false"/>
    <s v="false"/>
    <n v="1"/>
    <n v="80"/>
    <n v="38"/>
    <n v="4.3"/>
    <n v="74"/>
    <s v="false"/>
    <x v="0"/>
  </r>
  <r>
    <n v="45"/>
    <x v="0"/>
    <x v="0"/>
    <x v="0"/>
    <x v="1"/>
    <x v="1"/>
    <x v="0"/>
    <x v="1"/>
    <x v="0"/>
    <x v="1"/>
    <s v="false"/>
    <s v="false"/>
    <s v="false"/>
    <n v="1"/>
    <n v="85"/>
    <n v="75"/>
    <m/>
    <m/>
    <s v="false"/>
    <x v="0"/>
  </r>
  <r>
    <n v="37"/>
    <x v="1"/>
    <x v="1"/>
    <x v="0"/>
    <x v="0"/>
    <x v="0"/>
    <x v="0"/>
    <x v="1"/>
    <x v="0"/>
    <x v="0"/>
    <s v="false"/>
    <s v="false"/>
    <s v="false"/>
    <n v="0.7"/>
    <n v="26"/>
    <n v="58"/>
    <n v="4.5"/>
    <n v="100"/>
    <s v="false"/>
    <x v="0"/>
  </r>
  <r>
    <n v="32"/>
    <x v="1"/>
    <x v="1"/>
    <x v="0"/>
    <x v="0"/>
    <x v="0"/>
    <x v="0"/>
    <x v="1"/>
    <x v="0"/>
    <x v="0"/>
    <s v="false"/>
    <s v="false"/>
    <s v="false"/>
    <n v="0.7"/>
    <n v="102"/>
    <n v="64"/>
    <n v="4"/>
    <n v="90"/>
    <s v="false"/>
    <x v="0"/>
  </r>
  <r>
    <n v="32"/>
    <x v="1"/>
    <x v="1"/>
    <x v="0"/>
    <x v="1"/>
    <x v="1"/>
    <x v="1"/>
    <x v="1"/>
    <x v="0"/>
    <x v="0"/>
    <s v="true"/>
    <s v="false"/>
    <s v="true"/>
    <n v="3.5"/>
    <n v="215"/>
    <n v="54"/>
    <n v="3.4"/>
    <n v="29"/>
    <s v="false"/>
    <x v="0"/>
  </r>
  <r>
    <n v="36"/>
    <x v="1"/>
    <x v="0"/>
    <x v="0"/>
    <x v="0"/>
    <x v="0"/>
    <x v="0"/>
    <x v="0"/>
    <x v="1"/>
    <x v="1"/>
    <s v="false"/>
    <s v="false"/>
    <s v="false"/>
    <n v="0.7"/>
    <n v="164"/>
    <n v="44"/>
    <n v="3.1"/>
    <n v="41"/>
    <s v="false"/>
    <x v="0"/>
  </r>
  <r>
    <n v="49"/>
    <x v="1"/>
    <x v="1"/>
    <x v="0"/>
    <x v="1"/>
    <x v="1"/>
    <x v="0"/>
    <x v="1"/>
    <x v="0"/>
    <x v="0"/>
    <s v="false"/>
    <s v="false"/>
    <s v="false"/>
    <n v="0.8"/>
    <n v="103"/>
    <n v="43"/>
    <n v="3.5"/>
    <n v="66"/>
    <s v="false"/>
    <x v="0"/>
  </r>
  <r>
    <n v="27"/>
    <x v="1"/>
    <x v="1"/>
    <x v="0"/>
    <x v="0"/>
    <x v="0"/>
    <x v="0"/>
    <x v="1"/>
    <x v="0"/>
    <x v="0"/>
    <s v="false"/>
    <s v="false"/>
    <s v="false"/>
    <n v="0.8"/>
    <m/>
    <n v="38"/>
    <n v="4.2"/>
    <m/>
    <s v="false"/>
    <x v="0"/>
  </r>
  <r>
    <n v="56"/>
    <x v="1"/>
    <x v="0"/>
    <x v="0"/>
    <x v="0"/>
    <x v="0"/>
    <x v="0"/>
    <x v="1"/>
    <x v="0"/>
    <x v="0"/>
    <s v="false"/>
    <s v="false"/>
    <s v="false"/>
    <n v="0.7"/>
    <n v="62"/>
    <n v="33"/>
    <n v="3"/>
    <m/>
    <s v="false"/>
    <x v="0"/>
  </r>
  <r>
    <n v="57"/>
    <x v="1"/>
    <x v="1"/>
    <x v="0"/>
    <x v="1"/>
    <x v="1"/>
    <x v="1"/>
    <x v="1"/>
    <x v="0"/>
    <x v="0"/>
    <s v="true"/>
    <s v="true"/>
    <s v="false"/>
    <n v="4.0999999999999996"/>
    <m/>
    <n v="48"/>
    <n v="2.6"/>
    <n v="73"/>
    <s v="false"/>
    <x v="1"/>
  </r>
  <r>
    <n v="39"/>
    <x v="1"/>
    <x v="1"/>
    <x v="0"/>
    <x v="1"/>
    <x v="0"/>
    <x v="0"/>
    <x v="1"/>
    <x v="0"/>
    <x v="0"/>
    <s v="false"/>
    <s v="false"/>
    <s v="false"/>
    <n v="1"/>
    <n v="34"/>
    <n v="15"/>
    <n v="4"/>
    <n v="54"/>
    <s v="false"/>
    <x v="0"/>
  </r>
  <r>
    <n v="44"/>
    <x v="1"/>
    <x v="0"/>
    <x v="0"/>
    <x v="1"/>
    <x v="1"/>
    <x v="0"/>
    <x v="1"/>
    <x v="0"/>
    <x v="0"/>
    <s v="false"/>
    <s v="false"/>
    <s v="false"/>
    <n v="1.6"/>
    <n v="68"/>
    <n v="68"/>
    <n v="3.7"/>
    <m/>
    <s v="false"/>
    <x v="0"/>
  </r>
  <r>
    <n v="24"/>
    <x v="1"/>
    <x v="1"/>
    <x v="0"/>
    <x v="0"/>
    <x v="0"/>
    <x v="0"/>
    <x v="1"/>
    <x v="0"/>
    <x v="0"/>
    <s v="false"/>
    <s v="false"/>
    <s v="false"/>
    <n v="0.8"/>
    <n v="82"/>
    <n v="39"/>
    <n v="4.3"/>
    <m/>
    <s v="false"/>
    <x v="0"/>
  </r>
  <r>
    <n v="34"/>
    <x v="1"/>
    <x v="0"/>
    <x v="0"/>
    <x v="1"/>
    <x v="1"/>
    <x v="0"/>
    <x v="0"/>
    <x v="1"/>
    <x v="0"/>
    <s v="true"/>
    <s v="false"/>
    <s v="false"/>
    <n v="2.8"/>
    <n v="127"/>
    <n v="182"/>
    <m/>
    <m/>
    <s v="false"/>
    <x v="1"/>
  </r>
  <r>
    <n v="51"/>
    <x v="1"/>
    <x v="1"/>
    <x v="0"/>
    <x v="1"/>
    <x v="1"/>
    <x v="1"/>
    <x v="2"/>
    <x v="2"/>
    <x v="2"/>
    <m/>
    <m/>
    <m/>
    <n v="0.9"/>
    <n v="76"/>
    <n v="271"/>
    <n v="4.4000000000000004"/>
    <m/>
    <s v="false"/>
    <x v="0"/>
  </r>
  <r>
    <n v="36"/>
    <x v="1"/>
    <x v="0"/>
    <x v="0"/>
    <x v="1"/>
    <x v="1"/>
    <x v="1"/>
    <x v="1"/>
    <x v="1"/>
    <x v="0"/>
    <s v="false"/>
    <s v="false"/>
    <s v="false"/>
    <n v="1"/>
    <m/>
    <n v="45"/>
    <n v="4"/>
    <n v="57"/>
    <s v="false"/>
    <x v="0"/>
  </r>
  <r>
    <n v="50"/>
    <x v="1"/>
    <x v="1"/>
    <x v="0"/>
    <x v="0"/>
    <x v="0"/>
    <x v="0"/>
    <x v="1"/>
    <x v="0"/>
    <x v="0"/>
    <s v="false"/>
    <s v="false"/>
    <s v="false"/>
    <n v="1.5"/>
    <n v="100"/>
    <n v="100"/>
    <n v="5.3"/>
    <m/>
    <s v="false"/>
    <x v="0"/>
  </r>
  <r>
    <n v="32"/>
    <x v="1"/>
    <x v="0"/>
    <x v="1"/>
    <x v="1"/>
    <x v="1"/>
    <x v="0"/>
    <x v="1"/>
    <x v="0"/>
    <x v="0"/>
    <s v="false"/>
    <s v="false"/>
    <s v="false"/>
    <n v="1"/>
    <n v="55"/>
    <n v="45"/>
    <n v="4.0999999999999996"/>
    <n v="56"/>
    <s v="false"/>
    <x v="0"/>
  </r>
  <r>
    <n v="58"/>
    <x v="1"/>
    <x v="1"/>
    <x v="0"/>
    <x v="1"/>
    <x v="0"/>
    <x v="0"/>
    <x v="0"/>
    <x v="1"/>
    <x v="1"/>
    <s v="true"/>
    <s v="false"/>
    <s v="false"/>
    <n v="2"/>
    <n v="167"/>
    <n v="242"/>
    <n v="3.3"/>
    <m/>
    <s v="false"/>
    <x v="1"/>
  </r>
  <r>
    <n v="34"/>
    <x v="0"/>
    <x v="0"/>
    <x v="1"/>
    <x v="0"/>
    <x v="0"/>
    <x v="0"/>
    <x v="1"/>
    <x v="1"/>
    <x v="0"/>
    <s v="false"/>
    <s v="false"/>
    <s v="false"/>
    <n v="0.6"/>
    <n v="30"/>
    <n v="24"/>
    <n v="4"/>
    <n v="76"/>
    <s v="false"/>
    <x v="0"/>
  </r>
  <r>
    <n v="34"/>
    <x v="1"/>
    <x v="0"/>
    <x v="0"/>
    <x v="1"/>
    <x v="0"/>
    <x v="0"/>
    <x v="0"/>
    <x v="1"/>
    <x v="0"/>
    <s v="true"/>
    <s v="false"/>
    <s v="false"/>
    <n v="1"/>
    <n v="72"/>
    <n v="46"/>
    <n v="4.4000000000000004"/>
    <n v="57"/>
    <s v="false"/>
    <x v="0"/>
  </r>
  <r>
    <n v="28"/>
    <x v="1"/>
    <x v="1"/>
    <x v="0"/>
    <x v="0"/>
    <x v="0"/>
    <x v="0"/>
    <x v="1"/>
    <x v="0"/>
    <x v="0"/>
    <s v="false"/>
    <s v="false"/>
    <s v="false"/>
    <n v="0.7"/>
    <n v="85"/>
    <n v="31"/>
    <n v="4.9000000000000004"/>
    <m/>
    <s v="false"/>
    <x v="0"/>
  </r>
  <r>
    <n v="23"/>
    <x v="1"/>
    <x v="1"/>
    <x v="0"/>
    <x v="1"/>
    <x v="1"/>
    <x v="1"/>
    <x v="1"/>
    <x v="0"/>
    <x v="0"/>
    <s v="false"/>
    <s v="false"/>
    <s v="false"/>
    <n v="0.8"/>
    <m/>
    <n v="14"/>
    <n v="4.8"/>
    <m/>
    <s v="false"/>
    <x v="0"/>
  </r>
  <r>
    <n v="36"/>
    <x v="1"/>
    <x v="1"/>
    <x v="0"/>
    <x v="0"/>
    <x v="0"/>
    <x v="0"/>
    <x v="1"/>
    <x v="0"/>
    <x v="0"/>
    <s v="false"/>
    <s v="false"/>
    <s v="false"/>
    <n v="0.7"/>
    <n v="62"/>
    <n v="224"/>
    <n v="4.2"/>
    <n v="100"/>
    <s v="false"/>
    <x v="0"/>
  </r>
  <r>
    <n v="30"/>
    <x v="1"/>
    <x v="0"/>
    <x v="0"/>
    <x v="0"/>
    <x v="0"/>
    <x v="0"/>
    <x v="1"/>
    <x v="0"/>
    <x v="0"/>
    <s v="false"/>
    <s v="false"/>
    <s v="false"/>
    <n v="0.7"/>
    <n v="100"/>
    <n v="31"/>
    <n v="4"/>
    <n v="100"/>
    <s v="false"/>
    <x v="0"/>
  </r>
  <r>
    <n v="67"/>
    <x v="0"/>
    <x v="0"/>
    <x v="0"/>
    <x v="1"/>
    <x v="1"/>
    <x v="0"/>
    <x v="1"/>
    <x v="0"/>
    <x v="2"/>
    <m/>
    <m/>
    <m/>
    <n v="1.5"/>
    <n v="179"/>
    <n v="69"/>
    <n v="2.9"/>
    <m/>
    <s v="false"/>
    <x v="0"/>
  </r>
  <r>
    <n v="62"/>
    <x v="0"/>
    <x v="1"/>
    <x v="0"/>
    <x v="1"/>
    <x v="1"/>
    <x v="0"/>
    <x v="1"/>
    <x v="1"/>
    <x v="0"/>
    <s v="true"/>
    <s v="false"/>
    <s v="false"/>
    <n v="1.3"/>
    <n v="141"/>
    <n v="156"/>
    <n v="3.9"/>
    <n v="58"/>
    <s v="false"/>
    <x v="0"/>
  </r>
  <r>
    <n v="28"/>
    <x v="1"/>
    <x v="0"/>
    <x v="0"/>
    <x v="1"/>
    <x v="1"/>
    <x v="1"/>
    <x v="1"/>
    <x v="1"/>
    <x v="0"/>
    <s v="false"/>
    <s v="false"/>
    <s v="false"/>
    <n v="1.6"/>
    <n v="44"/>
    <n v="123"/>
    <n v="4"/>
    <n v="46"/>
    <s v="false"/>
    <x v="0"/>
  </r>
  <r>
    <n v="44"/>
    <x v="1"/>
    <x v="0"/>
    <x v="0"/>
    <x v="1"/>
    <x v="1"/>
    <x v="0"/>
    <x v="1"/>
    <x v="0"/>
    <x v="1"/>
    <s v="false"/>
    <s v="false"/>
    <s v="true"/>
    <n v="0.9"/>
    <n v="135"/>
    <n v="55"/>
    <m/>
    <n v="41"/>
    <s v="true"/>
    <x v="1"/>
  </r>
  <r>
    <n v="30"/>
    <x v="1"/>
    <x v="1"/>
    <x v="0"/>
    <x v="1"/>
    <x v="1"/>
    <x v="1"/>
    <x v="1"/>
    <x v="1"/>
    <x v="0"/>
    <s v="true"/>
    <s v="true"/>
    <s v="true"/>
    <n v="2.5"/>
    <n v="165"/>
    <n v="64"/>
    <n v="2.8"/>
    <m/>
    <s v="true"/>
    <x v="1"/>
  </r>
  <r>
    <n v="38"/>
    <x v="1"/>
    <x v="0"/>
    <x v="0"/>
    <x v="1"/>
    <x v="1"/>
    <x v="1"/>
    <x v="1"/>
    <x v="1"/>
    <x v="0"/>
    <s v="true"/>
    <s v="true"/>
    <s v="true"/>
    <n v="1.2"/>
    <n v="118"/>
    <n v="16"/>
    <n v="2.8"/>
    <m/>
    <s v="true"/>
    <x v="1"/>
  </r>
  <r>
    <n v="38"/>
    <x v="1"/>
    <x v="0"/>
    <x v="0"/>
    <x v="1"/>
    <x v="1"/>
    <x v="1"/>
    <x v="0"/>
    <x v="1"/>
    <x v="0"/>
    <s v="false"/>
    <s v="false"/>
    <s v="false"/>
    <n v="0.6"/>
    <n v="76"/>
    <n v="18"/>
    <n v="4.4000000000000004"/>
    <n v="84"/>
    <s v="true"/>
    <x v="0"/>
  </r>
  <r>
    <n v="50"/>
    <x v="0"/>
    <x v="0"/>
    <x v="0"/>
    <x v="1"/>
    <x v="0"/>
    <x v="0"/>
    <x v="0"/>
    <x v="1"/>
    <x v="1"/>
    <s v="true"/>
    <s v="false"/>
    <s v="false"/>
    <n v="0.9"/>
    <n v="230"/>
    <n v="117"/>
    <n v="3.4"/>
    <n v="41"/>
    <s v="true"/>
    <x v="0"/>
  </r>
  <r>
    <n v="42"/>
    <x v="1"/>
    <x v="0"/>
    <x v="0"/>
    <x v="1"/>
    <x v="1"/>
    <x v="1"/>
    <x v="1"/>
    <x v="0"/>
    <x v="1"/>
    <s v="true"/>
    <s v="false"/>
    <s v="true"/>
    <n v="4.5999999999999996"/>
    <m/>
    <n v="55"/>
    <n v="3.3"/>
    <m/>
    <s v="true"/>
    <x v="1"/>
  </r>
  <r>
    <n v="33"/>
    <x v="1"/>
    <x v="1"/>
    <x v="0"/>
    <x v="0"/>
    <x v="0"/>
    <x v="0"/>
    <x v="2"/>
    <x v="2"/>
    <x v="0"/>
    <s v="false"/>
    <s v="false"/>
    <s v="false"/>
    <n v="1"/>
    <m/>
    <n v="60"/>
    <n v="4"/>
    <m/>
    <s v="true"/>
    <x v="0"/>
  </r>
  <r>
    <n v="52"/>
    <x v="1"/>
    <x v="0"/>
    <x v="0"/>
    <x v="0"/>
    <x v="0"/>
    <x v="0"/>
    <x v="1"/>
    <x v="0"/>
    <x v="0"/>
    <s v="false"/>
    <s v="false"/>
    <s v="false"/>
    <n v="1.5"/>
    <m/>
    <n v="69"/>
    <n v="2.9"/>
    <m/>
    <s v="true"/>
    <x v="0"/>
  </r>
  <r>
    <n v="59"/>
    <x v="1"/>
    <x v="0"/>
    <x v="0"/>
    <x v="1"/>
    <x v="1"/>
    <x v="0"/>
    <x v="1"/>
    <x v="1"/>
    <x v="1"/>
    <s v="true"/>
    <s v="false"/>
    <s v="false"/>
    <n v="1.5"/>
    <n v="107"/>
    <n v="157"/>
    <n v="3.6"/>
    <n v="38"/>
    <s v="true"/>
    <x v="1"/>
  </r>
  <r>
    <n v="40"/>
    <x v="1"/>
    <x v="0"/>
    <x v="1"/>
    <x v="1"/>
    <x v="1"/>
    <x v="1"/>
    <x v="0"/>
    <x v="1"/>
    <x v="0"/>
    <s v="false"/>
    <s v="false"/>
    <s v="false"/>
    <n v="0.6"/>
    <n v="40"/>
    <n v="69"/>
    <n v="4.2"/>
    <n v="67"/>
    <s v="true"/>
    <x v="0"/>
  </r>
  <r>
    <n v="30"/>
    <x v="1"/>
    <x v="0"/>
    <x v="0"/>
    <x v="1"/>
    <x v="1"/>
    <x v="0"/>
    <x v="1"/>
    <x v="1"/>
    <x v="0"/>
    <s v="true"/>
    <s v="false"/>
    <s v="false"/>
    <n v="0.8"/>
    <n v="147"/>
    <n v="128"/>
    <n v="3.9"/>
    <n v="100"/>
    <s v="true"/>
    <x v="0"/>
  </r>
  <r>
    <n v="44"/>
    <x v="1"/>
    <x v="0"/>
    <x v="0"/>
    <x v="1"/>
    <x v="1"/>
    <x v="0"/>
    <x v="0"/>
    <x v="1"/>
    <x v="0"/>
    <s v="true"/>
    <s v="false"/>
    <s v="false"/>
    <n v="3"/>
    <n v="114"/>
    <n v="65"/>
    <n v="3.5"/>
    <m/>
    <s v="true"/>
    <x v="0"/>
  </r>
  <r>
    <n v="47"/>
    <x v="1"/>
    <x v="1"/>
    <x v="0"/>
    <x v="0"/>
    <x v="0"/>
    <x v="0"/>
    <x v="1"/>
    <x v="0"/>
    <x v="0"/>
    <s v="true"/>
    <s v="false"/>
    <s v="true"/>
    <n v="2"/>
    <n v="84"/>
    <n v="23"/>
    <n v="4.2"/>
    <n v="66"/>
    <s v="true"/>
    <x v="1"/>
  </r>
  <r>
    <n v="60"/>
    <x v="1"/>
    <x v="0"/>
    <x v="0"/>
    <x v="1"/>
    <x v="0"/>
    <x v="0"/>
    <x v="0"/>
    <x v="1"/>
    <x v="1"/>
    <s v="true"/>
    <s v="false"/>
    <s v="false"/>
    <m/>
    <m/>
    <n v="40"/>
    <m/>
    <m/>
    <s v="true"/>
    <x v="0"/>
  </r>
  <r>
    <n v="48"/>
    <x v="1"/>
    <x v="0"/>
    <x v="0"/>
    <x v="1"/>
    <x v="1"/>
    <x v="0"/>
    <x v="1"/>
    <x v="1"/>
    <x v="0"/>
    <s v="true"/>
    <s v="true"/>
    <s v="true"/>
    <n v="4.8"/>
    <n v="123"/>
    <n v="157"/>
    <n v="2.7"/>
    <n v="31"/>
    <s v="true"/>
    <x v="1"/>
  </r>
  <r>
    <n v="22"/>
    <x v="1"/>
    <x v="1"/>
    <x v="0"/>
    <x v="0"/>
    <x v="0"/>
    <x v="0"/>
    <x v="1"/>
    <x v="0"/>
    <x v="0"/>
    <s v="false"/>
    <s v="false"/>
    <s v="false"/>
    <n v="0.7"/>
    <m/>
    <n v="24"/>
    <m/>
    <m/>
    <s v="true"/>
    <x v="0"/>
  </r>
  <r>
    <n v="27"/>
    <x v="1"/>
    <x v="0"/>
    <x v="0"/>
    <x v="1"/>
    <x v="0"/>
    <x v="0"/>
    <x v="1"/>
    <x v="1"/>
    <x v="0"/>
    <s v="false"/>
    <s v="false"/>
    <s v="false"/>
    <n v="2.4"/>
    <n v="168"/>
    <n v="227"/>
    <n v="3"/>
    <n v="66"/>
    <s v="true"/>
    <x v="0"/>
  </r>
  <r>
    <n v="51"/>
    <x v="1"/>
    <x v="0"/>
    <x v="0"/>
    <x v="1"/>
    <x v="1"/>
    <x v="1"/>
    <x v="1"/>
    <x v="1"/>
    <x v="1"/>
    <s v="true"/>
    <s v="false"/>
    <s v="true"/>
    <n v="4.5999999999999996"/>
    <n v="215"/>
    <n v="269"/>
    <n v="3.9"/>
    <n v="51"/>
    <s v="true"/>
    <x v="0"/>
  </r>
  <r>
    <n v="47"/>
    <x v="1"/>
    <x v="1"/>
    <x v="0"/>
    <x v="1"/>
    <x v="1"/>
    <x v="0"/>
    <x v="1"/>
    <x v="1"/>
    <x v="0"/>
    <s v="false"/>
    <s v="true"/>
    <s v="true"/>
    <n v="1.7"/>
    <n v="86"/>
    <n v="20"/>
    <n v="2.1"/>
    <n v="46"/>
    <s v="true"/>
    <x v="1"/>
  </r>
  <r>
    <n v="25"/>
    <x v="1"/>
    <x v="1"/>
    <x v="0"/>
    <x v="0"/>
    <x v="0"/>
    <x v="0"/>
    <x v="1"/>
    <x v="0"/>
    <x v="0"/>
    <s v="false"/>
    <s v="false"/>
    <s v="false"/>
    <n v="0.6"/>
    <m/>
    <n v="34"/>
    <n v="6.4"/>
    <m/>
    <s v="true"/>
    <x v="0"/>
  </r>
  <r>
    <n v="35"/>
    <x v="1"/>
    <x v="0"/>
    <x v="0"/>
    <x v="1"/>
    <x v="0"/>
    <x v="0"/>
    <x v="2"/>
    <x v="2"/>
    <x v="1"/>
    <s v="true"/>
    <s v="true"/>
    <s v="false"/>
    <n v="1.5"/>
    <n v="138"/>
    <n v="58"/>
    <n v="2.6"/>
    <m/>
    <s v="true"/>
    <x v="1"/>
  </r>
  <r>
    <n v="45"/>
    <x v="1"/>
    <x v="0"/>
    <x v="0"/>
    <x v="1"/>
    <x v="1"/>
    <x v="1"/>
    <x v="1"/>
    <x v="0"/>
    <x v="0"/>
    <s v="false"/>
    <s v="false"/>
    <s v="false"/>
    <n v="2.2999999999999998"/>
    <m/>
    <n v="648"/>
    <m/>
    <m/>
    <s v="true"/>
    <x v="0"/>
  </r>
  <r>
    <n v="54"/>
    <x v="1"/>
    <x v="0"/>
    <x v="1"/>
    <x v="0"/>
    <x v="0"/>
    <x v="0"/>
    <x v="0"/>
    <x v="1"/>
    <x v="0"/>
    <s v="false"/>
    <s v="false"/>
    <s v="false"/>
    <n v="1"/>
    <n v="155"/>
    <n v="225"/>
    <n v="3.6"/>
    <n v="67"/>
    <s v="true"/>
    <x v="0"/>
  </r>
  <r>
    <n v="33"/>
    <x v="1"/>
    <x v="0"/>
    <x v="0"/>
    <x v="1"/>
    <x v="1"/>
    <x v="0"/>
    <x v="1"/>
    <x v="0"/>
    <x v="0"/>
    <s v="false"/>
    <s v="true"/>
    <s v="false"/>
    <n v="0.7"/>
    <n v="63"/>
    <n v="80"/>
    <n v="3"/>
    <n v="31"/>
    <s v="true"/>
    <x v="1"/>
  </r>
  <r>
    <n v="7"/>
    <x v="1"/>
    <x v="1"/>
    <x v="0"/>
    <x v="0"/>
    <x v="0"/>
    <x v="0"/>
    <x v="1"/>
    <x v="1"/>
    <x v="1"/>
    <s v="false"/>
    <s v="false"/>
    <s v="false"/>
    <n v="0.7"/>
    <n v="256"/>
    <n v="25"/>
    <n v="4.2"/>
    <m/>
    <s v="true"/>
    <x v="0"/>
  </r>
  <r>
    <n v="42"/>
    <x v="1"/>
    <x v="0"/>
    <x v="1"/>
    <x v="1"/>
    <x v="1"/>
    <x v="0"/>
    <x v="1"/>
    <x v="0"/>
    <x v="0"/>
    <s v="true"/>
    <s v="false"/>
    <s v="false"/>
    <n v="0.5"/>
    <n v="62"/>
    <n v="68"/>
    <n v="3.8"/>
    <n v="29"/>
    <s v="true"/>
    <x v="1"/>
  </r>
  <r>
    <n v="52"/>
    <x v="1"/>
    <x v="0"/>
    <x v="0"/>
    <x v="1"/>
    <x v="0"/>
    <x v="0"/>
    <x v="1"/>
    <x v="0"/>
    <x v="0"/>
    <s v="false"/>
    <s v="false"/>
    <s v="false"/>
    <n v="1"/>
    <n v="85"/>
    <n v="30"/>
    <n v="4"/>
    <m/>
    <s v="true"/>
    <x v="0"/>
  </r>
  <r>
    <n v="45"/>
    <x v="1"/>
    <x v="0"/>
    <x v="0"/>
    <x v="1"/>
    <x v="0"/>
    <x v="0"/>
    <x v="1"/>
    <x v="1"/>
    <x v="1"/>
    <s v="false"/>
    <s v="false"/>
    <s v="false"/>
    <n v="1.2"/>
    <n v="81"/>
    <n v="65"/>
    <n v="3"/>
    <m/>
    <s v="false"/>
    <x v="0"/>
  </r>
  <r>
    <n v="36"/>
    <x v="1"/>
    <x v="0"/>
    <x v="0"/>
    <x v="0"/>
    <x v="0"/>
    <x v="0"/>
    <x v="1"/>
    <x v="0"/>
    <x v="0"/>
    <s v="false"/>
    <s v="false"/>
    <s v="false"/>
    <n v="1.1000000000000001"/>
    <n v="141"/>
    <n v="75"/>
    <n v="3.3"/>
    <m/>
    <s v="true"/>
    <x v="0"/>
  </r>
  <r>
    <n v="69"/>
    <x v="0"/>
    <x v="1"/>
    <x v="0"/>
    <x v="1"/>
    <x v="0"/>
    <x v="0"/>
    <x v="1"/>
    <x v="0"/>
    <x v="0"/>
    <s v="false"/>
    <s v="false"/>
    <s v="false"/>
    <n v="3.2"/>
    <n v="119"/>
    <n v="136"/>
    <m/>
    <m/>
    <s v="true"/>
    <x v="0"/>
  </r>
  <r>
    <n v="24"/>
    <x v="1"/>
    <x v="0"/>
    <x v="0"/>
    <x v="1"/>
    <x v="0"/>
    <x v="0"/>
    <x v="1"/>
    <x v="0"/>
    <x v="0"/>
    <s v="false"/>
    <s v="false"/>
    <s v="false"/>
    <n v="1"/>
    <m/>
    <n v="34"/>
    <n v="4.0999999999999996"/>
    <m/>
    <s v="true"/>
    <x v="0"/>
  </r>
  <r>
    <n v="50"/>
    <x v="1"/>
    <x v="1"/>
    <x v="0"/>
    <x v="0"/>
    <x v="0"/>
    <x v="0"/>
    <x v="1"/>
    <x v="0"/>
    <x v="0"/>
    <s v="false"/>
    <s v="false"/>
    <s v="false"/>
    <n v="1"/>
    <n v="139"/>
    <n v="81"/>
    <n v="3.9"/>
    <n v="62"/>
    <s v="true"/>
    <x v="0"/>
  </r>
  <r>
    <n v="61"/>
    <x v="1"/>
    <x v="0"/>
    <x v="0"/>
    <x v="1"/>
    <x v="1"/>
    <x v="0"/>
    <x v="2"/>
    <x v="2"/>
    <x v="0"/>
    <s v="true"/>
    <s v="false"/>
    <s v="false"/>
    <m/>
    <m/>
    <m/>
    <m/>
    <m/>
    <s v="true"/>
    <x v="1"/>
  </r>
  <r>
    <n v="54"/>
    <x v="1"/>
    <x v="1"/>
    <x v="0"/>
    <x v="1"/>
    <x v="0"/>
    <x v="0"/>
    <x v="0"/>
    <x v="1"/>
    <x v="0"/>
    <s v="false"/>
    <s v="false"/>
    <s v="false"/>
    <n v="3.2"/>
    <n v="85"/>
    <n v="28"/>
    <n v="3.8"/>
    <m/>
    <s v="true"/>
    <x v="0"/>
  </r>
  <r>
    <n v="56"/>
    <x v="1"/>
    <x v="0"/>
    <x v="0"/>
    <x v="1"/>
    <x v="1"/>
    <x v="1"/>
    <x v="0"/>
    <x v="1"/>
    <x v="0"/>
    <s v="true"/>
    <s v="false"/>
    <s v="false"/>
    <n v="2.9"/>
    <n v="90"/>
    <n v="153"/>
    <n v="4"/>
    <m/>
    <s v="true"/>
    <x v="1"/>
  </r>
  <r>
    <n v="20"/>
    <x v="1"/>
    <x v="0"/>
    <x v="0"/>
    <x v="1"/>
    <x v="1"/>
    <x v="1"/>
    <x v="1"/>
    <x v="0"/>
    <x v="0"/>
    <s v="true"/>
    <s v="true"/>
    <s v="false"/>
    <n v="1"/>
    <n v="160"/>
    <n v="118"/>
    <n v="2.9"/>
    <n v="23"/>
    <s v="true"/>
    <x v="0"/>
  </r>
  <r>
    <n v="42"/>
    <x v="1"/>
    <x v="1"/>
    <x v="0"/>
    <x v="0"/>
    <x v="0"/>
    <x v="0"/>
    <x v="1"/>
    <x v="0"/>
    <x v="1"/>
    <s v="false"/>
    <s v="false"/>
    <s v="false"/>
    <n v="1.5"/>
    <n v="85"/>
    <n v="40"/>
    <m/>
    <m/>
    <s v="true"/>
    <x v="0"/>
  </r>
  <r>
    <n v="37"/>
    <x v="1"/>
    <x v="0"/>
    <x v="0"/>
    <x v="1"/>
    <x v="0"/>
    <x v="0"/>
    <x v="1"/>
    <x v="0"/>
    <x v="0"/>
    <s v="true"/>
    <s v="false"/>
    <s v="false"/>
    <n v="0.9"/>
    <m/>
    <n v="231"/>
    <n v="4.3"/>
    <m/>
    <s v="true"/>
    <x v="0"/>
  </r>
  <r>
    <n v="50"/>
    <x v="1"/>
    <x v="1"/>
    <x v="0"/>
    <x v="0"/>
    <x v="0"/>
    <x v="0"/>
    <x v="1"/>
    <x v="1"/>
    <x v="1"/>
    <s v="true"/>
    <s v="false"/>
    <s v="false"/>
    <n v="1"/>
    <n v="85"/>
    <n v="75"/>
    <n v="4"/>
    <n v="72"/>
    <s v="true"/>
    <x v="0"/>
  </r>
  <r>
    <n v="34"/>
    <x v="0"/>
    <x v="1"/>
    <x v="0"/>
    <x v="1"/>
    <x v="1"/>
    <x v="1"/>
    <x v="0"/>
    <x v="1"/>
    <x v="0"/>
    <s v="true"/>
    <s v="false"/>
    <s v="false"/>
    <n v="0.7"/>
    <n v="70"/>
    <n v="24"/>
    <n v="4.0999999999999996"/>
    <n v="100"/>
    <s v="true"/>
    <x v="0"/>
  </r>
  <r>
    <n v="28"/>
    <x v="1"/>
    <x v="1"/>
    <x v="0"/>
    <x v="1"/>
    <x v="1"/>
    <x v="1"/>
    <x v="2"/>
    <x v="2"/>
    <x v="0"/>
    <s v="true"/>
    <s v="true"/>
    <s v="false"/>
    <n v="1"/>
    <m/>
    <n v="20"/>
    <n v="4"/>
    <m/>
    <s v="true"/>
    <x v="0"/>
  </r>
  <r>
    <n v="50"/>
    <x v="1"/>
    <x v="1"/>
    <x v="0"/>
    <x v="1"/>
    <x v="0"/>
    <x v="0"/>
    <x v="1"/>
    <x v="1"/>
    <x v="1"/>
    <s v="false"/>
    <s v="true"/>
    <s v="true"/>
    <n v="2.8"/>
    <n v="155"/>
    <n v="75"/>
    <n v="2.4"/>
    <n v="32"/>
    <s v="true"/>
    <x v="1"/>
  </r>
  <r>
    <n v="54"/>
    <x v="1"/>
    <x v="0"/>
    <x v="0"/>
    <x v="1"/>
    <x v="1"/>
    <x v="0"/>
    <x v="1"/>
    <x v="0"/>
    <x v="0"/>
    <s v="false"/>
    <s v="true"/>
    <s v="false"/>
    <n v="1.2"/>
    <n v="85"/>
    <n v="92"/>
    <n v="3.1"/>
    <n v="66"/>
    <s v="true"/>
    <x v="0"/>
  </r>
  <r>
    <n v="57"/>
    <x v="1"/>
    <x v="0"/>
    <x v="0"/>
    <x v="1"/>
    <x v="1"/>
    <x v="0"/>
    <x v="1"/>
    <x v="0"/>
    <x v="0"/>
    <s v="true"/>
    <s v="true"/>
    <s v="false"/>
    <n v="4.5999999999999996"/>
    <n v="82"/>
    <n v="55"/>
    <n v="3.3"/>
    <n v="30"/>
    <s v="true"/>
    <x v="1"/>
  </r>
  <r>
    <n v="54"/>
    <x v="1"/>
    <x v="1"/>
    <x v="0"/>
    <x v="0"/>
    <x v="0"/>
    <x v="0"/>
    <x v="1"/>
    <x v="0"/>
    <x v="0"/>
    <s v="false"/>
    <s v="false"/>
    <s v="false"/>
    <n v="1"/>
    <n v="85"/>
    <n v="30"/>
    <n v="4.5"/>
    <n v="0"/>
    <s v="true"/>
    <x v="0"/>
  </r>
  <r>
    <n v="31"/>
    <x v="1"/>
    <x v="0"/>
    <x v="0"/>
    <x v="1"/>
    <x v="1"/>
    <x v="1"/>
    <x v="1"/>
    <x v="0"/>
    <x v="1"/>
    <s v="false"/>
    <s v="false"/>
    <s v="false"/>
    <n v="8"/>
    <m/>
    <n v="101"/>
    <n v="2.2000000000000002"/>
    <m/>
    <s v="true"/>
    <x v="1"/>
  </r>
  <r>
    <n v="48"/>
    <x v="1"/>
    <x v="1"/>
    <x v="0"/>
    <x v="1"/>
    <x v="1"/>
    <x v="1"/>
    <x v="1"/>
    <x v="1"/>
    <x v="0"/>
    <s v="true"/>
    <s v="false"/>
    <s v="false"/>
    <n v="2"/>
    <n v="158"/>
    <n v="278"/>
    <n v="3.8"/>
    <m/>
    <s v="true"/>
    <x v="0"/>
  </r>
  <r>
    <n v="72"/>
    <x v="1"/>
    <x v="1"/>
    <x v="1"/>
    <x v="1"/>
    <x v="0"/>
    <x v="0"/>
    <x v="1"/>
    <x v="1"/>
    <x v="0"/>
    <s v="false"/>
    <s v="false"/>
    <s v="false"/>
    <n v="1"/>
    <n v="115"/>
    <n v="52"/>
    <n v="3.4"/>
    <n v="50"/>
    <s v="true"/>
    <x v="0"/>
  </r>
  <r>
    <n v="38"/>
    <x v="1"/>
    <x v="0"/>
    <x v="0"/>
    <x v="0"/>
    <x v="0"/>
    <x v="0"/>
    <x v="1"/>
    <x v="1"/>
    <x v="0"/>
    <s v="false"/>
    <s v="false"/>
    <s v="false"/>
    <n v="0.4"/>
    <n v="243"/>
    <n v="49"/>
    <n v="3.8"/>
    <n v="90"/>
    <s v="true"/>
    <x v="1"/>
  </r>
  <r>
    <n v="25"/>
    <x v="1"/>
    <x v="1"/>
    <x v="0"/>
    <x v="1"/>
    <x v="0"/>
    <x v="0"/>
    <x v="0"/>
    <x v="1"/>
    <x v="1"/>
    <s v="true"/>
    <s v="true"/>
    <s v="true"/>
    <n v="1.3"/>
    <n v="181"/>
    <n v="181"/>
    <n v="4.5"/>
    <n v="57"/>
    <s v="true"/>
    <x v="0"/>
  </r>
  <r>
    <n v="51"/>
    <x v="1"/>
    <x v="1"/>
    <x v="0"/>
    <x v="0"/>
    <x v="0"/>
    <x v="0"/>
    <x v="0"/>
    <x v="1"/>
    <x v="0"/>
    <s v="true"/>
    <s v="false"/>
    <s v="false"/>
    <n v="0.8"/>
    <m/>
    <n v="33"/>
    <n v="4.5"/>
    <m/>
    <s v="true"/>
    <x v="0"/>
  </r>
  <r>
    <n v="38"/>
    <x v="1"/>
    <x v="1"/>
    <x v="0"/>
    <x v="0"/>
    <x v="0"/>
    <x v="0"/>
    <x v="1"/>
    <x v="1"/>
    <x v="0"/>
    <s v="true"/>
    <s v="false"/>
    <s v="true"/>
    <n v="1.6"/>
    <n v="130"/>
    <n v="140"/>
    <n v="3.5"/>
    <n v="56"/>
    <s v="true"/>
    <x v="0"/>
  </r>
  <r>
    <n v="47"/>
    <x v="1"/>
    <x v="1"/>
    <x v="0"/>
    <x v="1"/>
    <x v="1"/>
    <x v="0"/>
    <x v="1"/>
    <x v="1"/>
    <x v="0"/>
    <s v="true"/>
    <s v="true"/>
    <s v="true"/>
    <n v="1"/>
    <n v="166"/>
    <n v="30"/>
    <n v="2.6"/>
    <n v="31"/>
    <s v="true"/>
    <x v="1"/>
  </r>
  <r>
    <n v="45"/>
    <x v="1"/>
    <x v="1"/>
    <x v="1"/>
    <x v="0"/>
    <x v="0"/>
    <x v="0"/>
    <x v="1"/>
    <x v="0"/>
    <x v="0"/>
    <s v="false"/>
    <s v="false"/>
    <s v="false"/>
    <n v="1.3"/>
    <n v="85"/>
    <n v="44"/>
    <n v="4.2"/>
    <n v="85"/>
    <s v="true"/>
    <x v="0"/>
  </r>
  <r>
    <n v="36"/>
    <x v="1"/>
    <x v="0"/>
    <x v="0"/>
    <x v="1"/>
    <x v="1"/>
    <x v="1"/>
    <x v="0"/>
    <x v="1"/>
    <x v="0"/>
    <s v="true"/>
    <s v="false"/>
    <s v="true"/>
    <n v="1.7"/>
    <n v="295"/>
    <n v="60"/>
    <n v="2.7"/>
    <m/>
    <s v="true"/>
    <x v="0"/>
  </r>
  <r>
    <n v="54"/>
    <x v="1"/>
    <x v="0"/>
    <x v="0"/>
    <x v="1"/>
    <x v="1"/>
    <x v="0"/>
    <x v="2"/>
    <x v="2"/>
    <x v="1"/>
    <s v="false"/>
    <s v="true"/>
    <s v="false"/>
    <n v="3.9"/>
    <n v="120"/>
    <n v="28"/>
    <n v="3.5"/>
    <n v="43"/>
    <s v="true"/>
    <x v="1"/>
  </r>
  <r>
    <n v="51"/>
    <x v="1"/>
    <x v="1"/>
    <x v="0"/>
    <x v="1"/>
    <x v="0"/>
    <x v="0"/>
    <x v="1"/>
    <x v="1"/>
    <x v="1"/>
    <s v="true"/>
    <s v="false"/>
    <s v="true"/>
    <n v="1"/>
    <m/>
    <n v="20"/>
    <n v="3"/>
    <n v="63"/>
    <s v="true"/>
    <x v="0"/>
  </r>
  <r>
    <n v="49"/>
    <x v="1"/>
    <x v="0"/>
    <x v="0"/>
    <x v="1"/>
    <x v="1"/>
    <x v="0"/>
    <x v="1"/>
    <x v="0"/>
    <x v="1"/>
    <s v="true"/>
    <s v="false"/>
    <s v="false"/>
    <n v="1.4"/>
    <n v="85"/>
    <n v="70"/>
    <n v="3.5"/>
    <n v="35"/>
    <s v="true"/>
    <x v="1"/>
  </r>
  <r>
    <n v="45"/>
    <x v="1"/>
    <x v="1"/>
    <x v="0"/>
    <x v="1"/>
    <x v="1"/>
    <x v="1"/>
    <x v="1"/>
    <x v="0"/>
    <x v="0"/>
    <s v="true"/>
    <s v="true"/>
    <s v="false"/>
    <n v="1.9"/>
    <m/>
    <n v="114"/>
    <n v="2.4"/>
    <m/>
    <s v="true"/>
    <x v="1"/>
  </r>
  <r>
    <n v="31"/>
    <x v="1"/>
    <x v="0"/>
    <x v="0"/>
    <x v="1"/>
    <x v="0"/>
    <x v="0"/>
    <x v="1"/>
    <x v="0"/>
    <x v="0"/>
    <s v="false"/>
    <s v="false"/>
    <s v="false"/>
    <n v="1.2"/>
    <n v="75"/>
    <n v="173"/>
    <n v="4.2"/>
    <n v="54"/>
    <s v="true"/>
    <x v="0"/>
  </r>
  <r>
    <n v="41"/>
    <x v="1"/>
    <x v="1"/>
    <x v="0"/>
    <x v="1"/>
    <x v="0"/>
    <x v="0"/>
    <x v="1"/>
    <x v="1"/>
    <x v="1"/>
    <s v="true"/>
    <s v="false"/>
    <s v="true"/>
    <n v="4.2"/>
    <n v="65"/>
    <n v="120"/>
    <n v="3.4"/>
    <m/>
    <s v="true"/>
    <x v="1"/>
  </r>
  <r>
    <n v="70"/>
    <x v="1"/>
    <x v="0"/>
    <x v="0"/>
    <x v="1"/>
    <x v="1"/>
    <x v="1"/>
    <x v="2"/>
    <x v="2"/>
    <x v="2"/>
    <m/>
    <m/>
    <m/>
    <n v="1.7"/>
    <n v="109"/>
    <n v="528"/>
    <n v="2.8"/>
    <n v="35"/>
    <s v="true"/>
    <x v="1"/>
  </r>
  <r>
    <n v="20"/>
    <x v="1"/>
    <x v="0"/>
    <x v="0"/>
    <x v="0"/>
    <x v="0"/>
    <x v="0"/>
    <x v="1"/>
    <x v="2"/>
    <x v="0"/>
    <s v="false"/>
    <s v="false"/>
    <s v="false"/>
    <n v="0.9"/>
    <n v="89"/>
    <n v="152"/>
    <n v="4"/>
    <m/>
    <s v="true"/>
    <x v="0"/>
  </r>
  <r>
    <n v="36"/>
    <x v="1"/>
    <x v="1"/>
    <x v="0"/>
    <x v="0"/>
    <x v="0"/>
    <x v="0"/>
    <x v="1"/>
    <x v="0"/>
    <x v="0"/>
    <s v="false"/>
    <s v="false"/>
    <s v="false"/>
    <n v="0.6"/>
    <n v="120"/>
    <n v="30"/>
    <n v="4"/>
    <m/>
    <s v="true"/>
    <x v="0"/>
  </r>
  <r>
    <n v="46"/>
    <x v="1"/>
    <x v="1"/>
    <x v="0"/>
    <x v="1"/>
    <x v="1"/>
    <x v="1"/>
    <x v="1"/>
    <x v="0"/>
    <x v="0"/>
    <s v="true"/>
    <s v="true"/>
    <s v="true"/>
    <n v="7.6"/>
    <m/>
    <n v="242"/>
    <n v="3.3"/>
    <n v="50"/>
    <s v="true"/>
    <x v="1"/>
  </r>
  <r>
    <n v="44"/>
    <x v="1"/>
    <x v="1"/>
    <x v="0"/>
    <x v="1"/>
    <x v="0"/>
    <x v="0"/>
    <x v="1"/>
    <x v="1"/>
    <x v="0"/>
    <s v="false"/>
    <s v="false"/>
    <s v="false"/>
    <n v="0.9"/>
    <n v="126"/>
    <n v="142"/>
    <n v="4.3"/>
    <m/>
    <s v="true"/>
    <x v="0"/>
  </r>
  <r>
    <n v="61"/>
    <x v="1"/>
    <x v="0"/>
    <x v="0"/>
    <x v="1"/>
    <x v="1"/>
    <x v="0"/>
    <x v="0"/>
    <x v="1"/>
    <x v="0"/>
    <s v="true"/>
    <s v="false"/>
    <s v="false"/>
    <n v="0.8"/>
    <n v="75"/>
    <n v="20"/>
    <n v="4.0999999999999996"/>
    <m/>
    <s v="true"/>
    <x v="0"/>
  </r>
  <r>
    <n v="53"/>
    <x v="0"/>
    <x v="0"/>
    <x v="0"/>
    <x v="1"/>
    <x v="0"/>
    <x v="0"/>
    <x v="1"/>
    <x v="0"/>
    <x v="1"/>
    <s v="true"/>
    <s v="false"/>
    <s v="true"/>
    <n v="1.5"/>
    <n v="81"/>
    <n v="19"/>
    <n v="4.0999999999999996"/>
    <n v="48"/>
    <s v="true"/>
    <x v="0"/>
  </r>
  <r>
    <n v="43"/>
    <x v="1"/>
    <x v="1"/>
    <x v="0"/>
    <x v="1"/>
    <x v="0"/>
    <x v="0"/>
    <x v="1"/>
    <x v="0"/>
    <x v="1"/>
    <s v="true"/>
    <s v="true"/>
    <s v="false"/>
    <n v="1.2"/>
    <n v="100"/>
    <n v="19"/>
    <n v="3.1"/>
    <n v="42"/>
    <s v="tru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83285-85FB-4354-B128-EDB6589A83BC}" name="Tableau croisé dynamique10" cacheId="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pleen_palpable">
  <location ref="I30:K34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Headcount" fld="9" subtotal="count" baseField="0" baseItem="0"/>
    <dataField name="Percentage" fld="9" subtotal="count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6069E-1508-4348-8E11-925544EA84E9}" name="Tableau croisé dynamique9" cacheId="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liver_firm">
  <location ref="E30:G34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Headcount" fld="8" subtotal="count" baseField="0" baseItem="0"/>
    <dataField name="Percentage" fld="8" subtotal="count" showDataAs="percentOfTota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7A877-85FB-4C80-BCDA-676092387763}" name="Tableau croisé dynamique8" cacheId="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liver_big">
  <location ref="A30:C34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liver_big" fld="7" subtotal="count" baseField="0" baseItem="0"/>
    <dataField name="Percentage" fld="7" subtotal="count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9E9B3-96CF-45C3-A293-AF30F3C30880}" name="Tableau croisé dynamique7" cacheId="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anorexia">
  <location ref="I22:K26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Headcount" fld="6" subtotal="count" baseField="0" baseItem="0"/>
    <dataField name="Percentage" fld="6" subtotal="count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7460E-2591-4ED0-9FA3-E6E2609424B1}" name="Tableau croisé dynamique6" cacheId="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malaise">
  <location ref="E22:G26" firstHeaderRow="0" firstDataRow="1" firstDataCol="1"/>
  <pivotFields count="20"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Headcount" fld="5" subtotal="count" baseField="0" baseItem="0"/>
    <dataField name="Percentage" fld="5" subtotal="count" showDataAs="percentOfTota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3278C-064E-478F-A98A-B885E6E40E89}" name="Tableau croisé dynamique5" cacheId="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fatigue">
  <location ref="A22:C26" firstHeaderRow="0" firstDataRow="1" firstDataCol="1"/>
  <pivotFields count="20"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Headcount" fld="4" subtotal="count" baseField="0" baseItem="0"/>
    <dataField name="Percentage" fld="4" subtotal="count" showDataAs="percentOfTotal" baseField="4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54525-9CA9-4F72-BB1A-D315DF7B4FCB}" name="Tableau croisé dynamique4" cacheId="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antivirals">
  <location ref="I14:K17" firstHeaderRow="0" firstDataRow="1" firstDataCol="1"/>
  <pivotFields count="20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Headcount" fld="3" subtotal="count" baseField="0" baseItem="0"/>
    <dataField name="Percentage" fld="3" subtotal="count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373BB-6641-4C05-8539-1F858054C051}" name="Tableau croisé dynamique3" cacheId="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teroid">
  <location ref="E14:G18" firstHeaderRow="0" firstDataRow="1" firstDataCol="1"/>
  <pivotFields count="20"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Headcount" fld="2" subtotal="count" baseField="0" baseItem="0"/>
    <dataField name="Percentage" fld="2" subtotal="count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ADF27-0549-4234-8DAB-B589BAC7C3A1}" name="Tableau croisé dynamique2" cacheId="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ex">
  <location ref="A14:C17" firstHeaderRow="0" firstDataRow="1" firstDataCol="1"/>
  <pivotFields count="20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Headcount" fld="1" subtotal="count" baseField="0" baseItem="0"/>
    <dataField name="Percentage" fld="1" subtotal="count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EBF04-9364-4C1A-8DB0-496F623FFFC9}" name="Tableau croisé dynamique1" cacheId="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class">
  <location ref="B6:D9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Headcount" fld="19" subtotal="count" baseField="0" baseItem="0"/>
    <dataField name="Percentage" fld="19" subtotal="count" showDataAs="percentOfTotal" baseField="1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F66C2-6FE9-4D5A-9718-47EAB0C16A05}" name="Tableau1" displayName="Tableau1" ref="A1:T156" totalsRowShown="0">
  <autoFilter ref="A1:T156" xr:uid="{C9AF66C2-6FE9-4D5A-9718-47EAB0C16A05}"/>
  <tableColumns count="20">
    <tableColumn id="1" xr3:uid="{B59AF7E9-DF8F-495F-98BE-6D08C97EA790}" name="age"/>
    <tableColumn id="2" xr3:uid="{F13EF096-F16B-47AC-B86B-76E70486C8E6}" name="sex"/>
    <tableColumn id="3" xr3:uid="{7A27B4BE-F493-41B1-ACC5-C2DD4B3C67FA}" name="steroid"/>
    <tableColumn id="4" xr3:uid="{B949C804-01D7-4FA7-BF2A-D36E93D7D91A}" name="antivirals"/>
    <tableColumn id="5" xr3:uid="{C665A299-98EA-4250-9E84-DE40640A6748}" name="fatigue"/>
    <tableColumn id="6" xr3:uid="{F9A8D267-5D5B-4F5D-8768-E97F1712AC5C}" name="malaise"/>
    <tableColumn id="7" xr3:uid="{11B52D35-0D3B-4148-9C8F-86000D9B8CF8}" name="anorexia"/>
    <tableColumn id="8" xr3:uid="{24EA1044-0242-4F30-8613-1590F89E5EFE}" name="liver_big"/>
    <tableColumn id="9" xr3:uid="{47044592-036E-40FF-9250-ECE6AD702D96}" name="liver_firm"/>
    <tableColumn id="10" xr3:uid="{FA504DCF-7AFA-46C8-878A-BF2628F390B0}" name="spleen_palpable"/>
    <tableColumn id="11" xr3:uid="{8C7B0AAB-0D1E-487A-A483-FF1D2C4801E8}" name="spiders"/>
    <tableColumn id="12" xr3:uid="{63CDDBBB-C8B3-44C9-BAA5-B0B33B0360EA}" name="ascites"/>
    <tableColumn id="13" xr3:uid="{C530EAAA-F99E-4090-9CCD-2FCF46E973AC}" name="varices"/>
    <tableColumn id="14" xr3:uid="{D7C5DA57-90E1-40DB-B2FD-B27F5C432CDE}" name="bilirubin"/>
    <tableColumn id="15" xr3:uid="{1F590EB1-F72D-4AB2-915B-D7057BAD000A}" name="alk_phosphate"/>
    <tableColumn id="16" xr3:uid="{98EEADC9-C403-41A2-8FBB-1EE20A380BD6}" name="sgot"/>
    <tableColumn id="17" xr3:uid="{75248213-D06D-4963-A34D-919381B48CA8}" name="albumin"/>
    <tableColumn id="18" xr3:uid="{EAD928E8-6219-4C61-8D4A-D0B0A69626BA}" name="protime"/>
    <tableColumn id="19" xr3:uid="{D1679C25-FB1E-483D-8E23-8D23CF8313DD}" name="histology"/>
    <tableColumn id="20" xr3:uid="{1798E269-14B7-4FD1-BB9F-ABDB655E18FC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DCBA-4422-4826-A450-BD1144C60235}">
  <dimension ref="A1:T156"/>
  <sheetViews>
    <sheetView topLeftCell="F132" workbookViewId="0">
      <selection sqref="A1:T156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30</v>
      </c>
      <c r="B2" t="s">
        <v>20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>
        <v>1</v>
      </c>
      <c r="O2">
        <v>85</v>
      </c>
      <c r="P2">
        <v>18</v>
      </c>
      <c r="Q2">
        <v>4</v>
      </c>
      <c r="S2" t="s">
        <v>21</v>
      </c>
      <c r="T2" t="s">
        <v>22</v>
      </c>
    </row>
    <row r="3" spans="1:20" x14ac:dyDescent="0.3">
      <c r="A3">
        <v>50</v>
      </c>
      <c r="B3" t="s">
        <v>23</v>
      </c>
      <c r="C3" t="s">
        <v>21</v>
      </c>
      <c r="D3" t="s">
        <v>21</v>
      </c>
      <c r="E3" t="s">
        <v>24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>
        <v>0.9</v>
      </c>
      <c r="O3">
        <v>135</v>
      </c>
      <c r="P3">
        <v>42</v>
      </c>
      <c r="Q3">
        <v>3.5</v>
      </c>
      <c r="S3" t="s">
        <v>21</v>
      </c>
      <c r="T3" t="s">
        <v>22</v>
      </c>
    </row>
    <row r="4" spans="1:20" x14ac:dyDescent="0.3">
      <c r="A4">
        <v>78</v>
      </c>
      <c r="B4" t="s">
        <v>23</v>
      </c>
      <c r="C4" t="s">
        <v>24</v>
      </c>
      <c r="D4" t="s">
        <v>21</v>
      </c>
      <c r="E4" t="s">
        <v>24</v>
      </c>
      <c r="F4" t="s">
        <v>21</v>
      </c>
      <c r="G4" t="s">
        <v>21</v>
      </c>
      <c r="H4" t="s">
        <v>24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>
        <v>0.7</v>
      </c>
      <c r="O4">
        <v>96</v>
      </c>
      <c r="P4">
        <v>32</v>
      </c>
      <c r="Q4">
        <v>4</v>
      </c>
      <c r="S4" t="s">
        <v>21</v>
      </c>
      <c r="T4" t="s">
        <v>22</v>
      </c>
    </row>
    <row r="5" spans="1:20" x14ac:dyDescent="0.3">
      <c r="A5">
        <v>31</v>
      </c>
      <c r="B5" t="s">
        <v>23</v>
      </c>
      <c r="D5" t="s">
        <v>24</v>
      </c>
      <c r="E5" t="s">
        <v>21</v>
      </c>
      <c r="F5" t="s">
        <v>21</v>
      </c>
      <c r="G5" t="s">
        <v>21</v>
      </c>
      <c r="H5" t="s">
        <v>24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>
        <v>0.7</v>
      </c>
      <c r="O5">
        <v>46</v>
      </c>
      <c r="P5">
        <v>52</v>
      </c>
      <c r="Q5">
        <v>4</v>
      </c>
      <c r="R5">
        <v>80</v>
      </c>
      <c r="S5" t="s">
        <v>21</v>
      </c>
      <c r="T5" t="s">
        <v>22</v>
      </c>
    </row>
    <row r="6" spans="1:20" x14ac:dyDescent="0.3">
      <c r="A6">
        <v>34</v>
      </c>
      <c r="B6" t="s">
        <v>23</v>
      </c>
      <c r="C6" t="s">
        <v>24</v>
      </c>
      <c r="D6" t="s">
        <v>21</v>
      </c>
      <c r="E6" t="s">
        <v>21</v>
      </c>
      <c r="F6" t="s">
        <v>21</v>
      </c>
      <c r="G6" t="s">
        <v>21</v>
      </c>
      <c r="H6" t="s">
        <v>24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>
        <v>1</v>
      </c>
      <c r="P6">
        <v>200</v>
      </c>
      <c r="Q6">
        <v>4</v>
      </c>
      <c r="S6" t="s">
        <v>21</v>
      </c>
      <c r="T6" t="s">
        <v>22</v>
      </c>
    </row>
    <row r="7" spans="1:20" x14ac:dyDescent="0.3">
      <c r="A7">
        <v>34</v>
      </c>
      <c r="B7" t="s">
        <v>23</v>
      </c>
      <c r="C7" t="s">
        <v>24</v>
      </c>
      <c r="D7" t="s">
        <v>21</v>
      </c>
      <c r="E7" t="s">
        <v>21</v>
      </c>
      <c r="F7" t="s">
        <v>21</v>
      </c>
      <c r="G7" t="s">
        <v>21</v>
      </c>
      <c r="H7" t="s">
        <v>24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>
        <v>0.9</v>
      </c>
      <c r="O7">
        <v>95</v>
      </c>
      <c r="P7">
        <v>28</v>
      </c>
      <c r="Q7">
        <v>4</v>
      </c>
      <c r="R7">
        <v>75</v>
      </c>
      <c r="S7" t="s">
        <v>21</v>
      </c>
      <c r="T7" t="s">
        <v>22</v>
      </c>
    </row>
    <row r="8" spans="1:20" x14ac:dyDescent="0.3">
      <c r="A8">
        <v>51</v>
      </c>
      <c r="B8" t="s">
        <v>23</v>
      </c>
      <c r="C8" t="s">
        <v>21</v>
      </c>
      <c r="D8" t="s">
        <v>21</v>
      </c>
      <c r="E8" t="s">
        <v>24</v>
      </c>
      <c r="F8" t="s">
        <v>21</v>
      </c>
      <c r="G8" t="s">
        <v>24</v>
      </c>
      <c r="H8" t="s">
        <v>24</v>
      </c>
      <c r="I8" t="s">
        <v>21</v>
      </c>
      <c r="J8" t="s">
        <v>24</v>
      </c>
      <c r="K8" t="s">
        <v>24</v>
      </c>
      <c r="L8" t="s">
        <v>21</v>
      </c>
      <c r="M8" t="s">
        <v>21</v>
      </c>
      <c r="S8" t="s">
        <v>21</v>
      </c>
      <c r="T8" t="s">
        <v>25</v>
      </c>
    </row>
    <row r="9" spans="1:20" x14ac:dyDescent="0.3">
      <c r="A9">
        <v>23</v>
      </c>
      <c r="B9" t="s">
        <v>23</v>
      </c>
      <c r="C9" t="s">
        <v>24</v>
      </c>
      <c r="D9" t="s">
        <v>21</v>
      </c>
      <c r="E9" t="s">
        <v>21</v>
      </c>
      <c r="F9" t="s">
        <v>21</v>
      </c>
      <c r="G9" t="s">
        <v>21</v>
      </c>
      <c r="H9" t="s">
        <v>24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>
        <v>1</v>
      </c>
      <c r="S9" t="s">
        <v>21</v>
      </c>
      <c r="T9" t="s">
        <v>22</v>
      </c>
    </row>
    <row r="10" spans="1:20" x14ac:dyDescent="0.3">
      <c r="A10">
        <v>39</v>
      </c>
      <c r="B10" t="s">
        <v>23</v>
      </c>
      <c r="C10" t="s">
        <v>24</v>
      </c>
      <c r="D10" t="s">
        <v>21</v>
      </c>
      <c r="E10" t="s">
        <v>24</v>
      </c>
      <c r="F10" t="s">
        <v>21</v>
      </c>
      <c r="G10" t="s">
        <v>21</v>
      </c>
      <c r="H10" t="s">
        <v>24</v>
      </c>
      <c r="I10" t="s">
        <v>24</v>
      </c>
      <c r="J10" t="s">
        <v>21</v>
      </c>
      <c r="K10" t="s">
        <v>21</v>
      </c>
      <c r="L10" t="s">
        <v>21</v>
      </c>
      <c r="M10" t="s">
        <v>21</v>
      </c>
      <c r="N10">
        <v>0.7</v>
      </c>
      <c r="P10">
        <v>48</v>
      </c>
      <c r="Q10">
        <v>4.4000000000000004</v>
      </c>
      <c r="S10" t="s">
        <v>21</v>
      </c>
      <c r="T10" t="s">
        <v>22</v>
      </c>
    </row>
    <row r="11" spans="1:20" x14ac:dyDescent="0.3">
      <c r="A11">
        <v>30</v>
      </c>
      <c r="B11" t="s">
        <v>23</v>
      </c>
      <c r="C11" t="s">
        <v>24</v>
      </c>
      <c r="D11" t="s">
        <v>21</v>
      </c>
      <c r="E11" t="s">
        <v>21</v>
      </c>
      <c r="F11" t="s">
        <v>21</v>
      </c>
      <c r="G11" t="s">
        <v>21</v>
      </c>
      <c r="H11" t="s">
        <v>24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>
        <v>1</v>
      </c>
      <c r="P11">
        <v>120</v>
      </c>
      <c r="Q11">
        <v>3.9</v>
      </c>
      <c r="S11" t="s">
        <v>21</v>
      </c>
      <c r="T11" t="s">
        <v>22</v>
      </c>
    </row>
    <row r="12" spans="1:20" x14ac:dyDescent="0.3">
      <c r="A12">
        <v>39</v>
      </c>
      <c r="B12" t="s">
        <v>23</v>
      </c>
      <c r="C12" t="s">
        <v>21</v>
      </c>
      <c r="D12" t="s">
        <v>24</v>
      </c>
      <c r="E12" t="s">
        <v>21</v>
      </c>
      <c r="F12" t="s">
        <v>21</v>
      </c>
      <c r="G12" t="s">
        <v>21</v>
      </c>
      <c r="H12" t="s">
        <v>21</v>
      </c>
      <c r="I12" t="s">
        <v>24</v>
      </c>
      <c r="J12" t="s">
        <v>21</v>
      </c>
      <c r="K12" t="s">
        <v>21</v>
      </c>
      <c r="L12" t="s">
        <v>21</v>
      </c>
      <c r="M12" t="s">
        <v>21</v>
      </c>
      <c r="N12">
        <v>1.3</v>
      </c>
      <c r="O12">
        <v>78</v>
      </c>
      <c r="P12">
        <v>30</v>
      </c>
      <c r="Q12">
        <v>4.4000000000000004</v>
      </c>
      <c r="R12">
        <v>85</v>
      </c>
      <c r="S12" t="s">
        <v>21</v>
      </c>
      <c r="T12" t="s">
        <v>22</v>
      </c>
    </row>
    <row r="13" spans="1:20" x14ac:dyDescent="0.3">
      <c r="A13">
        <v>32</v>
      </c>
      <c r="B13" t="s">
        <v>23</v>
      </c>
      <c r="C13" t="s">
        <v>24</v>
      </c>
      <c r="D13" t="s">
        <v>24</v>
      </c>
      <c r="E13" t="s">
        <v>24</v>
      </c>
      <c r="F13" t="s">
        <v>21</v>
      </c>
      <c r="G13" t="s">
        <v>21</v>
      </c>
      <c r="H13" t="s">
        <v>24</v>
      </c>
      <c r="I13" t="s">
        <v>24</v>
      </c>
      <c r="J13" t="s">
        <v>21</v>
      </c>
      <c r="K13" t="s">
        <v>24</v>
      </c>
      <c r="L13" t="s">
        <v>21</v>
      </c>
      <c r="M13" t="s">
        <v>21</v>
      </c>
      <c r="N13">
        <v>1</v>
      </c>
      <c r="O13">
        <v>59</v>
      </c>
      <c r="P13">
        <v>249</v>
      </c>
      <c r="Q13">
        <v>3.7</v>
      </c>
      <c r="R13">
        <v>54</v>
      </c>
      <c r="S13" t="s">
        <v>21</v>
      </c>
      <c r="T13" t="s">
        <v>22</v>
      </c>
    </row>
    <row r="14" spans="1:20" x14ac:dyDescent="0.3">
      <c r="A14">
        <v>41</v>
      </c>
      <c r="B14" t="s">
        <v>23</v>
      </c>
      <c r="C14" t="s">
        <v>24</v>
      </c>
      <c r="D14" t="s">
        <v>24</v>
      </c>
      <c r="E14" t="s">
        <v>24</v>
      </c>
      <c r="F14" t="s">
        <v>21</v>
      </c>
      <c r="G14" t="s">
        <v>21</v>
      </c>
      <c r="H14" t="s">
        <v>24</v>
      </c>
      <c r="I14" t="s">
        <v>24</v>
      </c>
      <c r="J14" t="s">
        <v>21</v>
      </c>
      <c r="K14" t="s">
        <v>21</v>
      </c>
      <c r="L14" t="s">
        <v>21</v>
      </c>
      <c r="M14" t="s">
        <v>21</v>
      </c>
      <c r="N14">
        <v>0.9</v>
      </c>
      <c r="O14">
        <v>81</v>
      </c>
      <c r="P14">
        <v>60</v>
      </c>
      <c r="Q14">
        <v>3.9</v>
      </c>
      <c r="R14">
        <v>52</v>
      </c>
      <c r="S14" t="s">
        <v>21</v>
      </c>
      <c r="T14" t="s">
        <v>22</v>
      </c>
    </row>
    <row r="15" spans="1:20" x14ac:dyDescent="0.3">
      <c r="A15">
        <v>30</v>
      </c>
      <c r="B15" t="s">
        <v>23</v>
      </c>
      <c r="C15" t="s">
        <v>24</v>
      </c>
      <c r="D15" t="s">
        <v>21</v>
      </c>
      <c r="E15" t="s">
        <v>24</v>
      </c>
      <c r="F15" t="s">
        <v>21</v>
      </c>
      <c r="G15" t="s">
        <v>21</v>
      </c>
      <c r="H15" t="s">
        <v>24</v>
      </c>
      <c r="I15" t="s">
        <v>24</v>
      </c>
      <c r="J15" t="s">
        <v>21</v>
      </c>
      <c r="K15" t="s">
        <v>21</v>
      </c>
      <c r="L15" t="s">
        <v>21</v>
      </c>
      <c r="M15" t="s">
        <v>21</v>
      </c>
      <c r="N15">
        <v>2.2000000000000002</v>
      </c>
      <c r="O15">
        <v>57</v>
      </c>
      <c r="P15">
        <v>144</v>
      </c>
      <c r="Q15">
        <v>4.9000000000000004</v>
      </c>
      <c r="R15">
        <v>78</v>
      </c>
      <c r="S15" t="s">
        <v>21</v>
      </c>
      <c r="T15" t="s">
        <v>22</v>
      </c>
    </row>
    <row r="16" spans="1:20" x14ac:dyDescent="0.3">
      <c r="A16">
        <v>47</v>
      </c>
      <c r="B16" t="s">
        <v>23</v>
      </c>
      <c r="C16" t="s">
        <v>21</v>
      </c>
      <c r="D16" t="s">
        <v>24</v>
      </c>
      <c r="E16" t="s">
        <v>21</v>
      </c>
      <c r="F16" t="s">
        <v>21</v>
      </c>
      <c r="G16" t="s">
        <v>21</v>
      </c>
      <c r="H16" t="s">
        <v>24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P16">
        <v>60</v>
      </c>
      <c r="S16" t="s">
        <v>21</v>
      </c>
      <c r="T16" t="s">
        <v>22</v>
      </c>
    </row>
    <row r="17" spans="1:20" x14ac:dyDescent="0.3">
      <c r="A17">
        <v>38</v>
      </c>
      <c r="B17" t="s">
        <v>23</v>
      </c>
      <c r="C17" t="s">
        <v>21</v>
      </c>
      <c r="D17" t="s">
        <v>21</v>
      </c>
      <c r="E17" t="s">
        <v>24</v>
      </c>
      <c r="F17" t="s">
        <v>24</v>
      </c>
      <c r="G17" t="s">
        <v>24</v>
      </c>
      <c r="H17" t="s">
        <v>24</v>
      </c>
      <c r="I17" t="s">
        <v>21</v>
      </c>
      <c r="J17" t="s">
        <v>21</v>
      </c>
      <c r="K17" t="s">
        <v>21</v>
      </c>
      <c r="L17" t="s">
        <v>24</v>
      </c>
      <c r="M17" t="s">
        <v>21</v>
      </c>
      <c r="N17">
        <v>2</v>
      </c>
      <c r="O17">
        <v>72</v>
      </c>
      <c r="P17">
        <v>89</v>
      </c>
      <c r="Q17">
        <v>2.9</v>
      </c>
      <c r="R17">
        <v>46</v>
      </c>
      <c r="S17" t="s">
        <v>21</v>
      </c>
      <c r="T17" t="s">
        <v>22</v>
      </c>
    </row>
    <row r="18" spans="1:20" x14ac:dyDescent="0.3">
      <c r="A18">
        <v>66</v>
      </c>
      <c r="B18" t="s">
        <v>23</v>
      </c>
      <c r="C18" t="s">
        <v>24</v>
      </c>
      <c r="D18" t="s">
        <v>21</v>
      </c>
      <c r="E18" t="s">
        <v>24</v>
      </c>
      <c r="F18" t="s">
        <v>21</v>
      </c>
      <c r="G18" t="s">
        <v>21</v>
      </c>
      <c r="H18" t="s">
        <v>24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>
        <v>1.2</v>
      </c>
      <c r="O18">
        <v>102</v>
      </c>
      <c r="P18">
        <v>53</v>
      </c>
      <c r="Q18">
        <v>4.3</v>
      </c>
      <c r="S18" t="s">
        <v>21</v>
      </c>
      <c r="T18" t="s">
        <v>22</v>
      </c>
    </row>
    <row r="19" spans="1:20" x14ac:dyDescent="0.3">
      <c r="A19">
        <v>40</v>
      </c>
      <c r="B19" t="s">
        <v>23</v>
      </c>
      <c r="C19" t="s">
        <v>21</v>
      </c>
      <c r="D19" t="s">
        <v>21</v>
      </c>
      <c r="E19" t="s">
        <v>24</v>
      </c>
      <c r="F19" t="s">
        <v>21</v>
      </c>
      <c r="G19" t="s">
        <v>21</v>
      </c>
      <c r="H19" t="s">
        <v>24</v>
      </c>
      <c r="I19" t="s">
        <v>24</v>
      </c>
      <c r="J19" t="s">
        <v>21</v>
      </c>
      <c r="K19" t="s">
        <v>21</v>
      </c>
      <c r="L19" t="s">
        <v>21</v>
      </c>
      <c r="M19" t="s">
        <v>21</v>
      </c>
      <c r="N19">
        <v>0.6</v>
      </c>
      <c r="O19">
        <v>62</v>
      </c>
      <c r="P19">
        <v>166</v>
      </c>
      <c r="Q19">
        <v>4</v>
      </c>
      <c r="R19">
        <v>63</v>
      </c>
      <c r="S19" t="s">
        <v>21</v>
      </c>
      <c r="T19" t="s">
        <v>22</v>
      </c>
    </row>
    <row r="20" spans="1:20" x14ac:dyDescent="0.3">
      <c r="A20">
        <v>38</v>
      </c>
      <c r="B20" t="s">
        <v>23</v>
      </c>
      <c r="C20" t="s">
        <v>24</v>
      </c>
      <c r="D20" t="s">
        <v>21</v>
      </c>
      <c r="E20" t="s">
        <v>21</v>
      </c>
      <c r="F20" t="s">
        <v>21</v>
      </c>
      <c r="G20" t="s">
        <v>21</v>
      </c>
      <c r="H20" t="s">
        <v>24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>
        <v>0.7</v>
      </c>
      <c r="O20">
        <v>53</v>
      </c>
      <c r="P20">
        <v>42</v>
      </c>
      <c r="Q20">
        <v>4.0999999999999996</v>
      </c>
      <c r="R20">
        <v>85</v>
      </c>
      <c r="S20" t="s">
        <v>24</v>
      </c>
      <c r="T20" t="s">
        <v>22</v>
      </c>
    </row>
    <row r="21" spans="1:20" x14ac:dyDescent="0.3">
      <c r="A21">
        <v>38</v>
      </c>
      <c r="B21" t="s">
        <v>23</v>
      </c>
      <c r="C21" t="s">
        <v>21</v>
      </c>
      <c r="D21" t="s">
        <v>24</v>
      </c>
      <c r="E21" t="s">
        <v>21</v>
      </c>
      <c r="F21" t="s">
        <v>21</v>
      </c>
      <c r="G21" t="s">
        <v>21</v>
      </c>
      <c r="H21" t="s">
        <v>21</v>
      </c>
      <c r="I21" t="s">
        <v>24</v>
      </c>
      <c r="J21" t="s">
        <v>21</v>
      </c>
      <c r="K21" t="s">
        <v>21</v>
      </c>
      <c r="L21" t="s">
        <v>21</v>
      </c>
      <c r="M21" t="s">
        <v>21</v>
      </c>
      <c r="N21">
        <v>0.7</v>
      </c>
      <c r="O21">
        <v>70</v>
      </c>
      <c r="P21">
        <v>28</v>
      </c>
      <c r="Q21">
        <v>4.2</v>
      </c>
      <c r="R21">
        <v>62</v>
      </c>
      <c r="S21" t="s">
        <v>21</v>
      </c>
      <c r="T21" t="s">
        <v>22</v>
      </c>
    </row>
    <row r="22" spans="1:20" x14ac:dyDescent="0.3">
      <c r="A22">
        <v>22</v>
      </c>
      <c r="B22" t="s">
        <v>20</v>
      </c>
      <c r="C22" t="s">
        <v>24</v>
      </c>
      <c r="D22" t="s">
        <v>24</v>
      </c>
      <c r="E22" t="s">
        <v>24</v>
      </c>
      <c r="F22" t="s">
        <v>21</v>
      </c>
      <c r="G22" t="s">
        <v>21</v>
      </c>
      <c r="H22" t="s">
        <v>24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>
        <v>0.9</v>
      </c>
      <c r="O22">
        <v>48</v>
      </c>
      <c r="P22">
        <v>20</v>
      </c>
      <c r="Q22">
        <v>4.2</v>
      </c>
      <c r="R22">
        <v>64</v>
      </c>
      <c r="S22" t="s">
        <v>21</v>
      </c>
      <c r="T22" t="s">
        <v>22</v>
      </c>
    </row>
    <row r="23" spans="1:20" x14ac:dyDescent="0.3">
      <c r="A23">
        <v>27</v>
      </c>
      <c r="B23" t="s">
        <v>23</v>
      </c>
      <c r="C23" t="s">
        <v>24</v>
      </c>
      <c r="D23" t="s">
        <v>21</v>
      </c>
      <c r="E23" t="s">
        <v>24</v>
      </c>
      <c r="F23" t="s">
        <v>24</v>
      </c>
      <c r="G23" t="s">
        <v>24</v>
      </c>
      <c r="H23" t="s">
        <v>21</v>
      </c>
      <c r="I23" t="s">
        <v>24</v>
      </c>
      <c r="J23" t="s">
        <v>24</v>
      </c>
      <c r="K23" t="s">
        <v>24</v>
      </c>
      <c r="L23" t="s">
        <v>21</v>
      </c>
      <c r="M23" t="s">
        <v>21</v>
      </c>
      <c r="N23">
        <v>1.2</v>
      </c>
      <c r="O23">
        <v>133</v>
      </c>
      <c r="P23">
        <v>98</v>
      </c>
      <c r="Q23">
        <v>4.0999999999999996</v>
      </c>
      <c r="R23">
        <v>39</v>
      </c>
      <c r="S23" t="s">
        <v>21</v>
      </c>
      <c r="T23" t="s">
        <v>22</v>
      </c>
    </row>
    <row r="24" spans="1:20" x14ac:dyDescent="0.3">
      <c r="A24">
        <v>31</v>
      </c>
      <c r="B24" t="s">
        <v>23</v>
      </c>
      <c r="C24" t="s">
        <v>24</v>
      </c>
      <c r="D24" t="s">
        <v>21</v>
      </c>
      <c r="E24" t="s">
        <v>21</v>
      </c>
      <c r="F24" t="s">
        <v>21</v>
      </c>
      <c r="G24" t="s">
        <v>21</v>
      </c>
      <c r="H24" t="s">
        <v>24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>
        <v>1</v>
      </c>
      <c r="O24">
        <v>85</v>
      </c>
      <c r="P24">
        <v>20</v>
      </c>
      <c r="Q24">
        <v>4</v>
      </c>
      <c r="R24">
        <v>100</v>
      </c>
      <c r="S24" t="s">
        <v>21</v>
      </c>
      <c r="T24" t="s">
        <v>22</v>
      </c>
    </row>
    <row r="25" spans="1:20" x14ac:dyDescent="0.3">
      <c r="A25">
        <v>42</v>
      </c>
      <c r="B25" t="s">
        <v>23</v>
      </c>
      <c r="C25" t="s">
        <v>24</v>
      </c>
      <c r="D25" t="s">
        <v>21</v>
      </c>
      <c r="E25" t="s">
        <v>21</v>
      </c>
      <c r="F25" t="s">
        <v>21</v>
      </c>
      <c r="G25" t="s">
        <v>21</v>
      </c>
      <c r="H25" t="s">
        <v>24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>
        <v>0.9</v>
      </c>
      <c r="O25">
        <v>60</v>
      </c>
      <c r="P25">
        <v>63</v>
      </c>
      <c r="Q25">
        <v>4.7</v>
      </c>
      <c r="R25">
        <v>47</v>
      </c>
      <c r="S25" t="s">
        <v>21</v>
      </c>
      <c r="T25" t="s">
        <v>22</v>
      </c>
    </row>
    <row r="26" spans="1:20" x14ac:dyDescent="0.3">
      <c r="A26">
        <v>25</v>
      </c>
      <c r="B26" t="s">
        <v>20</v>
      </c>
      <c r="C26" t="s">
        <v>21</v>
      </c>
      <c r="D26" t="s">
        <v>24</v>
      </c>
      <c r="E26" t="s">
        <v>21</v>
      </c>
      <c r="F26" t="s">
        <v>21</v>
      </c>
      <c r="G26" t="s">
        <v>21</v>
      </c>
      <c r="H26" t="s">
        <v>24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>
        <v>0.4</v>
      </c>
      <c r="O26">
        <v>45</v>
      </c>
      <c r="P26">
        <v>18</v>
      </c>
      <c r="Q26">
        <v>4.3</v>
      </c>
      <c r="R26">
        <v>70</v>
      </c>
      <c r="S26" t="s">
        <v>21</v>
      </c>
      <c r="T26" t="s">
        <v>22</v>
      </c>
    </row>
    <row r="27" spans="1:20" x14ac:dyDescent="0.3">
      <c r="A27">
        <v>27</v>
      </c>
      <c r="B27" t="s">
        <v>23</v>
      </c>
      <c r="C27" t="s">
        <v>21</v>
      </c>
      <c r="D27" t="s">
        <v>21</v>
      </c>
      <c r="E27" t="s">
        <v>24</v>
      </c>
      <c r="F27" t="s">
        <v>24</v>
      </c>
      <c r="G27" t="s">
        <v>21</v>
      </c>
      <c r="H27" t="s">
        <v>24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>
        <v>0.8</v>
      </c>
      <c r="O27">
        <v>95</v>
      </c>
      <c r="P27">
        <v>46</v>
      </c>
      <c r="Q27">
        <v>3.8</v>
      </c>
      <c r="R27">
        <v>100</v>
      </c>
      <c r="S27" t="s">
        <v>21</v>
      </c>
      <c r="T27" t="s">
        <v>22</v>
      </c>
    </row>
    <row r="28" spans="1:20" x14ac:dyDescent="0.3">
      <c r="A28">
        <v>49</v>
      </c>
      <c r="B28" t="s">
        <v>23</v>
      </c>
      <c r="C28" t="s">
        <v>21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21</v>
      </c>
      <c r="K28" t="s">
        <v>24</v>
      </c>
      <c r="L28" t="s">
        <v>21</v>
      </c>
      <c r="M28" t="s">
        <v>21</v>
      </c>
      <c r="N28">
        <v>0.6</v>
      </c>
      <c r="O28">
        <v>85</v>
      </c>
      <c r="P28">
        <v>48</v>
      </c>
      <c r="Q28">
        <v>3.7</v>
      </c>
      <c r="S28" t="s">
        <v>21</v>
      </c>
      <c r="T28" t="s">
        <v>22</v>
      </c>
    </row>
    <row r="29" spans="1:20" x14ac:dyDescent="0.3">
      <c r="A29">
        <v>58</v>
      </c>
      <c r="B29" t="s">
        <v>20</v>
      </c>
      <c r="C29" t="s">
        <v>24</v>
      </c>
      <c r="D29" t="s">
        <v>21</v>
      </c>
      <c r="E29" t="s">
        <v>24</v>
      </c>
      <c r="F29" t="s">
        <v>21</v>
      </c>
      <c r="G29" t="s">
        <v>21</v>
      </c>
      <c r="H29" t="s">
        <v>24</v>
      </c>
      <c r="I29" t="s">
        <v>24</v>
      </c>
      <c r="J29" t="s">
        <v>21</v>
      </c>
      <c r="K29" t="s">
        <v>24</v>
      </c>
      <c r="L29" t="s">
        <v>21</v>
      </c>
      <c r="M29" t="s">
        <v>21</v>
      </c>
      <c r="N29">
        <v>1.4</v>
      </c>
      <c r="O29">
        <v>175</v>
      </c>
      <c r="P29">
        <v>55</v>
      </c>
      <c r="Q29">
        <v>2.7</v>
      </c>
      <c r="R29">
        <v>36</v>
      </c>
      <c r="S29" t="s">
        <v>21</v>
      </c>
      <c r="T29" t="s">
        <v>22</v>
      </c>
    </row>
    <row r="30" spans="1:20" x14ac:dyDescent="0.3">
      <c r="A30">
        <v>61</v>
      </c>
      <c r="B30" t="s">
        <v>23</v>
      </c>
      <c r="C30" t="s">
        <v>21</v>
      </c>
      <c r="D30" t="s">
        <v>21</v>
      </c>
      <c r="E30" t="s">
        <v>24</v>
      </c>
      <c r="F30" t="s">
        <v>21</v>
      </c>
      <c r="G30" t="s">
        <v>21</v>
      </c>
      <c r="H30" t="s">
        <v>21</v>
      </c>
      <c r="I30" t="s">
        <v>24</v>
      </c>
      <c r="J30" t="s">
        <v>21</v>
      </c>
      <c r="K30" t="s">
        <v>21</v>
      </c>
      <c r="L30" t="s">
        <v>21</v>
      </c>
      <c r="M30" t="s">
        <v>21</v>
      </c>
      <c r="N30">
        <v>1.3</v>
      </c>
      <c r="O30">
        <v>78</v>
      </c>
      <c r="P30">
        <v>25</v>
      </c>
      <c r="Q30">
        <v>3.8</v>
      </c>
      <c r="R30">
        <v>100</v>
      </c>
      <c r="S30" t="s">
        <v>21</v>
      </c>
      <c r="T30" t="s">
        <v>22</v>
      </c>
    </row>
    <row r="31" spans="1:20" x14ac:dyDescent="0.3">
      <c r="A31">
        <v>51</v>
      </c>
      <c r="B31" t="s">
        <v>23</v>
      </c>
      <c r="C31" t="s">
        <v>21</v>
      </c>
      <c r="D31" t="s">
        <v>24</v>
      </c>
      <c r="E31" t="s">
        <v>24</v>
      </c>
      <c r="F31" t="s">
        <v>24</v>
      </c>
      <c r="G31" t="s">
        <v>21</v>
      </c>
      <c r="H31" t="s">
        <v>24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>
        <v>1</v>
      </c>
      <c r="O31">
        <v>78</v>
      </c>
      <c r="P31">
        <v>58</v>
      </c>
      <c r="Q31">
        <v>4.5999999999999996</v>
      </c>
      <c r="R31">
        <v>52</v>
      </c>
      <c r="S31" t="s">
        <v>21</v>
      </c>
      <c r="T31" t="s">
        <v>22</v>
      </c>
    </row>
    <row r="32" spans="1:20" x14ac:dyDescent="0.3">
      <c r="A32">
        <v>39</v>
      </c>
      <c r="B32" t="s">
        <v>23</v>
      </c>
      <c r="C32" t="s">
        <v>21</v>
      </c>
      <c r="D32" t="s">
        <v>24</v>
      </c>
      <c r="E32" t="s">
        <v>24</v>
      </c>
      <c r="F32" t="s">
        <v>24</v>
      </c>
      <c r="G32" t="s">
        <v>21</v>
      </c>
      <c r="H32" t="s">
        <v>24</v>
      </c>
      <c r="I32" t="s">
        <v>24</v>
      </c>
      <c r="J32" t="s">
        <v>21</v>
      </c>
      <c r="K32" t="s">
        <v>21</v>
      </c>
      <c r="L32" t="s">
        <v>21</v>
      </c>
      <c r="M32" t="s">
        <v>21</v>
      </c>
      <c r="N32">
        <v>2.2999999999999998</v>
      </c>
      <c r="O32">
        <v>280</v>
      </c>
      <c r="P32">
        <v>98</v>
      </c>
      <c r="Q32">
        <v>3.8</v>
      </c>
      <c r="R32">
        <v>40</v>
      </c>
      <c r="S32" t="s">
        <v>21</v>
      </c>
      <c r="T32" t="s">
        <v>25</v>
      </c>
    </row>
    <row r="33" spans="1:20" x14ac:dyDescent="0.3">
      <c r="A33">
        <v>62</v>
      </c>
      <c r="B33" t="s">
        <v>23</v>
      </c>
      <c r="C33" t="s">
        <v>21</v>
      </c>
      <c r="D33" t="s">
        <v>21</v>
      </c>
      <c r="E33" t="s">
        <v>24</v>
      </c>
      <c r="F33" t="s">
        <v>24</v>
      </c>
      <c r="G33" t="s">
        <v>21</v>
      </c>
      <c r="J33" t="s">
        <v>21</v>
      </c>
      <c r="K33" t="s">
        <v>21</v>
      </c>
      <c r="L33" t="s">
        <v>21</v>
      </c>
      <c r="M33" t="s">
        <v>21</v>
      </c>
      <c r="N33">
        <v>1</v>
      </c>
      <c r="P33">
        <v>60</v>
      </c>
      <c r="S33" t="s">
        <v>21</v>
      </c>
      <c r="T33" t="s">
        <v>25</v>
      </c>
    </row>
    <row r="34" spans="1:20" x14ac:dyDescent="0.3">
      <c r="A34">
        <v>41</v>
      </c>
      <c r="B34" t="s">
        <v>20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>
        <v>0.7</v>
      </c>
      <c r="O34">
        <v>81</v>
      </c>
      <c r="P34">
        <v>53</v>
      </c>
      <c r="Q34">
        <v>5</v>
      </c>
      <c r="R34">
        <v>74</v>
      </c>
      <c r="S34" t="s">
        <v>21</v>
      </c>
      <c r="T34" t="s">
        <v>22</v>
      </c>
    </row>
    <row r="35" spans="1:20" x14ac:dyDescent="0.3">
      <c r="A35">
        <v>26</v>
      </c>
      <c r="B35" t="s">
        <v>20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24</v>
      </c>
      <c r="I35" t="s">
        <v>24</v>
      </c>
      <c r="J35" t="s">
        <v>21</v>
      </c>
      <c r="K35" t="s">
        <v>21</v>
      </c>
      <c r="L35" t="s">
        <v>21</v>
      </c>
      <c r="M35" t="s">
        <v>21</v>
      </c>
      <c r="N35">
        <v>0.5</v>
      </c>
      <c r="O35">
        <v>135</v>
      </c>
      <c r="P35">
        <v>29</v>
      </c>
      <c r="Q35">
        <v>3.8</v>
      </c>
      <c r="R35">
        <v>60</v>
      </c>
      <c r="S35" t="s">
        <v>21</v>
      </c>
      <c r="T35" t="s">
        <v>22</v>
      </c>
    </row>
    <row r="36" spans="1:20" x14ac:dyDescent="0.3">
      <c r="A36">
        <v>35</v>
      </c>
      <c r="B36" t="s">
        <v>23</v>
      </c>
      <c r="C36" t="s">
        <v>24</v>
      </c>
      <c r="D36" t="s">
        <v>21</v>
      </c>
      <c r="E36" t="s">
        <v>24</v>
      </c>
      <c r="F36" t="s">
        <v>21</v>
      </c>
      <c r="G36" t="s">
        <v>21</v>
      </c>
      <c r="H36" t="s">
        <v>24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>
        <v>0.9</v>
      </c>
      <c r="O36">
        <v>58</v>
      </c>
      <c r="P36">
        <v>92</v>
      </c>
      <c r="Q36">
        <v>4.3</v>
      </c>
      <c r="R36">
        <v>73</v>
      </c>
      <c r="S36" t="s">
        <v>21</v>
      </c>
      <c r="T36" t="s">
        <v>22</v>
      </c>
    </row>
    <row r="37" spans="1:20" x14ac:dyDescent="0.3">
      <c r="A37">
        <v>37</v>
      </c>
      <c r="B37" t="s">
        <v>23</v>
      </c>
      <c r="C37" t="s">
        <v>24</v>
      </c>
      <c r="D37" t="s">
        <v>21</v>
      </c>
      <c r="E37" t="s">
        <v>24</v>
      </c>
      <c r="F37" t="s">
        <v>21</v>
      </c>
      <c r="G37" t="s">
        <v>21</v>
      </c>
      <c r="H37" t="s">
        <v>24</v>
      </c>
      <c r="I37" t="s">
        <v>21</v>
      </c>
      <c r="J37" t="s">
        <v>21</v>
      </c>
      <c r="K37" t="s">
        <v>24</v>
      </c>
      <c r="L37" t="s">
        <v>21</v>
      </c>
      <c r="M37" t="s">
        <v>21</v>
      </c>
      <c r="N37">
        <v>0.6</v>
      </c>
      <c r="O37">
        <v>67</v>
      </c>
      <c r="P37">
        <v>28</v>
      </c>
      <c r="Q37">
        <v>4.2</v>
      </c>
      <c r="S37" t="s">
        <v>21</v>
      </c>
      <c r="T37" t="s">
        <v>25</v>
      </c>
    </row>
    <row r="38" spans="1:20" x14ac:dyDescent="0.3">
      <c r="A38">
        <v>23</v>
      </c>
      <c r="B38" t="s">
        <v>23</v>
      </c>
      <c r="C38" t="s">
        <v>24</v>
      </c>
      <c r="D38" t="s">
        <v>21</v>
      </c>
      <c r="E38" t="s">
        <v>24</v>
      </c>
      <c r="F38" t="s">
        <v>24</v>
      </c>
      <c r="G38" t="s">
        <v>24</v>
      </c>
      <c r="H38" t="s">
        <v>24</v>
      </c>
      <c r="I38" t="s">
        <v>21</v>
      </c>
      <c r="J38" t="s">
        <v>24</v>
      </c>
      <c r="K38" t="s">
        <v>21</v>
      </c>
      <c r="L38" t="s">
        <v>21</v>
      </c>
      <c r="M38" t="s">
        <v>21</v>
      </c>
      <c r="N38">
        <v>1.3</v>
      </c>
      <c r="O38">
        <v>194</v>
      </c>
      <c r="P38">
        <v>150</v>
      </c>
      <c r="Q38">
        <v>4.0999999999999996</v>
      </c>
      <c r="R38">
        <v>90</v>
      </c>
      <c r="S38" t="s">
        <v>21</v>
      </c>
      <c r="T38" t="s">
        <v>22</v>
      </c>
    </row>
    <row r="39" spans="1:20" x14ac:dyDescent="0.3">
      <c r="A39">
        <v>20</v>
      </c>
      <c r="B39" t="s">
        <v>20</v>
      </c>
      <c r="C39" t="s">
        <v>21</v>
      </c>
      <c r="D39" t="s">
        <v>21</v>
      </c>
      <c r="E39" t="s">
        <v>24</v>
      </c>
      <c r="F39" t="s">
        <v>24</v>
      </c>
      <c r="G39" t="s">
        <v>24</v>
      </c>
      <c r="H39" t="s">
        <v>21</v>
      </c>
      <c r="I39" t="s">
        <v>24</v>
      </c>
      <c r="J39" t="s">
        <v>24</v>
      </c>
      <c r="K39" t="s">
        <v>24</v>
      </c>
      <c r="L39" t="s">
        <v>21</v>
      </c>
      <c r="M39" t="s">
        <v>21</v>
      </c>
      <c r="N39">
        <v>2.2999999999999998</v>
      </c>
      <c r="O39">
        <v>150</v>
      </c>
      <c r="P39">
        <v>68</v>
      </c>
      <c r="Q39">
        <v>3.9</v>
      </c>
      <c r="S39" t="s">
        <v>21</v>
      </c>
      <c r="T39" t="s">
        <v>22</v>
      </c>
    </row>
    <row r="40" spans="1:20" x14ac:dyDescent="0.3">
      <c r="A40">
        <v>42</v>
      </c>
      <c r="B40" t="s">
        <v>23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24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>
        <v>1</v>
      </c>
      <c r="O40">
        <v>85</v>
      </c>
      <c r="P40">
        <v>14</v>
      </c>
      <c r="Q40">
        <v>4</v>
      </c>
      <c r="R40">
        <v>100</v>
      </c>
      <c r="S40" t="s">
        <v>21</v>
      </c>
      <c r="T40" t="s">
        <v>22</v>
      </c>
    </row>
    <row r="41" spans="1:20" x14ac:dyDescent="0.3">
      <c r="A41">
        <v>65</v>
      </c>
      <c r="B41" t="s">
        <v>23</v>
      </c>
      <c r="C41" t="s">
        <v>24</v>
      </c>
      <c r="D41" t="s">
        <v>21</v>
      </c>
      <c r="E41" t="s">
        <v>24</v>
      </c>
      <c r="F41" t="s">
        <v>24</v>
      </c>
      <c r="G41" t="s">
        <v>21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21</v>
      </c>
      <c r="N41">
        <v>0.3</v>
      </c>
      <c r="O41">
        <v>180</v>
      </c>
      <c r="P41">
        <v>53</v>
      </c>
      <c r="Q41">
        <v>2.9</v>
      </c>
      <c r="R41">
        <v>74</v>
      </c>
      <c r="S41" t="s">
        <v>24</v>
      </c>
      <c r="T41" t="s">
        <v>22</v>
      </c>
    </row>
    <row r="42" spans="1:20" x14ac:dyDescent="0.3">
      <c r="A42">
        <v>52</v>
      </c>
      <c r="B42" t="s">
        <v>23</v>
      </c>
      <c r="C42" t="s">
        <v>21</v>
      </c>
      <c r="D42" t="s">
        <v>24</v>
      </c>
      <c r="E42" t="s">
        <v>21</v>
      </c>
      <c r="F42" t="s">
        <v>21</v>
      </c>
      <c r="G42" t="s">
        <v>21</v>
      </c>
      <c r="H42" t="s">
        <v>24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>
        <v>0.7</v>
      </c>
      <c r="O42">
        <v>75</v>
      </c>
      <c r="P42">
        <v>55</v>
      </c>
      <c r="Q42">
        <v>4</v>
      </c>
      <c r="R42">
        <v>21</v>
      </c>
      <c r="S42" t="s">
        <v>21</v>
      </c>
      <c r="T42" t="s">
        <v>22</v>
      </c>
    </row>
    <row r="43" spans="1:20" x14ac:dyDescent="0.3">
      <c r="A43">
        <v>23</v>
      </c>
      <c r="B43" t="s">
        <v>23</v>
      </c>
      <c r="C43" t="s">
        <v>24</v>
      </c>
      <c r="D43" t="s">
        <v>21</v>
      </c>
      <c r="E43" t="s">
        <v>21</v>
      </c>
      <c r="F43" t="s">
        <v>21</v>
      </c>
      <c r="G43" t="s">
        <v>21</v>
      </c>
      <c r="N43">
        <v>4.5999999999999996</v>
      </c>
      <c r="O43">
        <v>56</v>
      </c>
      <c r="P43">
        <v>16</v>
      </c>
      <c r="Q43">
        <v>4.5999999999999996</v>
      </c>
      <c r="S43" t="s">
        <v>21</v>
      </c>
      <c r="T43" t="s">
        <v>22</v>
      </c>
    </row>
    <row r="44" spans="1:20" x14ac:dyDescent="0.3">
      <c r="A44">
        <v>33</v>
      </c>
      <c r="B44" t="s">
        <v>23</v>
      </c>
      <c r="C44" t="s">
        <v>24</v>
      </c>
      <c r="D44" t="s">
        <v>21</v>
      </c>
      <c r="E44" t="s">
        <v>21</v>
      </c>
      <c r="F44" t="s">
        <v>21</v>
      </c>
      <c r="G44" t="s">
        <v>21</v>
      </c>
      <c r="H44" t="s">
        <v>24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>
        <v>1</v>
      </c>
      <c r="O44">
        <v>46</v>
      </c>
      <c r="P44">
        <v>90</v>
      </c>
      <c r="Q44">
        <v>4.4000000000000004</v>
      </c>
      <c r="R44">
        <v>60</v>
      </c>
      <c r="S44" t="s">
        <v>21</v>
      </c>
      <c r="T44" t="s">
        <v>22</v>
      </c>
    </row>
    <row r="45" spans="1:20" x14ac:dyDescent="0.3">
      <c r="A45">
        <v>56</v>
      </c>
      <c r="B45" t="s">
        <v>23</v>
      </c>
      <c r="C45" t="s">
        <v>21</v>
      </c>
      <c r="D45" t="s">
        <v>21</v>
      </c>
      <c r="E45" t="s">
        <v>24</v>
      </c>
      <c r="F45" t="s">
        <v>21</v>
      </c>
      <c r="G45" t="s">
        <v>21</v>
      </c>
      <c r="H45" t="s">
        <v>24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>
        <v>0.7</v>
      </c>
      <c r="O45">
        <v>71</v>
      </c>
      <c r="P45">
        <v>18</v>
      </c>
      <c r="Q45">
        <v>4.4000000000000004</v>
      </c>
      <c r="R45">
        <v>100</v>
      </c>
      <c r="S45" t="s">
        <v>21</v>
      </c>
      <c r="T45" t="s">
        <v>22</v>
      </c>
    </row>
    <row r="46" spans="1:20" x14ac:dyDescent="0.3">
      <c r="A46">
        <v>34</v>
      </c>
      <c r="B46" t="s">
        <v>23</v>
      </c>
      <c r="C46" t="s">
        <v>24</v>
      </c>
      <c r="D46" t="s">
        <v>21</v>
      </c>
      <c r="E46" t="s">
        <v>21</v>
      </c>
      <c r="F46" t="s">
        <v>21</v>
      </c>
      <c r="G46" t="s">
        <v>21</v>
      </c>
      <c r="H46" t="s">
        <v>24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P46">
        <v>86</v>
      </c>
      <c r="S46" t="s">
        <v>21</v>
      </c>
      <c r="T46" t="s">
        <v>22</v>
      </c>
    </row>
    <row r="47" spans="1:20" x14ac:dyDescent="0.3">
      <c r="A47">
        <v>28</v>
      </c>
      <c r="B47" t="s">
        <v>23</v>
      </c>
      <c r="C47" t="s">
        <v>24</v>
      </c>
      <c r="D47" t="s">
        <v>21</v>
      </c>
      <c r="E47" t="s">
        <v>24</v>
      </c>
      <c r="F47" t="s">
        <v>24</v>
      </c>
      <c r="G47" t="s">
        <v>21</v>
      </c>
      <c r="H47" t="s">
        <v>24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>
        <v>0.7</v>
      </c>
      <c r="O47">
        <v>74</v>
      </c>
      <c r="P47">
        <v>110</v>
      </c>
      <c r="Q47">
        <v>4.4000000000000004</v>
      </c>
      <c r="S47" t="s">
        <v>21</v>
      </c>
      <c r="T47" t="s">
        <v>22</v>
      </c>
    </row>
    <row r="48" spans="1:20" x14ac:dyDescent="0.3">
      <c r="A48">
        <v>37</v>
      </c>
      <c r="B48" t="s">
        <v>23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24</v>
      </c>
      <c r="I48" t="s">
        <v>24</v>
      </c>
      <c r="J48" t="s">
        <v>21</v>
      </c>
      <c r="K48" t="s">
        <v>24</v>
      </c>
      <c r="L48" t="s">
        <v>21</v>
      </c>
      <c r="M48" t="s">
        <v>21</v>
      </c>
      <c r="N48">
        <v>0.6</v>
      </c>
      <c r="O48">
        <v>80</v>
      </c>
      <c r="P48">
        <v>80</v>
      </c>
      <c r="Q48">
        <v>3.8</v>
      </c>
      <c r="S48" t="s">
        <v>21</v>
      </c>
      <c r="T48" t="s">
        <v>22</v>
      </c>
    </row>
    <row r="49" spans="1:20" x14ac:dyDescent="0.3">
      <c r="A49">
        <v>28</v>
      </c>
      <c r="B49" t="s">
        <v>20</v>
      </c>
      <c r="C49" t="s">
        <v>24</v>
      </c>
      <c r="D49" t="s">
        <v>21</v>
      </c>
      <c r="E49" t="s">
        <v>24</v>
      </c>
      <c r="F49" t="s">
        <v>24</v>
      </c>
      <c r="G49" t="s">
        <v>21</v>
      </c>
      <c r="H49" t="s">
        <v>24</v>
      </c>
      <c r="I49" t="s">
        <v>24</v>
      </c>
      <c r="J49" t="s">
        <v>21</v>
      </c>
      <c r="K49" t="s">
        <v>21</v>
      </c>
      <c r="L49" t="s">
        <v>21</v>
      </c>
      <c r="M49" t="s">
        <v>21</v>
      </c>
      <c r="N49">
        <v>1.8</v>
      </c>
      <c r="O49">
        <v>191</v>
      </c>
      <c r="P49">
        <v>420</v>
      </c>
      <c r="Q49">
        <v>3.3</v>
      </c>
      <c r="R49">
        <v>46</v>
      </c>
      <c r="S49" t="s">
        <v>21</v>
      </c>
      <c r="T49" t="s">
        <v>22</v>
      </c>
    </row>
    <row r="50" spans="1:20" x14ac:dyDescent="0.3">
      <c r="A50">
        <v>36</v>
      </c>
      <c r="B50" t="s">
        <v>23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24</v>
      </c>
      <c r="I50" t="s">
        <v>21</v>
      </c>
      <c r="J50" t="s">
        <v>24</v>
      </c>
      <c r="K50" t="s">
        <v>21</v>
      </c>
      <c r="L50" t="s">
        <v>21</v>
      </c>
      <c r="M50" t="s">
        <v>21</v>
      </c>
      <c r="N50">
        <v>0.8</v>
      </c>
      <c r="O50">
        <v>85</v>
      </c>
      <c r="P50">
        <v>44</v>
      </c>
      <c r="Q50">
        <v>4.2</v>
      </c>
      <c r="R50">
        <v>85</v>
      </c>
      <c r="S50" t="s">
        <v>21</v>
      </c>
      <c r="T50" t="s">
        <v>22</v>
      </c>
    </row>
    <row r="51" spans="1:20" x14ac:dyDescent="0.3">
      <c r="A51">
        <v>38</v>
      </c>
      <c r="B51" t="s">
        <v>23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21</v>
      </c>
      <c r="J51" t="s">
        <v>21</v>
      </c>
      <c r="K51" t="s">
        <v>24</v>
      </c>
      <c r="L51" t="s">
        <v>21</v>
      </c>
      <c r="M51" t="s">
        <v>21</v>
      </c>
      <c r="N51">
        <v>0.7</v>
      </c>
      <c r="O51">
        <v>125</v>
      </c>
      <c r="P51">
        <v>65</v>
      </c>
      <c r="Q51">
        <v>4.2</v>
      </c>
      <c r="R51">
        <v>77</v>
      </c>
      <c r="S51" t="s">
        <v>21</v>
      </c>
      <c r="T51" t="s">
        <v>22</v>
      </c>
    </row>
    <row r="52" spans="1:20" x14ac:dyDescent="0.3">
      <c r="A52">
        <v>39</v>
      </c>
      <c r="B52" t="s">
        <v>23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24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>
        <v>0.9</v>
      </c>
      <c r="O52">
        <v>85</v>
      </c>
      <c r="P52">
        <v>60</v>
      </c>
      <c r="Q52">
        <v>4</v>
      </c>
      <c r="S52" t="s">
        <v>21</v>
      </c>
      <c r="T52" t="s">
        <v>22</v>
      </c>
    </row>
    <row r="53" spans="1:20" x14ac:dyDescent="0.3">
      <c r="A53">
        <v>39</v>
      </c>
      <c r="B53" t="s">
        <v>23</v>
      </c>
      <c r="C53" t="s">
        <v>24</v>
      </c>
      <c r="D53" t="s">
        <v>21</v>
      </c>
      <c r="E53" t="s">
        <v>21</v>
      </c>
      <c r="F53" t="s">
        <v>21</v>
      </c>
      <c r="G53" t="s">
        <v>21</v>
      </c>
      <c r="H53" t="s">
        <v>24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>
        <v>1</v>
      </c>
      <c r="O53">
        <v>85</v>
      </c>
      <c r="P53">
        <v>20</v>
      </c>
      <c r="Q53">
        <v>4</v>
      </c>
      <c r="S53" t="s">
        <v>21</v>
      </c>
      <c r="T53" t="s">
        <v>22</v>
      </c>
    </row>
    <row r="54" spans="1:20" x14ac:dyDescent="0.3">
      <c r="A54">
        <v>44</v>
      </c>
      <c r="B54" t="s">
        <v>23</v>
      </c>
      <c r="C54" t="s">
        <v>24</v>
      </c>
      <c r="D54" t="s">
        <v>21</v>
      </c>
      <c r="E54" t="s">
        <v>21</v>
      </c>
      <c r="F54" t="s">
        <v>21</v>
      </c>
      <c r="G54" t="s">
        <v>21</v>
      </c>
      <c r="H54" t="s">
        <v>24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>
        <v>0.6</v>
      </c>
      <c r="O54">
        <v>110</v>
      </c>
      <c r="P54">
        <v>145</v>
      </c>
      <c r="Q54">
        <v>4.4000000000000004</v>
      </c>
      <c r="R54">
        <v>70</v>
      </c>
      <c r="S54" t="s">
        <v>21</v>
      </c>
      <c r="T54" t="s">
        <v>22</v>
      </c>
    </row>
    <row r="55" spans="1:20" x14ac:dyDescent="0.3">
      <c r="A55">
        <v>40</v>
      </c>
      <c r="B55" t="s">
        <v>23</v>
      </c>
      <c r="C55" t="s">
        <v>24</v>
      </c>
      <c r="D55" t="s">
        <v>24</v>
      </c>
      <c r="E55" t="s">
        <v>24</v>
      </c>
      <c r="F55" t="s">
        <v>21</v>
      </c>
      <c r="G55" t="s">
        <v>21</v>
      </c>
      <c r="H55" t="s">
        <v>24</v>
      </c>
      <c r="I55" t="s">
        <v>24</v>
      </c>
      <c r="J55" t="s">
        <v>24</v>
      </c>
      <c r="K55" t="s">
        <v>21</v>
      </c>
      <c r="L55" t="s">
        <v>21</v>
      </c>
      <c r="M55" t="s">
        <v>21</v>
      </c>
      <c r="N55">
        <v>1.2</v>
      </c>
      <c r="O55">
        <v>85</v>
      </c>
      <c r="P55">
        <v>31</v>
      </c>
      <c r="Q55">
        <v>4</v>
      </c>
      <c r="R55">
        <v>100</v>
      </c>
      <c r="S55" t="s">
        <v>21</v>
      </c>
      <c r="T55" t="s">
        <v>22</v>
      </c>
    </row>
    <row r="56" spans="1:20" x14ac:dyDescent="0.3">
      <c r="A56">
        <v>30</v>
      </c>
      <c r="B56" t="s">
        <v>23</v>
      </c>
      <c r="C56" t="s">
        <v>24</v>
      </c>
      <c r="D56" t="s">
        <v>21</v>
      </c>
      <c r="E56" t="s">
        <v>24</v>
      </c>
      <c r="F56" t="s">
        <v>21</v>
      </c>
      <c r="G56" t="s">
        <v>21</v>
      </c>
      <c r="H56" t="s">
        <v>24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>
        <v>0.7</v>
      </c>
      <c r="O56">
        <v>50</v>
      </c>
      <c r="P56">
        <v>78</v>
      </c>
      <c r="Q56">
        <v>4.2</v>
      </c>
      <c r="R56">
        <v>74</v>
      </c>
      <c r="S56" t="s">
        <v>21</v>
      </c>
      <c r="T56" t="s">
        <v>22</v>
      </c>
    </row>
    <row r="57" spans="1:20" x14ac:dyDescent="0.3">
      <c r="A57">
        <v>37</v>
      </c>
      <c r="B57" t="s">
        <v>23</v>
      </c>
      <c r="C57" t="s">
        <v>21</v>
      </c>
      <c r="D57" t="s">
        <v>21</v>
      </c>
      <c r="E57" t="s">
        <v>24</v>
      </c>
      <c r="F57" t="s">
        <v>24</v>
      </c>
      <c r="G57" t="s">
        <v>24</v>
      </c>
      <c r="H57" t="s">
        <v>24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>
        <v>0.8</v>
      </c>
      <c r="O57">
        <v>92</v>
      </c>
      <c r="P57">
        <v>59</v>
      </c>
      <c r="S57" t="s">
        <v>21</v>
      </c>
      <c r="T57" t="s">
        <v>22</v>
      </c>
    </row>
    <row r="58" spans="1:20" x14ac:dyDescent="0.3">
      <c r="A58">
        <v>34</v>
      </c>
      <c r="B58" t="s">
        <v>23</v>
      </c>
      <c r="C58" t="s">
        <v>21</v>
      </c>
      <c r="D58" t="s">
        <v>21</v>
      </c>
      <c r="S58" t="s">
        <v>21</v>
      </c>
      <c r="T58" t="s">
        <v>22</v>
      </c>
    </row>
    <row r="59" spans="1:20" x14ac:dyDescent="0.3">
      <c r="A59">
        <v>30</v>
      </c>
      <c r="B59" t="s">
        <v>23</v>
      </c>
      <c r="C59" t="s">
        <v>24</v>
      </c>
      <c r="D59" t="s">
        <v>24</v>
      </c>
      <c r="E59" t="s">
        <v>21</v>
      </c>
      <c r="F59" t="s">
        <v>21</v>
      </c>
      <c r="G59" t="s">
        <v>21</v>
      </c>
      <c r="H59" t="s">
        <v>24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>
        <v>0.7</v>
      </c>
      <c r="O59">
        <v>52</v>
      </c>
      <c r="P59">
        <v>38</v>
      </c>
      <c r="Q59">
        <v>3.9</v>
      </c>
      <c r="R59">
        <v>52</v>
      </c>
      <c r="S59" t="s">
        <v>21</v>
      </c>
      <c r="T59" t="s">
        <v>22</v>
      </c>
    </row>
    <row r="60" spans="1:20" x14ac:dyDescent="0.3">
      <c r="A60">
        <v>64</v>
      </c>
      <c r="B60" t="s">
        <v>23</v>
      </c>
      <c r="C60" t="s">
        <v>24</v>
      </c>
      <c r="D60" t="s">
        <v>24</v>
      </c>
      <c r="E60" t="s">
        <v>24</v>
      </c>
      <c r="F60" t="s">
        <v>24</v>
      </c>
      <c r="G60" t="s">
        <v>21</v>
      </c>
      <c r="H60" t="s">
        <v>21</v>
      </c>
      <c r="I60" t="s">
        <v>24</v>
      </c>
      <c r="J60" t="s">
        <v>21</v>
      </c>
      <c r="K60" t="s">
        <v>21</v>
      </c>
      <c r="L60" t="s">
        <v>21</v>
      </c>
      <c r="M60" t="s">
        <v>21</v>
      </c>
      <c r="N60">
        <v>1</v>
      </c>
      <c r="O60">
        <v>80</v>
      </c>
      <c r="P60">
        <v>38</v>
      </c>
      <c r="Q60">
        <v>4.3</v>
      </c>
      <c r="R60">
        <v>74</v>
      </c>
      <c r="S60" t="s">
        <v>21</v>
      </c>
      <c r="T60" t="s">
        <v>22</v>
      </c>
    </row>
    <row r="61" spans="1:20" x14ac:dyDescent="0.3">
      <c r="A61">
        <v>45</v>
      </c>
      <c r="B61" t="s">
        <v>20</v>
      </c>
      <c r="C61" t="s">
        <v>21</v>
      </c>
      <c r="D61" t="s">
        <v>21</v>
      </c>
      <c r="E61" t="s">
        <v>24</v>
      </c>
      <c r="F61" t="s">
        <v>24</v>
      </c>
      <c r="G61" t="s">
        <v>21</v>
      </c>
      <c r="H61" t="s">
        <v>24</v>
      </c>
      <c r="I61" t="s">
        <v>21</v>
      </c>
      <c r="J61" t="s">
        <v>24</v>
      </c>
      <c r="K61" t="s">
        <v>21</v>
      </c>
      <c r="L61" t="s">
        <v>21</v>
      </c>
      <c r="M61" t="s">
        <v>21</v>
      </c>
      <c r="N61">
        <v>1</v>
      </c>
      <c r="O61">
        <v>85</v>
      </c>
      <c r="P61">
        <v>75</v>
      </c>
      <c r="S61" t="s">
        <v>21</v>
      </c>
      <c r="T61" t="s">
        <v>22</v>
      </c>
    </row>
    <row r="62" spans="1:20" x14ac:dyDescent="0.3">
      <c r="A62">
        <v>37</v>
      </c>
      <c r="B62" t="s">
        <v>23</v>
      </c>
      <c r="C62" t="s">
        <v>24</v>
      </c>
      <c r="D62" t="s">
        <v>21</v>
      </c>
      <c r="E62" t="s">
        <v>21</v>
      </c>
      <c r="F62" t="s">
        <v>21</v>
      </c>
      <c r="G62" t="s">
        <v>21</v>
      </c>
      <c r="H62" t="s">
        <v>24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>
        <v>0.7</v>
      </c>
      <c r="O62">
        <v>26</v>
      </c>
      <c r="P62">
        <v>58</v>
      </c>
      <c r="Q62">
        <v>4.5</v>
      </c>
      <c r="R62">
        <v>100</v>
      </c>
      <c r="S62" t="s">
        <v>21</v>
      </c>
      <c r="T62" t="s">
        <v>22</v>
      </c>
    </row>
    <row r="63" spans="1:20" x14ac:dyDescent="0.3">
      <c r="A63">
        <v>32</v>
      </c>
      <c r="B63" t="s">
        <v>23</v>
      </c>
      <c r="C63" t="s">
        <v>24</v>
      </c>
      <c r="D63" t="s">
        <v>21</v>
      </c>
      <c r="E63" t="s">
        <v>21</v>
      </c>
      <c r="F63" t="s">
        <v>21</v>
      </c>
      <c r="G63" t="s">
        <v>21</v>
      </c>
      <c r="H63" t="s">
        <v>24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>
        <v>0.7</v>
      </c>
      <c r="O63">
        <v>102</v>
      </c>
      <c r="P63">
        <v>64</v>
      </c>
      <c r="Q63">
        <v>4</v>
      </c>
      <c r="R63">
        <v>90</v>
      </c>
      <c r="S63" t="s">
        <v>21</v>
      </c>
      <c r="T63" t="s">
        <v>22</v>
      </c>
    </row>
    <row r="64" spans="1:20" x14ac:dyDescent="0.3">
      <c r="A64">
        <v>32</v>
      </c>
      <c r="B64" t="s">
        <v>23</v>
      </c>
      <c r="C64" t="s">
        <v>24</v>
      </c>
      <c r="D64" t="s">
        <v>21</v>
      </c>
      <c r="E64" t="s">
        <v>24</v>
      </c>
      <c r="F64" t="s">
        <v>24</v>
      </c>
      <c r="G64" t="s">
        <v>24</v>
      </c>
      <c r="H64" t="s">
        <v>24</v>
      </c>
      <c r="I64" t="s">
        <v>21</v>
      </c>
      <c r="J64" t="s">
        <v>21</v>
      </c>
      <c r="K64" t="s">
        <v>24</v>
      </c>
      <c r="L64" t="s">
        <v>21</v>
      </c>
      <c r="M64" t="s">
        <v>24</v>
      </c>
      <c r="N64">
        <v>3.5</v>
      </c>
      <c r="O64">
        <v>215</v>
      </c>
      <c r="P64">
        <v>54</v>
      </c>
      <c r="Q64">
        <v>3.4</v>
      </c>
      <c r="R64">
        <v>29</v>
      </c>
      <c r="S64" t="s">
        <v>21</v>
      </c>
      <c r="T64" t="s">
        <v>22</v>
      </c>
    </row>
    <row r="65" spans="1:20" x14ac:dyDescent="0.3">
      <c r="A65">
        <v>36</v>
      </c>
      <c r="B65" t="s">
        <v>23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24</v>
      </c>
      <c r="J65" t="s">
        <v>24</v>
      </c>
      <c r="K65" t="s">
        <v>21</v>
      </c>
      <c r="L65" t="s">
        <v>21</v>
      </c>
      <c r="M65" t="s">
        <v>21</v>
      </c>
      <c r="N65">
        <v>0.7</v>
      </c>
      <c r="O65">
        <v>164</v>
      </c>
      <c r="P65">
        <v>44</v>
      </c>
      <c r="Q65">
        <v>3.1</v>
      </c>
      <c r="R65">
        <v>41</v>
      </c>
      <c r="S65" t="s">
        <v>21</v>
      </c>
      <c r="T65" t="s">
        <v>22</v>
      </c>
    </row>
    <row r="66" spans="1:20" x14ac:dyDescent="0.3">
      <c r="A66">
        <v>49</v>
      </c>
      <c r="B66" t="s">
        <v>23</v>
      </c>
      <c r="C66" t="s">
        <v>24</v>
      </c>
      <c r="D66" t="s">
        <v>21</v>
      </c>
      <c r="E66" t="s">
        <v>24</v>
      </c>
      <c r="F66" t="s">
        <v>24</v>
      </c>
      <c r="G66" t="s">
        <v>21</v>
      </c>
      <c r="H66" t="s">
        <v>24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>
        <v>0.8</v>
      </c>
      <c r="O66">
        <v>103</v>
      </c>
      <c r="P66">
        <v>43</v>
      </c>
      <c r="Q66">
        <v>3.5</v>
      </c>
      <c r="R66">
        <v>66</v>
      </c>
      <c r="S66" t="s">
        <v>21</v>
      </c>
      <c r="T66" t="s">
        <v>22</v>
      </c>
    </row>
    <row r="67" spans="1:20" x14ac:dyDescent="0.3">
      <c r="A67">
        <v>27</v>
      </c>
      <c r="B67" t="s">
        <v>23</v>
      </c>
      <c r="C67" t="s">
        <v>24</v>
      </c>
      <c r="D67" t="s">
        <v>21</v>
      </c>
      <c r="E67" t="s">
        <v>21</v>
      </c>
      <c r="F67" t="s">
        <v>21</v>
      </c>
      <c r="G67" t="s">
        <v>21</v>
      </c>
      <c r="H67" t="s">
        <v>24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>
        <v>0.8</v>
      </c>
      <c r="P67">
        <v>38</v>
      </c>
      <c r="Q67">
        <v>4.2</v>
      </c>
      <c r="S67" t="s">
        <v>21</v>
      </c>
      <c r="T67" t="s">
        <v>22</v>
      </c>
    </row>
    <row r="68" spans="1:20" x14ac:dyDescent="0.3">
      <c r="A68">
        <v>56</v>
      </c>
      <c r="B68" t="s">
        <v>23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24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>
        <v>0.7</v>
      </c>
      <c r="O68">
        <v>62</v>
      </c>
      <c r="P68">
        <v>33</v>
      </c>
      <c r="Q68">
        <v>3</v>
      </c>
      <c r="S68" t="s">
        <v>21</v>
      </c>
      <c r="T68" t="s">
        <v>22</v>
      </c>
    </row>
    <row r="69" spans="1:20" x14ac:dyDescent="0.3">
      <c r="A69">
        <v>57</v>
      </c>
      <c r="B69" t="s">
        <v>23</v>
      </c>
      <c r="C69" t="s">
        <v>24</v>
      </c>
      <c r="D69" t="s">
        <v>21</v>
      </c>
      <c r="E69" t="s">
        <v>24</v>
      </c>
      <c r="F69" t="s">
        <v>24</v>
      </c>
      <c r="G69" t="s">
        <v>24</v>
      </c>
      <c r="H69" t="s">
        <v>24</v>
      </c>
      <c r="I69" t="s">
        <v>21</v>
      </c>
      <c r="J69" t="s">
        <v>21</v>
      </c>
      <c r="K69" t="s">
        <v>24</v>
      </c>
      <c r="L69" t="s">
        <v>24</v>
      </c>
      <c r="M69" t="s">
        <v>21</v>
      </c>
      <c r="N69">
        <v>4.0999999999999996</v>
      </c>
      <c r="P69">
        <v>48</v>
      </c>
      <c r="Q69">
        <v>2.6</v>
      </c>
      <c r="R69">
        <v>73</v>
      </c>
      <c r="S69" t="s">
        <v>21</v>
      </c>
      <c r="T69" t="s">
        <v>25</v>
      </c>
    </row>
    <row r="70" spans="1:20" x14ac:dyDescent="0.3">
      <c r="A70">
        <v>39</v>
      </c>
      <c r="B70" t="s">
        <v>23</v>
      </c>
      <c r="C70" t="s">
        <v>24</v>
      </c>
      <c r="D70" t="s">
        <v>21</v>
      </c>
      <c r="E70" t="s">
        <v>24</v>
      </c>
      <c r="F70" t="s">
        <v>21</v>
      </c>
      <c r="G70" t="s">
        <v>21</v>
      </c>
      <c r="H70" t="s">
        <v>24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>
        <v>1</v>
      </c>
      <c r="O70">
        <v>34</v>
      </c>
      <c r="P70">
        <v>15</v>
      </c>
      <c r="Q70">
        <v>4</v>
      </c>
      <c r="R70">
        <v>54</v>
      </c>
      <c r="S70" t="s">
        <v>21</v>
      </c>
      <c r="T70" t="s">
        <v>22</v>
      </c>
    </row>
    <row r="71" spans="1:20" x14ac:dyDescent="0.3">
      <c r="A71">
        <v>44</v>
      </c>
      <c r="B71" t="s">
        <v>23</v>
      </c>
      <c r="C71" t="s">
        <v>21</v>
      </c>
      <c r="D71" t="s">
        <v>21</v>
      </c>
      <c r="E71" t="s">
        <v>24</v>
      </c>
      <c r="F71" t="s">
        <v>24</v>
      </c>
      <c r="G71" t="s">
        <v>21</v>
      </c>
      <c r="H71" t="s">
        <v>24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>
        <v>1.6</v>
      </c>
      <c r="O71">
        <v>68</v>
      </c>
      <c r="P71">
        <v>68</v>
      </c>
      <c r="Q71">
        <v>3.7</v>
      </c>
      <c r="S71" t="s">
        <v>21</v>
      </c>
      <c r="T71" t="s">
        <v>22</v>
      </c>
    </row>
    <row r="72" spans="1:20" x14ac:dyDescent="0.3">
      <c r="A72">
        <v>24</v>
      </c>
      <c r="B72" t="s">
        <v>23</v>
      </c>
      <c r="C72" t="s">
        <v>24</v>
      </c>
      <c r="D72" t="s">
        <v>21</v>
      </c>
      <c r="E72" t="s">
        <v>21</v>
      </c>
      <c r="F72" t="s">
        <v>21</v>
      </c>
      <c r="G72" t="s">
        <v>21</v>
      </c>
      <c r="H72" t="s">
        <v>24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>
        <v>0.8</v>
      </c>
      <c r="O72">
        <v>82</v>
      </c>
      <c r="P72">
        <v>39</v>
      </c>
      <c r="Q72">
        <v>4.3</v>
      </c>
      <c r="S72" t="s">
        <v>21</v>
      </c>
      <c r="T72" t="s">
        <v>22</v>
      </c>
    </row>
    <row r="73" spans="1:20" x14ac:dyDescent="0.3">
      <c r="A73">
        <v>34</v>
      </c>
      <c r="B73" t="s">
        <v>23</v>
      </c>
      <c r="C73" t="s">
        <v>21</v>
      </c>
      <c r="D73" t="s">
        <v>21</v>
      </c>
      <c r="E73" t="s">
        <v>24</v>
      </c>
      <c r="F73" t="s">
        <v>24</v>
      </c>
      <c r="G73" t="s">
        <v>21</v>
      </c>
      <c r="H73" t="s">
        <v>21</v>
      </c>
      <c r="I73" t="s">
        <v>24</v>
      </c>
      <c r="J73" t="s">
        <v>21</v>
      </c>
      <c r="K73" t="s">
        <v>24</v>
      </c>
      <c r="L73" t="s">
        <v>21</v>
      </c>
      <c r="M73" t="s">
        <v>21</v>
      </c>
      <c r="N73">
        <v>2.8</v>
      </c>
      <c r="O73">
        <v>127</v>
      </c>
      <c r="P73">
        <v>182</v>
      </c>
      <c r="S73" t="s">
        <v>21</v>
      </c>
      <c r="T73" t="s">
        <v>25</v>
      </c>
    </row>
    <row r="74" spans="1:20" x14ac:dyDescent="0.3">
      <c r="A74">
        <v>51</v>
      </c>
      <c r="B74" t="s">
        <v>23</v>
      </c>
      <c r="C74" t="s">
        <v>24</v>
      </c>
      <c r="D74" t="s">
        <v>21</v>
      </c>
      <c r="E74" t="s">
        <v>24</v>
      </c>
      <c r="F74" t="s">
        <v>24</v>
      </c>
      <c r="G74" t="s">
        <v>24</v>
      </c>
      <c r="N74">
        <v>0.9</v>
      </c>
      <c r="O74">
        <v>76</v>
      </c>
      <c r="P74">
        <v>271</v>
      </c>
      <c r="Q74">
        <v>4.4000000000000004</v>
      </c>
      <c r="S74" t="s">
        <v>21</v>
      </c>
      <c r="T74" t="s">
        <v>22</v>
      </c>
    </row>
    <row r="75" spans="1:20" x14ac:dyDescent="0.3">
      <c r="A75">
        <v>36</v>
      </c>
      <c r="B75" t="s">
        <v>23</v>
      </c>
      <c r="C75" t="s">
        <v>21</v>
      </c>
      <c r="D75" t="s">
        <v>21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21</v>
      </c>
      <c r="K75" t="s">
        <v>21</v>
      </c>
      <c r="L75" t="s">
        <v>21</v>
      </c>
      <c r="M75" t="s">
        <v>21</v>
      </c>
      <c r="N75">
        <v>1</v>
      </c>
      <c r="P75">
        <v>45</v>
      </c>
      <c r="Q75">
        <v>4</v>
      </c>
      <c r="R75">
        <v>57</v>
      </c>
      <c r="S75" t="s">
        <v>21</v>
      </c>
      <c r="T75" t="s">
        <v>22</v>
      </c>
    </row>
    <row r="76" spans="1:20" x14ac:dyDescent="0.3">
      <c r="A76">
        <v>50</v>
      </c>
      <c r="B76" t="s">
        <v>23</v>
      </c>
      <c r="C76" t="s">
        <v>24</v>
      </c>
      <c r="D76" t="s">
        <v>21</v>
      </c>
      <c r="E76" t="s">
        <v>21</v>
      </c>
      <c r="F76" t="s">
        <v>21</v>
      </c>
      <c r="G76" t="s">
        <v>21</v>
      </c>
      <c r="H76" t="s">
        <v>24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>
        <v>1.5</v>
      </c>
      <c r="O76">
        <v>100</v>
      </c>
      <c r="P76">
        <v>100</v>
      </c>
      <c r="Q76">
        <v>5.3</v>
      </c>
      <c r="S76" t="s">
        <v>21</v>
      </c>
      <c r="T76" t="s">
        <v>22</v>
      </c>
    </row>
    <row r="77" spans="1:20" x14ac:dyDescent="0.3">
      <c r="A77">
        <v>32</v>
      </c>
      <c r="B77" t="s">
        <v>23</v>
      </c>
      <c r="C77" t="s">
        <v>21</v>
      </c>
      <c r="D77" t="s">
        <v>24</v>
      </c>
      <c r="E77" t="s">
        <v>24</v>
      </c>
      <c r="F77" t="s">
        <v>24</v>
      </c>
      <c r="G77" t="s">
        <v>21</v>
      </c>
      <c r="H77" t="s">
        <v>24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>
        <v>1</v>
      </c>
      <c r="O77">
        <v>55</v>
      </c>
      <c r="P77">
        <v>45</v>
      </c>
      <c r="Q77">
        <v>4.0999999999999996</v>
      </c>
      <c r="R77">
        <v>56</v>
      </c>
      <c r="S77" t="s">
        <v>21</v>
      </c>
      <c r="T77" t="s">
        <v>22</v>
      </c>
    </row>
    <row r="78" spans="1:20" x14ac:dyDescent="0.3">
      <c r="A78">
        <v>58</v>
      </c>
      <c r="B78" t="s">
        <v>23</v>
      </c>
      <c r="C78" t="s">
        <v>24</v>
      </c>
      <c r="D78" t="s">
        <v>21</v>
      </c>
      <c r="E78" t="s">
        <v>24</v>
      </c>
      <c r="F78" t="s">
        <v>21</v>
      </c>
      <c r="G78" t="s">
        <v>21</v>
      </c>
      <c r="H78" t="s">
        <v>21</v>
      </c>
      <c r="I78" t="s">
        <v>24</v>
      </c>
      <c r="J78" t="s">
        <v>24</v>
      </c>
      <c r="K78" t="s">
        <v>24</v>
      </c>
      <c r="L78" t="s">
        <v>21</v>
      </c>
      <c r="M78" t="s">
        <v>21</v>
      </c>
      <c r="N78">
        <v>2</v>
      </c>
      <c r="O78">
        <v>167</v>
      </c>
      <c r="P78">
        <v>242</v>
      </c>
      <c r="Q78">
        <v>3.3</v>
      </c>
      <c r="S78" t="s">
        <v>21</v>
      </c>
      <c r="T78" t="s">
        <v>25</v>
      </c>
    </row>
    <row r="79" spans="1:20" x14ac:dyDescent="0.3">
      <c r="A79">
        <v>34</v>
      </c>
      <c r="B79" t="s">
        <v>20</v>
      </c>
      <c r="C79" t="s">
        <v>21</v>
      </c>
      <c r="D79" t="s">
        <v>24</v>
      </c>
      <c r="E79" t="s">
        <v>21</v>
      </c>
      <c r="F79" t="s">
        <v>21</v>
      </c>
      <c r="G79" t="s">
        <v>21</v>
      </c>
      <c r="H79" t="s">
        <v>24</v>
      </c>
      <c r="I79" t="s">
        <v>24</v>
      </c>
      <c r="J79" t="s">
        <v>21</v>
      </c>
      <c r="K79" t="s">
        <v>21</v>
      </c>
      <c r="L79" t="s">
        <v>21</v>
      </c>
      <c r="M79" t="s">
        <v>21</v>
      </c>
      <c r="N79">
        <v>0.6</v>
      </c>
      <c r="O79">
        <v>30</v>
      </c>
      <c r="P79">
        <v>24</v>
      </c>
      <c r="Q79">
        <v>4</v>
      </c>
      <c r="R79">
        <v>76</v>
      </c>
      <c r="S79" t="s">
        <v>21</v>
      </c>
      <c r="T79" t="s">
        <v>22</v>
      </c>
    </row>
    <row r="80" spans="1:20" x14ac:dyDescent="0.3">
      <c r="A80">
        <v>34</v>
      </c>
      <c r="B80" t="s">
        <v>23</v>
      </c>
      <c r="C80" t="s">
        <v>21</v>
      </c>
      <c r="D80" t="s">
        <v>21</v>
      </c>
      <c r="E80" t="s">
        <v>24</v>
      </c>
      <c r="F80" t="s">
        <v>21</v>
      </c>
      <c r="G80" t="s">
        <v>21</v>
      </c>
      <c r="H80" t="s">
        <v>21</v>
      </c>
      <c r="I80" t="s">
        <v>24</v>
      </c>
      <c r="J80" t="s">
        <v>21</v>
      </c>
      <c r="K80" t="s">
        <v>24</v>
      </c>
      <c r="L80" t="s">
        <v>21</v>
      </c>
      <c r="M80" t="s">
        <v>21</v>
      </c>
      <c r="N80">
        <v>1</v>
      </c>
      <c r="O80">
        <v>72</v>
      </c>
      <c r="P80">
        <v>46</v>
      </c>
      <c r="Q80">
        <v>4.4000000000000004</v>
      </c>
      <c r="R80">
        <v>57</v>
      </c>
      <c r="S80" t="s">
        <v>21</v>
      </c>
      <c r="T80" t="s">
        <v>22</v>
      </c>
    </row>
    <row r="81" spans="1:20" x14ac:dyDescent="0.3">
      <c r="A81">
        <v>28</v>
      </c>
      <c r="B81" t="s">
        <v>23</v>
      </c>
      <c r="C81" t="s">
        <v>24</v>
      </c>
      <c r="D81" t="s">
        <v>21</v>
      </c>
      <c r="E81" t="s">
        <v>21</v>
      </c>
      <c r="F81" t="s">
        <v>21</v>
      </c>
      <c r="G81" t="s">
        <v>21</v>
      </c>
      <c r="H81" t="s">
        <v>24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>
        <v>0.7</v>
      </c>
      <c r="O81">
        <v>85</v>
      </c>
      <c r="P81">
        <v>31</v>
      </c>
      <c r="Q81">
        <v>4.9000000000000004</v>
      </c>
      <c r="S81" t="s">
        <v>21</v>
      </c>
      <c r="T81" t="s">
        <v>22</v>
      </c>
    </row>
    <row r="82" spans="1:20" x14ac:dyDescent="0.3">
      <c r="A82">
        <v>23</v>
      </c>
      <c r="B82" t="s">
        <v>23</v>
      </c>
      <c r="C82" t="s">
        <v>24</v>
      </c>
      <c r="D82" t="s">
        <v>21</v>
      </c>
      <c r="E82" t="s">
        <v>24</v>
      </c>
      <c r="F82" t="s">
        <v>24</v>
      </c>
      <c r="G82" t="s">
        <v>24</v>
      </c>
      <c r="H82" t="s">
        <v>24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>
        <v>0.8</v>
      </c>
      <c r="P82">
        <v>14</v>
      </c>
      <c r="Q82">
        <v>4.8</v>
      </c>
      <c r="S82" t="s">
        <v>21</v>
      </c>
      <c r="T82" t="s">
        <v>22</v>
      </c>
    </row>
    <row r="83" spans="1:20" x14ac:dyDescent="0.3">
      <c r="A83">
        <v>36</v>
      </c>
      <c r="B83" t="s">
        <v>23</v>
      </c>
      <c r="C83" t="s">
        <v>24</v>
      </c>
      <c r="D83" t="s">
        <v>21</v>
      </c>
      <c r="E83" t="s">
        <v>21</v>
      </c>
      <c r="F83" t="s">
        <v>21</v>
      </c>
      <c r="G83" t="s">
        <v>21</v>
      </c>
      <c r="H83" t="s">
        <v>24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>
        <v>0.7</v>
      </c>
      <c r="O83">
        <v>62</v>
      </c>
      <c r="P83">
        <v>224</v>
      </c>
      <c r="Q83">
        <v>4.2</v>
      </c>
      <c r="R83">
        <v>100</v>
      </c>
      <c r="S83" t="s">
        <v>21</v>
      </c>
      <c r="T83" t="s">
        <v>22</v>
      </c>
    </row>
    <row r="84" spans="1:20" x14ac:dyDescent="0.3">
      <c r="A84">
        <v>30</v>
      </c>
      <c r="B84" t="s">
        <v>23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24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>
        <v>0.7</v>
      </c>
      <c r="O84">
        <v>100</v>
      </c>
      <c r="P84">
        <v>31</v>
      </c>
      <c r="Q84">
        <v>4</v>
      </c>
      <c r="R84">
        <v>100</v>
      </c>
      <c r="S84" t="s">
        <v>21</v>
      </c>
      <c r="T84" t="s">
        <v>22</v>
      </c>
    </row>
    <row r="85" spans="1:20" x14ac:dyDescent="0.3">
      <c r="A85">
        <v>67</v>
      </c>
      <c r="B85" t="s">
        <v>20</v>
      </c>
      <c r="C85" t="s">
        <v>21</v>
      </c>
      <c r="D85" t="s">
        <v>21</v>
      </c>
      <c r="E85" t="s">
        <v>24</v>
      </c>
      <c r="F85" t="s">
        <v>24</v>
      </c>
      <c r="G85" t="s">
        <v>21</v>
      </c>
      <c r="H85" t="s">
        <v>24</v>
      </c>
      <c r="I85" t="s">
        <v>21</v>
      </c>
      <c r="N85">
        <v>1.5</v>
      </c>
      <c r="O85">
        <v>179</v>
      </c>
      <c r="P85">
        <v>69</v>
      </c>
      <c r="Q85">
        <v>2.9</v>
      </c>
      <c r="S85" t="s">
        <v>21</v>
      </c>
      <c r="T85" t="s">
        <v>22</v>
      </c>
    </row>
    <row r="86" spans="1:20" x14ac:dyDescent="0.3">
      <c r="A86">
        <v>62</v>
      </c>
      <c r="B86" t="s">
        <v>20</v>
      </c>
      <c r="C86" t="s">
        <v>24</v>
      </c>
      <c r="D86" t="s">
        <v>21</v>
      </c>
      <c r="E86" t="s">
        <v>24</v>
      </c>
      <c r="F86" t="s">
        <v>24</v>
      </c>
      <c r="G86" t="s">
        <v>21</v>
      </c>
      <c r="H86" t="s">
        <v>24</v>
      </c>
      <c r="I86" t="s">
        <v>24</v>
      </c>
      <c r="J86" t="s">
        <v>21</v>
      </c>
      <c r="K86" t="s">
        <v>24</v>
      </c>
      <c r="L86" t="s">
        <v>21</v>
      </c>
      <c r="M86" t="s">
        <v>21</v>
      </c>
      <c r="N86">
        <v>1.3</v>
      </c>
      <c r="O86">
        <v>141</v>
      </c>
      <c r="P86">
        <v>156</v>
      </c>
      <c r="Q86">
        <v>3.9</v>
      </c>
      <c r="R86">
        <v>58</v>
      </c>
      <c r="S86" t="s">
        <v>21</v>
      </c>
      <c r="T86" t="s">
        <v>22</v>
      </c>
    </row>
    <row r="87" spans="1:20" x14ac:dyDescent="0.3">
      <c r="A87">
        <v>28</v>
      </c>
      <c r="B87" t="s">
        <v>23</v>
      </c>
      <c r="C87" t="s">
        <v>21</v>
      </c>
      <c r="D87" t="s">
        <v>21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21</v>
      </c>
      <c r="K87" t="s">
        <v>21</v>
      </c>
      <c r="L87" t="s">
        <v>21</v>
      </c>
      <c r="M87" t="s">
        <v>21</v>
      </c>
      <c r="N87">
        <v>1.6</v>
      </c>
      <c r="O87">
        <v>44</v>
      </c>
      <c r="P87">
        <v>123</v>
      </c>
      <c r="Q87">
        <v>4</v>
      </c>
      <c r="R87">
        <v>46</v>
      </c>
      <c r="S87" t="s">
        <v>21</v>
      </c>
      <c r="T87" t="s">
        <v>22</v>
      </c>
    </row>
    <row r="88" spans="1:20" x14ac:dyDescent="0.3">
      <c r="A88">
        <v>44</v>
      </c>
      <c r="B88" t="s">
        <v>23</v>
      </c>
      <c r="C88" t="s">
        <v>21</v>
      </c>
      <c r="D88" t="s">
        <v>21</v>
      </c>
      <c r="E88" t="s">
        <v>24</v>
      </c>
      <c r="F88" t="s">
        <v>24</v>
      </c>
      <c r="G88" t="s">
        <v>21</v>
      </c>
      <c r="H88" t="s">
        <v>24</v>
      </c>
      <c r="I88" t="s">
        <v>21</v>
      </c>
      <c r="J88" t="s">
        <v>24</v>
      </c>
      <c r="K88" t="s">
        <v>21</v>
      </c>
      <c r="L88" t="s">
        <v>21</v>
      </c>
      <c r="M88" t="s">
        <v>24</v>
      </c>
      <c r="N88">
        <v>0.9</v>
      </c>
      <c r="O88">
        <v>135</v>
      </c>
      <c r="P88">
        <v>55</v>
      </c>
      <c r="R88">
        <v>41</v>
      </c>
      <c r="S88" t="s">
        <v>24</v>
      </c>
      <c r="T88" t="s">
        <v>25</v>
      </c>
    </row>
    <row r="89" spans="1:20" x14ac:dyDescent="0.3">
      <c r="A89">
        <v>30</v>
      </c>
      <c r="B89" t="s">
        <v>23</v>
      </c>
      <c r="C89" t="s">
        <v>24</v>
      </c>
      <c r="D89" t="s">
        <v>21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21</v>
      </c>
      <c r="K89" t="s">
        <v>24</v>
      </c>
      <c r="L89" t="s">
        <v>24</v>
      </c>
      <c r="M89" t="s">
        <v>24</v>
      </c>
      <c r="N89">
        <v>2.5</v>
      </c>
      <c r="O89">
        <v>165</v>
      </c>
      <c r="P89">
        <v>64</v>
      </c>
      <c r="Q89">
        <v>2.8</v>
      </c>
      <c r="S89" t="s">
        <v>24</v>
      </c>
      <c r="T89" t="s">
        <v>25</v>
      </c>
    </row>
    <row r="90" spans="1:20" x14ac:dyDescent="0.3">
      <c r="A90">
        <v>38</v>
      </c>
      <c r="B90" t="s">
        <v>23</v>
      </c>
      <c r="C90" t="s">
        <v>21</v>
      </c>
      <c r="D90" t="s">
        <v>21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21</v>
      </c>
      <c r="K90" t="s">
        <v>24</v>
      </c>
      <c r="L90" t="s">
        <v>24</v>
      </c>
      <c r="M90" t="s">
        <v>24</v>
      </c>
      <c r="N90">
        <v>1.2</v>
      </c>
      <c r="O90">
        <v>118</v>
      </c>
      <c r="P90">
        <v>16</v>
      </c>
      <c r="Q90">
        <v>2.8</v>
      </c>
      <c r="S90" t="s">
        <v>24</v>
      </c>
      <c r="T90" t="s">
        <v>25</v>
      </c>
    </row>
    <row r="91" spans="1:20" x14ac:dyDescent="0.3">
      <c r="A91">
        <v>38</v>
      </c>
      <c r="B91" t="s">
        <v>23</v>
      </c>
      <c r="C91" t="s">
        <v>21</v>
      </c>
      <c r="D91" t="s">
        <v>21</v>
      </c>
      <c r="E91" t="s">
        <v>24</v>
      </c>
      <c r="F91" t="s">
        <v>24</v>
      </c>
      <c r="G91" t="s">
        <v>24</v>
      </c>
      <c r="H91" t="s">
        <v>21</v>
      </c>
      <c r="I91" t="s">
        <v>24</v>
      </c>
      <c r="J91" t="s">
        <v>21</v>
      </c>
      <c r="K91" t="s">
        <v>21</v>
      </c>
      <c r="L91" t="s">
        <v>21</v>
      </c>
      <c r="M91" t="s">
        <v>21</v>
      </c>
      <c r="N91">
        <v>0.6</v>
      </c>
      <c r="O91">
        <v>76</v>
      </c>
      <c r="P91">
        <v>18</v>
      </c>
      <c r="Q91">
        <v>4.4000000000000004</v>
      </c>
      <c r="R91">
        <v>84</v>
      </c>
      <c r="S91" t="s">
        <v>24</v>
      </c>
      <c r="T91" t="s">
        <v>22</v>
      </c>
    </row>
    <row r="92" spans="1:20" x14ac:dyDescent="0.3">
      <c r="A92">
        <v>50</v>
      </c>
      <c r="B92" t="s">
        <v>20</v>
      </c>
      <c r="C92" t="s">
        <v>21</v>
      </c>
      <c r="D92" t="s">
        <v>21</v>
      </c>
      <c r="E92" t="s">
        <v>24</v>
      </c>
      <c r="F92" t="s">
        <v>21</v>
      </c>
      <c r="G92" t="s">
        <v>21</v>
      </c>
      <c r="H92" t="s">
        <v>21</v>
      </c>
      <c r="I92" t="s">
        <v>24</v>
      </c>
      <c r="J92" t="s">
        <v>24</v>
      </c>
      <c r="K92" t="s">
        <v>24</v>
      </c>
      <c r="L92" t="s">
        <v>21</v>
      </c>
      <c r="M92" t="s">
        <v>21</v>
      </c>
      <c r="N92">
        <v>0.9</v>
      </c>
      <c r="O92">
        <v>230</v>
      </c>
      <c r="P92">
        <v>117</v>
      </c>
      <c r="Q92">
        <v>3.4</v>
      </c>
      <c r="R92">
        <v>41</v>
      </c>
      <c r="S92" t="s">
        <v>24</v>
      </c>
      <c r="T92" t="s">
        <v>22</v>
      </c>
    </row>
    <row r="93" spans="1:20" x14ac:dyDescent="0.3">
      <c r="A93">
        <v>42</v>
      </c>
      <c r="B93" t="s">
        <v>23</v>
      </c>
      <c r="C93" t="s">
        <v>21</v>
      </c>
      <c r="D93" t="s">
        <v>21</v>
      </c>
      <c r="E93" t="s">
        <v>24</v>
      </c>
      <c r="F93" t="s">
        <v>24</v>
      </c>
      <c r="G93" t="s">
        <v>24</v>
      </c>
      <c r="H93" t="s">
        <v>24</v>
      </c>
      <c r="I93" t="s">
        <v>21</v>
      </c>
      <c r="J93" t="s">
        <v>24</v>
      </c>
      <c r="K93" t="s">
        <v>24</v>
      </c>
      <c r="L93" t="s">
        <v>21</v>
      </c>
      <c r="M93" t="s">
        <v>24</v>
      </c>
      <c r="N93">
        <v>4.5999999999999996</v>
      </c>
      <c r="P93">
        <v>55</v>
      </c>
      <c r="Q93">
        <v>3.3</v>
      </c>
      <c r="S93" t="s">
        <v>24</v>
      </c>
      <c r="T93" t="s">
        <v>25</v>
      </c>
    </row>
    <row r="94" spans="1:20" x14ac:dyDescent="0.3">
      <c r="A94">
        <v>33</v>
      </c>
      <c r="B94" t="s">
        <v>23</v>
      </c>
      <c r="C94" t="s">
        <v>24</v>
      </c>
      <c r="D94" t="s">
        <v>21</v>
      </c>
      <c r="E94" t="s">
        <v>21</v>
      </c>
      <c r="F94" t="s">
        <v>21</v>
      </c>
      <c r="G94" t="s">
        <v>21</v>
      </c>
      <c r="J94" t="s">
        <v>21</v>
      </c>
      <c r="K94" t="s">
        <v>21</v>
      </c>
      <c r="L94" t="s">
        <v>21</v>
      </c>
      <c r="M94" t="s">
        <v>21</v>
      </c>
      <c r="N94">
        <v>1</v>
      </c>
      <c r="P94">
        <v>60</v>
      </c>
      <c r="Q94">
        <v>4</v>
      </c>
      <c r="S94" t="s">
        <v>24</v>
      </c>
      <c r="T94" t="s">
        <v>22</v>
      </c>
    </row>
    <row r="95" spans="1:20" x14ac:dyDescent="0.3">
      <c r="A95">
        <v>52</v>
      </c>
      <c r="B95" t="s">
        <v>23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24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>
        <v>1.5</v>
      </c>
      <c r="P95">
        <v>69</v>
      </c>
      <c r="Q95">
        <v>2.9</v>
      </c>
      <c r="S95" t="s">
        <v>24</v>
      </c>
      <c r="T95" t="s">
        <v>22</v>
      </c>
    </row>
    <row r="96" spans="1:20" x14ac:dyDescent="0.3">
      <c r="A96">
        <v>59</v>
      </c>
      <c r="B96" t="s">
        <v>23</v>
      </c>
      <c r="C96" t="s">
        <v>21</v>
      </c>
      <c r="D96" t="s">
        <v>21</v>
      </c>
      <c r="E96" t="s">
        <v>24</v>
      </c>
      <c r="F96" t="s">
        <v>24</v>
      </c>
      <c r="G96" t="s">
        <v>21</v>
      </c>
      <c r="H96" t="s">
        <v>24</v>
      </c>
      <c r="I96" t="s">
        <v>24</v>
      </c>
      <c r="J96" t="s">
        <v>24</v>
      </c>
      <c r="K96" t="s">
        <v>24</v>
      </c>
      <c r="L96" t="s">
        <v>21</v>
      </c>
      <c r="M96" t="s">
        <v>21</v>
      </c>
      <c r="N96">
        <v>1.5</v>
      </c>
      <c r="O96">
        <v>107</v>
      </c>
      <c r="P96">
        <v>157</v>
      </c>
      <c r="Q96">
        <v>3.6</v>
      </c>
      <c r="R96">
        <v>38</v>
      </c>
      <c r="S96" t="s">
        <v>24</v>
      </c>
      <c r="T96" t="s">
        <v>25</v>
      </c>
    </row>
    <row r="97" spans="1:20" x14ac:dyDescent="0.3">
      <c r="A97">
        <v>40</v>
      </c>
      <c r="B97" t="s">
        <v>23</v>
      </c>
      <c r="C97" t="s">
        <v>21</v>
      </c>
      <c r="D97" t="s">
        <v>24</v>
      </c>
      <c r="E97" t="s">
        <v>24</v>
      </c>
      <c r="F97" t="s">
        <v>24</v>
      </c>
      <c r="G97" t="s">
        <v>24</v>
      </c>
      <c r="H97" t="s">
        <v>21</v>
      </c>
      <c r="I97" t="s">
        <v>24</v>
      </c>
      <c r="J97" t="s">
        <v>21</v>
      </c>
      <c r="K97" t="s">
        <v>21</v>
      </c>
      <c r="L97" t="s">
        <v>21</v>
      </c>
      <c r="M97" t="s">
        <v>21</v>
      </c>
      <c r="N97">
        <v>0.6</v>
      </c>
      <c r="O97">
        <v>40</v>
      </c>
      <c r="P97">
        <v>69</v>
      </c>
      <c r="Q97">
        <v>4.2</v>
      </c>
      <c r="R97">
        <v>67</v>
      </c>
      <c r="S97" t="s">
        <v>24</v>
      </c>
      <c r="T97" t="s">
        <v>22</v>
      </c>
    </row>
    <row r="98" spans="1:20" x14ac:dyDescent="0.3">
      <c r="A98">
        <v>30</v>
      </c>
      <c r="B98" t="s">
        <v>23</v>
      </c>
      <c r="C98" t="s">
        <v>21</v>
      </c>
      <c r="D98" t="s">
        <v>21</v>
      </c>
      <c r="E98" t="s">
        <v>24</v>
      </c>
      <c r="F98" t="s">
        <v>24</v>
      </c>
      <c r="G98" t="s">
        <v>21</v>
      </c>
      <c r="H98" t="s">
        <v>24</v>
      </c>
      <c r="I98" t="s">
        <v>24</v>
      </c>
      <c r="J98" t="s">
        <v>21</v>
      </c>
      <c r="K98" t="s">
        <v>24</v>
      </c>
      <c r="L98" t="s">
        <v>21</v>
      </c>
      <c r="M98" t="s">
        <v>21</v>
      </c>
      <c r="N98">
        <v>0.8</v>
      </c>
      <c r="O98">
        <v>147</v>
      </c>
      <c r="P98">
        <v>128</v>
      </c>
      <c r="Q98">
        <v>3.9</v>
      </c>
      <c r="R98">
        <v>100</v>
      </c>
      <c r="S98" t="s">
        <v>24</v>
      </c>
      <c r="T98" t="s">
        <v>22</v>
      </c>
    </row>
    <row r="99" spans="1:20" x14ac:dyDescent="0.3">
      <c r="A99">
        <v>44</v>
      </c>
      <c r="B99" t="s">
        <v>23</v>
      </c>
      <c r="C99" t="s">
        <v>21</v>
      </c>
      <c r="D99" t="s">
        <v>21</v>
      </c>
      <c r="E99" t="s">
        <v>24</v>
      </c>
      <c r="F99" t="s">
        <v>24</v>
      </c>
      <c r="G99" t="s">
        <v>21</v>
      </c>
      <c r="H99" t="s">
        <v>21</v>
      </c>
      <c r="I99" t="s">
        <v>24</v>
      </c>
      <c r="J99" t="s">
        <v>21</v>
      </c>
      <c r="K99" t="s">
        <v>24</v>
      </c>
      <c r="L99" t="s">
        <v>21</v>
      </c>
      <c r="M99" t="s">
        <v>21</v>
      </c>
      <c r="N99">
        <v>3</v>
      </c>
      <c r="O99">
        <v>114</v>
      </c>
      <c r="P99">
        <v>65</v>
      </c>
      <c r="Q99">
        <v>3.5</v>
      </c>
      <c r="S99" t="s">
        <v>24</v>
      </c>
      <c r="T99" t="s">
        <v>22</v>
      </c>
    </row>
    <row r="100" spans="1:20" x14ac:dyDescent="0.3">
      <c r="A100">
        <v>47</v>
      </c>
      <c r="B100" t="s">
        <v>23</v>
      </c>
      <c r="C100" t="s">
        <v>24</v>
      </c>
      <c r="D100" t="s">
        <v>21</v>
      </c>
      <c r="E100" t="s">
        <v>21</v>
      </c>
      <c r="F100" t="s">
        <v>21</v>
      </c>
      <c r="G100" t="s">
        <v>21</v>
      </c>
      <c r="H100" t="s">
        <v>24</v>
      </c>
      <c r="I100" t="s">
        <v>21</v>
      </c>
      <c r="J100" t="s">
        <v>21</v>
      </c>
      <c r="K100" t="s">
        <v>24</v>
      </c>
      <c r="L100" t="s">
        <v>21</v>
      </c>
      <c r="M100" t="s">
        <v>24</v>
      </c>
      <c r="N100">
        <v>2</v>
      </c>
      <c r="O100">
        <v>84</v>
      </c>
      <c r="P100">
        <v>23</v>
      </c>
      <c r="Q100">
        <v>4.2</v>
      </c>
      <c r="R100">
        <v>66</v>
      </c>
      <c r="S100" t="s">
        <v>24</v>
      </c>
      <c r="T100" t="s">
        <v>25</v>
      </c>
    </row>
    <row r="101" spans="1:20" x14ac:dyDescent="0.3">
      <c r="A101">
        <v>60</v>
      </c>
      <c r="B101" t="s">
        <v>23</v>
      </c>
      <c r="C101" t="s">
        <v>21</v>
      </c>
      <c r="D101" t="s">
        <v>21</v>
      </c>
      <c r="E101" t="s">
        <v>24</v>
      </c>
      <c r="F101" t="s">
        <v>21</v>
      </c>
      <c r="G101" t="s">
        <v>21</v>
      </c>
      <c r="H101" t="s">
        <v>21</v>
      </c>
      <c r="I101" t="s">
        <v>24</v>
      </c>
      <c r="J101" t="s">
        <v>24</v>
      </c>
      <c r="K101" t="s">
        <v>24</v>
      </c>
      <c r="L101" t="s">
        <v>21</v>
      </c>
      <c r="M101" t="s">
        <v>21</v>
      </c>
      <c r="P101">
        <v>40</v>
      </c>
      <c r="S101" t="s">
        <v>24</v>
      </c>
      <c r="T101" t="s">
        <v>22</v>
      </c>
    </row>
    <row r="102" spans="1:20" x14ac:dyDescent="0.3">
      <c r="A102">
        <v>48</v>
      </c>
      <c r="B102" t="s">
        <v>23</v>
      </c>
      <c r="C102" t="s">
        <v>21</v>
      </c>
      <c r="D102" t="s">
        <v>21</v>
      </c>
      <c r="E102" t="s">
        <v>24</v>
      </c>
      <c r="F102" t="s">
        <v>24</v>
      </c>
      <c r="G102" t="s">
        <v>21</v>
      </c>
      <c r="H102" t="s">
        <v>24</v>
      </c>
      <c r="I102" t="s">
        <v>24</v>
      </c>
      <c r="J102" t="s">
        <v>21</v>
      </c>
      <c r="K102" t="s">
        <v>24</v>
      </c>
      <c r="L102" t="s">
        <v>24</v>
      </c>
      <c r="M102" t="s">
        <v>24</v>
      </c>
      <c r="N102">
        <v>4.8</v>
      </c>
      <c r="O102">
        <v>123</v>
      </c>
      <c r="P102">
        <v>157</v>
      </c>
      <c r="Q102">
        <v>2.7</v>
      </c>
      <c r="R102">
        <v>31</v>
      </c>
      <c r="S102" t="s">
        <v>24</v>
      </c>
      <c r="T102" t="s">
        <v>25</v>
      </c>
    </row>
    <row r="103" spans="1:20" x14ac:dyDescent="0.3">
      <c r="A103">
        <v>22</v>
      </c>
      <c r="B103" t="s">
        <v>23</v>
      </c>
      <c r="C103" t="s">
        <v>24</v>
      </c>
      <c r="D103" t="s">
        <v>21</v>
      </c>
      <c r="E103" t="s">
        <v>21</v>
      </c>
      <c r="F103" t="s">
        <v>21</v>
      </c>
      <c r="G103" t="s">
        <v>21</v>
      </c>
      <c r="H103" t="s">
        <v>24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>
        <v>0.7</v>
      </c>
      <c r="P103">
        <v>24</v>
      </c>
      <c r="S103" t="s">
        <v>24</v>
      </c>
      <c r="T103" t="s">
        <v>22</v>
      </c>
    </row>
    <row r="104" spans="1:20" x14ac:dyDescent="0.3">
      <c r="A104">
        <v>27</v>
      </c>
      <c r="B104" t="s">
        <v>23</v>
      </c>
      <c r="C104" t="s">
        <v>21</v>
      </c>
      <c r="D104" t="s">
        <v>21</v>
      </c>
      <c r="E104" t="s">
        <v>24</v>
      </c>
      <c r="F104" t="s">
        <v>21</v>
      </c>
      <c r="G104" t="s">
        <v>21</v>
      </c>
      <c r="H104" t="s">
        <v>24</v>
      </c>
      <c r="I104" t="s">
        <v>24</v>
      </c>
      <c r="J104" t="s">
        <v>21</v>
      </c>
      <c r="K104" t="s">
        <v>21</v>
      </c>
      <c r="L104" t="s">
        <v>21</v>
      </c>
      <c r="M104" t="s">
        <v>21</v>
      </c>
      <c r="N104">
        <v>2.4</v>
      </c>
      <c r="O104">
        <v>168</v>
      </c>
      <c r="P104">
        <v>227</v>
      </c>
      <c r="Q104">
        <v>3</v>
      </c>
      <c r="R104">
        <v>66</v>
      </c>
      <c r="S104" t="s">
        <v>24</v>
      </c>
      <c r="T104" t="s">
        <v>22</v>
      </c>
    </row>
    <row r="105" spans="1:20" x14ac:dyDescent="0.3">
      <c r="A105">
        <v>51</v>
      </c>
      <c r="B105" t="s">
        <v>23</v>
      </c>
      <c r="C105" t="s">
        <v>21</v>
      </c>
      <c r="D105" t="s">
        <v>21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21</v>
      </c>
      <c r="M105" t="s">
        <v>24</v>
      </c>
      <c r="N105">
        <v>4.5999999999999996</v>
      </c>
      <c r="O105">
        <v>215</v>
      </c>
      <c r="P105">
        <v>269</v>
      </c>
      <c r="Q105">
        <v>3.9</v>
      </c>
      <c r="R105">
        <v>51</v>
      </c>
      <c r="S105" t="s">
        <v>24</v>
      </c>
      <c r="T105" t="s">
        <v>22</v>
      </c>
    </row>
    <row r="106" spans="1:20" x14ac:dyDescent="0.3">
      <c r="A106">
        <v>47</v>
      </c>
      <c r="B106" t="s">
        <v>23</v>
      </c>
      <c r="C106" t="s">
        <v>24</v>
      </c>
      <c r="D106" t="s">
        <v>21</v>
      </c>
      <c r="E106" t="s">
        <v>24</v>
      </c>
      <c r="F106" t="s">
        <v>24</v>
      </c>
      <c r="G106" t="s">
        <v>21</v>
      </c>
      <c r="H106" t="s">
        <v>24</v>
      </c>
      <c r="I106" t="s">
        <v>24</v>
      </c>
      <c r="J106" t="s">
        <v>21</v>
      </c>
      <c r="K106" t="s">
        <v>21</v>
      </c>
      <c r="L106" t="s">
        <v>24</v>
      </c>
      <c r="M106" t="s">
        <v>24</v>
      </c>
      <c r="N106">
        <v>1.7</v>
      </c>
      <c r="O106">
        <v>86</v>
      </c>
      <c r="P106">
        <v>20</v>
      </c>
      <c r="Q106">
        <v>2.1</v>
      </c>
      <c r="R106">
        <v>46</v>
      </c>
      <c r="S106" t="s">
        <v>24</v>
      </c>
      <c r="T106" t="s">
        <v>25</v>
      </c>
    </row>
    <row r="107" spans="1:20" x14ac:dyDescent="0.3">
      <c r="A107">
        <v>25</v>
      </c>
      <c r="B107" t="s">
        <v>23</v>
      </c>
      <c r="C107" t="s">
        <v>24</v>
      </c>
      <c r="D107" t="s">
        <v>21</v>
      </c>
      <c r="E107" t="s">
        <v>21</v>
      </c>
      <c r="F107" t="s">
        <v>21</v>
      </c>
      <c r="G107" t="s">
        <v>21</v>
      </c>
      <c r="H107" t="s">
        <v>24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>
        <v>0.6</v>
      </c>
      <c r="P107">
        <v>34</v>
      </c>
      <c r="Q107">
        <v>6.4</v>
      </c>
      <c r="S107" t="s">
        <v>24</v>
      </c>
      <c r="T107" t="s">
        <v>22</v>
      </c>
    </row>
    <row r="108" spans="1:20" x14ac:dyDescent="0.3">
      <c r="A108">
        <v>35</v>
      </c>
      <c r="B108" t="s">
        <v>23</v>
      </c>
      <c r="C108" t="s">
        <v>21</v>
      </c>
      <c r="D108" t="s">
        <v>21</v>
      </c>
      <c r="E108" t="s">
        <v>24</v>
      </c>
      <c r="F108" t="s">
        <v>21</v>
      </c>
      <c r="G108" t="s">
        <v>21</v>
      </c>
      <c r="J108" t="s">
        <v>24</v>
      </c>
      <c r="K108" t="s">
        <v>24</v>
      </c>
      <c r="L108" t="s">
        <v>24</v>
      </c>
      <c r="M108" t="s">
        <v>21</v>
      </c>
      <c r="N108">
        <v>1.5</v>
      </c>
      <c r="O108">
        <v>138</v>
      </c>
      <c r="P108">
        <v>58</v>
      </c>
      <c r="Q108">
        <v>2.6</v>
      </c>
      <c r="S108" t="s">
        <v>24</v>
      </c>
      <c r="T108" t="s">
        <v>25</v>
      </c>
    </row>
    <row r="109" spans="1:20" x14ac:dyDescent="0.3">
      <c r="A109">
        <v>45</v>
      </c>
      <c r="B109" t="s">
        <v>23</v>
      </c>
      <c r="C109" t="s">
        <v>21</v>
      </c>
      <c r="D109" t="s">
        <v>21</v>
      </c>
      <c r="E109" t="s">
        <v>24</v>
      </c>
      <c r="F109" t="s">
        <v>24</v>
      </c>
      <c r="G109" t="s">
        <v>24</v>
      </c>
      <c r="H109" t="s">
        <v>24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>
        <v>2.2999999999999998</v>
      </c>
      <c r="P109">
        <v>648</v>
      </c>
      <c r="S109" t="s">
        <v>24</v>
      </c>
      <c r="T109" t="s">
        <v>22</v>
      </c>
    </row>
    <row r="110" spans="1:20" x14ac:dyDescent="0.3">
      <c r="A110">
        <v>54</v>
      </c>
      <c r="B110" t="s">
        <v>23</v>
      </c>
      <c r="C110" t="s">
        <v>21</v>
      </c>
      <c r="D110" t="s">
        <v>24</v>
      </c>
      <c r="E110" t="s">
        <v>21</v>
      </c>
      <c r="F110" t="s">
        <v>21</v>
      </c>
      <c r="G110" t="s">
        <v>21</v>
      </c>
      <c r="H110" t="s">
        <v>21</v>
      </c>
      <c r="I110" t="s">
        <v>24</v>
      </c>
      <c r="J110" t="s">
        <v>21</v>
      </c>
      <c r="K110" t="s">
        <v>21</v>
      </c>
      <c r="L110" t="s">
        <v>21</v>
      </c>
      <c r="M110" t="s">
        <v>21</v>
      </c>
      <c r="N110">
        <v>1</v>
      </c>
      <c r="O110">
        <v>155</v>
      </c>
      <c r="P110">
        <v>225</v>
      </c>
      <c r="Q110">
        <v>3.6</v>
      </c>
      <c r="R110">
        <v>67</v>
      </c>
      <c r="S110" t="s">
        <v>24</v>
      </c>
      <c r="T110" t="s">
        <v>22</v>
      </c>
    </row>
    <row r="111" spans="1:20" x14ac:dyDescent="0.3">
      <c r="A111">
        <v>33</v>
      </c>
      <c r="B111" t="s">
        <v>23</v>
      </c>
      <c r="C111" t="s">
        <v>21</v>
      </c>
      <c r="D111" t="s">
        <v>21</v>
      </c>
      <c r="E111" t="s">
        <v>24</v>
      </c>
      <c r="F111" t="s">
        <v>24</v>
      </c>
      <c r="G111" t="s">
        <v>21</v>
      </c>
      <c r="H111" t="s">
        <v>24</v>
      </c>
      <c r="I111" t="s">
        <v>21</v>
      </c>
      <c r="J111" t="s">
        <v>21</v>
      </c>
      <c r="K111" t="s">
        <v>21</v>
      </c>
      <c r="L111" t="s">
        <v>24</v>
      </c>
      <c r="M111" t="s">
        <v>21</v>
      </c>
      <c r="N111">
        <v>0.7</v>
      </c>
      <c r="O111">
        <v>63</v>
      </c>
      <c r="P111">
        <v>80</v>
      </c>
      <c r="Q111">
        <v>3</v>
      </c>
      <c r="R111">
        <v>31</v>
      </c>
      <c r="S111" t="s">
        <v>24</v>
      </c>
      <c r="T111" t="s">
        <v>25</v>
      </c>
    </row>
    <row r="112" spans="1:20" x14ac:dyDescent="0.3">
      <c r="A112">
        <v>7</v>
      </c>
      <c r="B112" t="s">
        <v>23</v>
      </c>
      <c r="C112" t="s">
        <v>24</v>
      </c>
      <c r="D112" t="s">
        <v>21</v>
      </c>
      <c r="E112" t="s">
        <v>21</v>
      </c>
      <c r="F112" t="s">
        <v>21</v>
      </c>
      <c r="G112" t="s">
        <v>21</v>
      </c>
      <c r="H112" t="s">
        <v>24</v>
      </c>
      <c r="I112" t="s">
        <v>24</v>
      </c>
      <c r="J112" t="s">
        <v>24</v>
      </c>
      <c r="K112" t="s">
        <v>21</v>
      </c>
      <c r="L112" t="s">
        <v>21</v>
      </c>
      <c r="M112" t="s">
        <v>21</v>
      </c>
      <c r="N112">
        <v>0.7</v>
      </c>
      <c r="O112">
        <v>256</v>
      </c>
      <c r="P112">
        <v>25</v>
      </c>
      <c r="Q112">
        <v>4.2</v>
      </c>
      <c r="S112" t="s">
        <v>24</v>
      </c>
      <c r="T112" t="s">
        <v>22</v>
      </c>
    </row>
    <row r="113" spans="1:20" x14ac:dyDescent="0.3">
      <c r="A113">
        <v>42</v>
      </c>
      <c r="B113" t="s">
        <v>23</v>
      </c>
      <c r="C113" t="s">
        <v>21</v>
      </c>
      <c r="D113" t="s">
        <v>24</v>
      </c>
      <c r="E113" t="s">
        <v>24</v>
      </c>
      <c r="F113" t="s">
        <v>24</v>
      </c>
      <c r="G113" t="s">
        <v>21</v>
      </c>
      <c r="H113" t="s">
        <v>24</v>
      </c>
      <c r="I113" t="s">
        <v>21</v>
      </c>
      <c r="J113" t="s">
        <v>21</v>
      </c>
      <c r="K113" t="s">
        <v>24</v>
      </c>
      <c r="L113" t="s">
        <v>21</v>
      </c>
      <c r="M113" t="s">
        <v>21</v>
      </c>
      <c r="N113">
        <v>0.5</v>
      </c>
      <c r="O113">
        <v>62</v>
      </c>
      <c r="P113">
        <v>68</v>
      </c>
      <c r="Q113">
        <v>3.8</v>
      </c>
      <c r="R113">
        <v>29</v>
      </c>
      <c r="S113" t="s">
        <v>24</v>
      </c>
      <c r="T113" t="s">
        <v>25</v>
      </c>
    </row>
    <row r="114" spans="1:20" x14ac:dyDescent="0.3">
      <c r="A114">
        <v>52</v>
      </c>
      <c r="B114" t="s">
        <v>23</v>
      </c>
      <c r="C114" t="s">
        <v>21</v>
      </c>
      <c r="D114" t="s">
        <v>21</v>
      </c>
      <c r="E114" t="s">
        <v>24</v>
      </c>
      <c r="F114" t="s">
        <v>21</v>
      </c>
      <c r="G114" t="s">
        <v>21</v>
      </c>
      <c r="H114" t="s">
        <v>24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>
        <v>1</v>
      </c>
      <c r="O114">
        <v>85</v>
      </c>
      <c r="P114">
        <v>30</v>
      </c>
      <c r="Q114">
        <v>4</v>
      </c>
      <c r="S114" t="s">
        <v>24</v>
      </c>
      <c r="T114" t="s">
        <v>22</v>
      </c>
    </row>
    <row r="115" spans="1:20" x14ac:dyDescent="0.3">
      <c r="A115">
        <v>45</v>
      </c>
      <c r="B115" t="s">
        <v>23</v>
      </c>
      <c r="C115" t="s">
        <v>21</v>
      </c>
      <c r="D115" t="s">
        <v>21</v>
      </c>
      <c r="E115" t="s">
        <v>24</v>
      </c>
      <c r="F115" t="s">
        <v>21</v>
      </c>
      <c r="G115" t="s">
        <v>21</v>
      </c>
      <c r="H115" t="s">
        <v>24</v>
      </c>
      <c r="I115" t="s">
        <v>24</v>
      </c>
      <c r="J115" t="s">
        <v>24</v>
      </c>
      <c r="K115" t="s">
        <v>21</v>
      </c>
      <c r="L115" t="s">
        <v>21</v>
      </c>
      <c r="M115" t="s">
        <v>21</v>
      </c>
      <c r="N115">
        <v>1.2</v>
      </c>
      <c r="O115">
        <v>81</v>
      </c>
      <c r="P115">
        <v>65</v>
      </c>
      <c r="Q115">
        <v>3</v>
      </c>
      <c r="S115" t="s">
        <v>21</v>
      </c>
      <c r="T115" t="s">
        <v>22</v>
      </c>
    </row>
    <row r="116" spans="1:20" x14ac:dyDescent="0.3">
      <c r="A116">
        <v>36</v>
      </c>
      <c r="B116" t="s">
        <v>23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24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>
        <v>1.1000000000000001</v>
      </c>
      <c r="O116">
        <v>141</v>
      </c>
      <c r="P116">
        <v>75</v>
      </c>
      <c r="Q116">
        <v>3.3</v>
      </c>
      <c r="S116" t="s">
        <v>24</v>
      </c>
      <c r="T116" t="s">
        <v>22</v>
      </c>
    </row>
    <row r="117" spans="1:20" x14ac:dyDescent="0.3">
      <c r="A117">
        <v>69</v>
      </c>
      <c r="B117" t="s">
        <v>20</v>
      </c>
      <c r="C117" t="s">
        <v>24</v>
      </c>
      <c r="D117" t="s">
        <v>21</v>
      </c>
      <c r="E117" t="s">
        <v>24</v>
      </c>
      <c r="F117" t="s">
        <v>21</v>
      </c>
      <c r="G117" t="s">
        <v>21</v>
      </c>
      <c r="H117" t="s">
        <v>24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>
        <v>3.2</v>
      </c>
      <c r="O117">
        <v>119</v>
      </c>
      <c r="P117">
        <v>136</v>
      </c>
      <c r="S117" t="s">
        <v>24</v>
      </c>
      <c r="T117" t="s">
        <v>22</v>
      </c>
    </row>
    <row r="118" spans="1:20" x14ac:dyDescent="0.3">
      <c r="A118">
        <v>24</v>
      </c>
      <c r="B118" t="s">
        <v>23</v>
      </c>
      <c r="C118" t="s">
        <v>21</v>
      </c>
      <c r="D118" t="s">
        <v>21</v>
      </c>
      <c r="E118" t="s">
        <v>24</v>
      </c>
      <c r="F118" t="s">
        <v>21</v>
      </c>
      <c r="G118" t="s">
        <v>21</v>
      </c>
      <c r="H118" t="s">
        <v>24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>
        <v>1</v>
      </c>
      <c r="P118">
        <v>34</v>
      </c>
      <c r="Q118">
        <v>4.0999999999999996</v>
      </c>
      <c r="S118" t="s">
        <v>24</v>
      </c>
      <c r="T118" t="s">
        <v>22</v>
      </c>
    </row>
    <row r="119" spans="1:20" x14ac:dyDescent="0.3">
      <c r="A119">
        <v>50</v>
      </c>
      <c r="B119" t="s">
        <v>23</v>
      </c>
      <c r="C119" t="s">
        <v>24</v>
      </c>
      <c r="D119" t="s">
        <v>21</v>
      </c>
      <c r="E119" t="s">
        <v>21</v>
      </c>
      <c r="F119" t="s">
        <v>21</v>
      </c>
      <c r="G119" t="s">
        <v>21</v>
      </c>
      <c r="H119" t="s">
        <v>24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>
        <v>1</v>
      </c>
      <c r="O119">
        <v>139</v>
      </c>
      <c r="P119">
        <v>81</v>
      </c>
      <c r="Q119">
        <v>3.9</v>
      </c>
      <c r="R119">
        <v>62</v>
      </c>
      <c r="S119" t="s">
        <v>24</v>
      </c>
      <c r="T119" t="s">
        <v>22</v>
      </c>
    </row>
    <row r="120" spans="1:20" x14ac:dyDescent="0.3">
      <c r="A120">
        <v>61</v>
      </c>
      <c r="B120" t="s">
        <v>23</v>
      </c>
      <c r="C120" t="s">
        <v>21</v>
      </c>
      <c r="D120" t="s">
        <v>21</v>
      </c>
      <c r="E120" t="s">
        <v>24</v>
      </c>
      <c r="F120" t="s">
        <v>24</v>
      </c>
      <c r="G120" t="s">
        <v>21</v>
      </c>
      <c r="J120" t="s">
        <v>21</v>
      </c>
      <c r="K120" t="s">
        <v>24</v>
      </c>
      <c r="L120" t="s">
        <v>21</v>
      </c>
      <c r="M120" t="s">
        <v>21</v>
      </c>
      <c r="S120" t="s">
        <v>24</v>
      </c>
      <c r="T120" t="s">
        <v>25</v>
      </c>
    </row>
    <row r="121" spans="1:20" x14ac:dyDescent="0.3">
      <c r="A121">
        <v>54</v>
      </c>
      <c r="B121" t="s">
        <v>23</v>
      </c>
      <c r="C121" t="s">
        <v>24</v>
      </c>
      <c r="D121" t="s">
        <v>21</v>
      </c>
      <c r="E121" t="s">
        <v>24</v>
      </c>
      <c r="F121" t="s">
        <v>21</v>
      </c>
      <c r="G121" t="s">
        <v>21</v>
      </c>
      <c r="H121" t="s">
        <v>21</v>
      </c>
      <c r="I121" t="s">
        <v>24</v>
      </c>
      <c r="J121" t="s">
        <v>21</v>
      </c>
      <c r="K121" t="s">
        <v>21</v>
      </c>
      <c r="L121" t="s">
        <v>21</v>
      </c>
      <c r="M121" t="s">
        <v>21</v>
      </c>
      <c r="N121">
        <v>3.2</v>
      </c>
      <c r="O121">
        <v>85</v>
      </c>
      <c r="P121">
        <v>28</v>
      </c>
      <c r="Q121">
        <v>3.8</v>
      </c>
      <c r="S121" t="s">
        <v>24</v>
      </c>
      <c r="T121" t="s">
        <v>22</v>
      </c>
    </row>
    <row r="122" spans="1:20" x14ac:dyDescent="0.3">
      <c r="A122">
        <v>56</v>
      </c>
      <c r="B122" t="s">
        <v>23</v>
      </c>
      <c r="C122" t="s">
        <v>21</v>
      </c>
      <c r="D122" t="s">
        <v>21</v>
      </c>
      <c r="E122" t="s">
        <v>24</v>
      </c>
      <c r="F122" t="s">
        <v>24</v>
      </c>
      <c r="G122" t="s">
        <v>24</v>
      </c>
      <c r="H122" t="s">
        <v>21</v>
      </c>
      <c r="I122" t="s">
        <v>24</v>
      </c>
      <c r="J122" t="s">
        <v>21</v>
      </c>
      <c r="K122" t="s">
        <v>24</v>
      </c>
      <c r="L122" t="s">
        <v>21</v>
      </c>
      <c r="M122" t="s">
        <v>21</v>
      </c>
      <c r="N122">
        <v>2.9</v>
      </c>
      <c r="O122">
        <v>90</v>
      </c>
      <c r="P122">
        <v>153</v>
      </c>
      <c r="Q122">
        <v>4</v>
      </c>
      <c r="S122" t="s">
        <v>24</v>
      </c>
      <c r="T122" t="s">
        <v>25</v>
      </c>
    </row>
    <row r="123" spans="1:20" x14ac:dyDescent="0.3">
      <c r="A123">
        <v>20</v>
      </c>
      <c r="B123" t="s">
        <v>23</v>
      </c>
      <c r="C123" t="s">
        <v>21</v>
      </c>
      <c r="D123" t="s">
        <v>21</v>
      </c>
      <c r="E123" t="s">
        <v>24</v>
      </c>
      <c r="F123" t="s">
        <v>24</v>
      </c>
      <c r="G123" t="s">
        <v>24</v>
      </c>
      <c r="H123" t="s">
        <v>24</v>
      </c>
      <c r="I123" t="s">
        <v>21</v>
      </c>
      <c r="J123" t="s">
        <v>21</v>
      </c>
      <c r="K123" t="s">
        <v>24</v>
      </c>
      <c r="L123" t="s">
        <v>24</v>
      </c>
      <c r="M123" t="s">
        <v>21</v>
      </c>
      <c r="N123">
        <v>1</v>
      </c>
      <c r="O123">
        <v>160</v>
      </c>
      <c r="P123">
        <v>118</v>
      </c>
      <c r="Q123">
        <v>2.9</v>
      </c>
      <c r="R123">
        <v>23</v>
      </c>
      <c r="S123" t="s">
        <v>24</v>
      </c>
      <c r="T123" t="s">
        <v>22</v>
      </c>
    </row>
    <row r="124" spans="1:20" x14ac:dyDescent="0.3">
      <c r="A124">
        <v>42</v>
      </c>
      <c r="B124" t="s">
        <v>23</v>
      </c>
      <c r="C124" t="s">
        <v>24</v>
      </c>
      <c r="D124" t="s">
        <v>21</v>
      </c>
      <c r="E124" t="s">
        <v>21</v>
      </c>
      <c r="F124" t="s">
        <v>21</v>
      </c>
      <c r="G124" t="s">
        <v>21</v>
      </c>
      <c r="H124" t="s">
        <v>24</v>
      </c>
      <c r="I124" t="s">
        <v>21</v>
      </c>
      <c r="J124" t="s">
        <v>24</v>
      </c>
      <c r="K124" t="s">
        <v>21</v>
      </c>
      <c r="L124" t="s">
        <v>21</v>
      </c>
      <c r="M124" t="s">
        <v>21</v>
      </c>
      <c r="N124">
        <v>1.5</v>
      </c>
      <c r="O124">
        <v>85</v>
      </c>
      <c r="P124">
        <v>40</v>
      </c>
      <c r="S124" t="s">
        <v>24</v>
      </c>
      <c r="T124" t="s">
        <v>22</v>
      </c>
    </row>
    <row r="125" spans="1:20" x14ac:dyDescent="0.3">
      <c r="A125">
        <v>37</v>
      </c>
      <c r="B125" t="s">
        <v>23</v>
      </c>
      <c r="C125" t="s">
        <v>21</v>
      </c>
      <c r="D125" t="s">
        <v>21</v>
      </c>
      <c r="E125" t="s">
        <v>24</v>
      </c>
      <c r="F125" t="s">
        <v>21</v>
      </c>
      <c r="G125" t="s">
        <v>21</v>
      </c>
      <c r="H125" t="s">
        <v>24</v>
      </c>
      <c r="I125" t="s">
        <v>21</v>
      </c>
      <c r="J125" t="s">
        <v>21</v>
      </c>
      <c r="K125" t="s">
        <v>24</v>
      </c>
      <c r="L125" t="s">
        <v>21</v>
      </c>
      <c r="M125" t="s">
        <v>21</v>
      </c>
      <c r="N125">
        <v>0.9</v>
      </c>
      <c r="P125">
        <v>231</v>
      </c>
      <c r="Q125">
        <v>4.3</v>
      </c>
      <c r="S125" t="s">
        <v>24</v>
      </c>
      <c r="T125" t="s">
        <v>22</v>
      </c>
    </row>
    <row r="126" spans="1:20" x14ac:dyDescent="0.3">
      <c r="A126">
        <v>50</v>
      </c>
      <c r="B126" t="s">
        <v>23</v>
      </c>
      <c r="C126" t="s">
        <v>24</v>
      </c>
      <c r="D126" t="s">
        <v>21</v>
      </c>
      <c r="E126" t="s">
        <v>21</v>
      </c>
      <c r="F126" t="s">
        <v>21</v>
      </c>
      <c r="G126" t="s">
        <v>21</v>
      </c>
      <c r="H126" t="s">
        <v>24</v>
      </c>
      <c r="I126" t="s">
        <v>24</v>
      </c>
      <c r="J126" t="s">
        <v>24</v>
      </c>
      <c r="K126" t="s">
        <v>24</v>
      </c>
      <c r="L126" t="s">
        <v>21</v>
      </c>
      <c r="M126" t="s">
        <v>21</v>
      </c>
      <c r="N126">
        <v>1</v>
      </c>
      <c r="O126">
        <v>85</v>
      </c>
      <c r="P126">
        <v>75</v>
      </c>
      <c r="Q126">
        <v>4</v>
      </c>
      <c r="R126">
        <v>72</v>
      </c>
      <c r="S126" t="s">
        <v>24</v>
      </c>
      <c r="T126" t="s">
        <v>22</v>
      </c>
    </row>
    <row r="127" spans="1:20" x14ac:dyDescent="0.3">
      <c r="A127">
        <v>34</v>
      </c>
      <c r="B127" t="s">
        <v>20</v>
      </c>
      <c r="C127" t="s">
        <v>24</v>
      </c>
      <c r="D127" t="s">
        <v>21</v>
      </c>
      <c r="E127" t="s">
        <v>24</v>
      </c>
      <c r="F127" t="s">
        <v>24</v>
      </c>
      <c r="G127" t="s">
        <v>24</v>
      </c>
      <c r="H127" t="s">
        <v>21</v>
      </c>
      <c r="I127" t="s">
        <v>24</v>
      </c>
      <c r="J127" t="s">
        <v>21</v>
      </c>
      <c r="K127" t="s">
        <v>24</v>
      </c>
      <c r="L127" t="s">
        <v>21</v>
      </c>
      <c r="M127" t="s">
        <v>21</v>
      </c>
      <c r="N127">
        <v>0.7</v>
      </c>
      <c r="O127">
        <v>70</v>
      </c>
      <c r="P127">
        <v>24</v>
      </c>
      <c r="Q127">
        <v>4.0999999999999996</v>
      </c>
      <c r="R127">
        <v>100</v>
      </c>
      <c r="S127" t="s">
        <v>24</v>
      </c>
      <c r="T127" t="s">
        <v>22</v>
      </c>
    </row>
    <row r="128" spans="1:20" x14ac:dyDescent="0.3">
      <c r="A128">
        <v>28</v>
      </c>
      <c r="B128" t="s">
        <v>23</v>
      </c>
      <c r="C128" t="s">
        <v>24</v>
      </c>
      <c r="D128" t="s">
        <v>21</v>
      </c>
      <c r="E128" t="s">
        <v>24</v>
      </c>
      <c r="F128" t="s">
        <v>24</v>
      </c>
      <c r="G128" t="s">
        <v>24</v>
      </c>
      <c r="J128" t="s">
        <v>21</v>
      </c>
      <c r="K128" t="s">
        <v>24</v>
      </c>
      <c r="L128" t="s">
        <v>24</v>
      </c>
      <c r="M128" t="s">
        <v>21</v>
      </c>
      <c r="N128">
        <v>1</v>
      </c>
      <c r="P128">
        <v>20</v>
      </c>
      <c r="Q128">
        <v>4</v>
      </c>
      <c r="S128" t="s">
        <v>24</v>
      </c>
      <c r="T128" t="s">
        <v>22</v>
      </c>
    </row>
    <row r="129" spans="1:20" x14ac:dyDescent="0.3">
      <c r="A129">
        <v>50</v>
      </c>
      <c r="B129" t="s">
        <v>23</v>
      </c>
      <c r="C129" t="s">
        <v>24</v>
      </c>
      <c r="D129" t="s">
        <v>21</v>
      </c>
      <c r="E129" t="s">
        <v>24</v>
      </c>
      <c r="F129" t="s">
        <v>21</v>
      </c>
      <c r="G129" t="s">
        <v>21</v>
      </c>
      <c r="H129" t="s">
        <v>24</v>
      </c>
      <c r="I129" t="s">
        <v>24</v>
      </c>
      <c r="J129" t="s">
        <v>24</v>
      </c>
      <c r="K129" t="s">
        <v>21</v>
      </c>
      <c r="L129" t="s">
        <v>24</v>
      </c>
      <c r="M129" t="s">
        <v>24</v>
      </c>
      <c r="N129">
        <v>2.8</v>
      </c>
      <c r="O129">
        <v>155</v>
      </c>
      <c r="P129">
        <v>75</v>
      </c>
      <c r="Q129">
        <v>2.4</v>
      </c>
      <c r="R129">
        <v>32</v>
      </c>
      <c r="S129" t="s">
        <v>24</v>
      </c>
      <c r="T129" t="s">
        <v>25</v>
      </c>
    </row>
    <row r="130" spans="1:20" x14ac:dyDescent="0.3">
      <c r="A130">
        <v>54</v>
      </c>
      <c r="B130" t="s">
        <v>23</v>
      </c>
      <c r="C130" t="s">
        <v>21</v>
      </c>
      <c r="D130" t="s">
        <v>21</v>
      </c>
      <c r="E130" t="s">
        <v>24</v>
      </c>
      <c r="F130" t="s">
        <v>24</v>
      </c>
      <c r="G130" t="s">
        <v>21</v>
      </c>
      <c r="H130" t="s">
        <v>24</v>
      </c>
      <c r="I130" t="s">
        <v>21</v>
      </c>
      <c r="J130" t="s">
        <v>21</v>
      </c>
      <c r="K130" t="s">
        <v>21</v>
      </c>
      <c r="L130" t="s">
        <v>24</v>
      </c>
      <c r="M130" t="s">
        <v>21</v>
      </c>
      <c r="N130">
        <v>1.2</v>
      </c>
      <c r="O130">
        <v>85</v>
      </c>
      <c r="P130">
        <v>92</v>
      </c>
      <c r="Q130">
        <v>3.1</v>
      </c>
      <c r="R130">
        <v>66</v>
      </c>
      <c r="S130" t="s">
        <v>24</v>
      </c>
      <c r="T130" t="s">
        <v>22</v>
      </c>
    </row>
    <row r="131" spans="1:20" x14ac:dyDescent="0.3">
      <c r="A131">
        <v>57</v>
      </c>
      <c r="B131" t="s">
        <v>23</v>
      </c>
      <c r="C131" t="s">
        <v>21</v>
      </c>
      <c r="D131" t="s">
        <v>21</v>
      </c>
      <c r="E131" t="s">
        <v>24</v>
      </c>
      <c r="F131" t="s">
        <v>24</v>
      </c>
      <c r="G131" t="s">
        <v>21</v>
      </c>
      <c r="H131" t="s">
        <v>24</v>
      </c>
      <c r="I131" t="s">
        <v>21</v>
      </c>
      <c r="J131" t="s">
        <v>21</v>
      </c>
      <c r="K131" t="s">
        <v>24</v>
      </c>
      <c r="L131" t="s">
        <v>24</v>
      </c>
      <c r="M131" t="s">
        <v>21</v>
      </c>
      <c r="N131">
        <v>4.5999999999999996</v>
      </c>
      <c r="O131">
        <v>82</v>
      </c>
      <c r="P131">
        <v>55</v>
      </c>
      <c r="Q131">
        <v>3.3</v>
      </c>
      <c r="R131">
        <v>30</v>
      </c>
      <c r="S131" t="s">
        <v>24</v>
      </c>
      <c r="T131" t="s">
        <v>25</v>
      </c>
    </row>
    <row r="132" spans="1:20" x14ac:dyDescent="0.3">
      <c r="A132">
        <v>54</v>
      </c>
      <c r="B132" t="s">
        <v>23</v>
      </c>
      <c r="C132" t="s">
        <v>24</v>
      </c>
      <c r="D132" t="s">
        <v>21</v>
      </c>
      <c r="E132" t="s">
        <v>21</v>
      </c>
      <c r="F132" t="s">
        <v>21</v>
      </c>
      <c r="G132" t="s">
        <v>21</v>
      </c>
      <c r="H132" t="s">
        <v>24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>
        <v>1</v>
      </c>
      <c r="O132">
        <v>85</v>
      </c>
      <c r="P132">
        <v>30</v>
      </c>
      <c r="Q132">
        <v>4.5</v>
      </c>
      <c r="R132">
        <v>0</v>
      </c>
      <c r="S132" t="s">
        <v>24</v>
      </c>
      <c r="T132" t="s">
        <v>22</v>
      </c>
    </row>
    <row r="133" spans="1:20" x14ac:dyDescent="0.3">
      <c r="A133">
        <v>31</v>
      </c>
      <c r="B133" t="s">
        <v>23</v>
      </c>
      <c r="C133" t="s">
        <v>21</v>
      </c>
      <c r="D133" t="s">
        <v>21</v>
      </c>
      <c r="E133" t="s">
        <v>24</v>
      </c>
      <c r="F133" t="s">
        <v>24</v>
      </c>
      <c r="G133" t="s">
        <v>24</v>
      </c>
      <c r="H133" t="s">
        <v>24</v>
      </c>
      <c r="I133" t="s">
        <v>21</v>
      </c>
      <c r="J133" t="s">
        <v>24</v>
      </c>
      <c r="K133" t="s">
        <v>21</v>
      </c>
      <c r="L133" t="s">
        <v>21</v>
      </c>
      <c r="M133" t="s">
        <v>21</v>
      </c>
      <c r="N133">
        <v>8</v>
      </c>
      <c r="P133">
        <v>101</v>
      </c>
      <c r="Q133">
        <v>2.2000000000000002</v>
      </c>
      <c r="S133" t="s">
        <v>24</v>
      </c>
      <c r="T133" t="s">
        <v>25</v>
      </c>
    </row>
    <row r="134" spans="1:20" x14ac:dyDescent="0.3">
      <c r="A134">
        <v>48</v>
      </c>
      <c r="B134" t="s">
        <v>23</v>
      </c>
      <c r="C134" t="s">
        <v>24</v>
      </c>
      <c r="D134" t="s">
        <v>21</v>
      </c>
      <c r="E134" t="s">
        <v>24</v>
      </c>
      <c r="F134" t="s">
        <v>24</v>
      </c>
      <c r="G134" t="s">
        <v>24</v>
      </c>
      <c r="H134" t="s">
        <v>24</v>
      </c>
      <c r="I134" t="s">
        <v>24</v>
      </c>
      <c r="J134" t="s">
        <v>21</v>
      </c>
      <c r="K134" t="s">
        <v>24</v>
      </c>
      <c r="L134" t="s">
        <v>21</v>
      </c>
      <c r="M134" t="s">
        <v>21</v>
      </c>
      <c r="N134">
        <v>2</v>
      </c>
      <c r="O134">
        <v>158</v>
      </c>
      <c r="P134">
        <v>278</v>
      </c>
      <c r="Q134">
        <v>3.8</v>
      </c>
      <c r="S134" t="s">
        <v>24</v>
      </c>
      <c r="T134" t="s">
        <v>22</v>
      </c>
    </row>
    <row r="135" spans="1:20" x14ac:dyDescent="0.3">
      <c r="A135">
        <v>72</v>
      </c>
      <c r="B135" t="s">
        <v>23</v>
      </c>
      <c r="C135" t="s">
        <v>24</v>
      </c>
      <c r="D135" t="s">
        <v>24</v>
      </c>
      <c r="E135" t="s">
        <v>24</v>
      </c>
      <c r="F135" t="s">
        <v>21</v>
      </c>
      <c r="G135" t="s">
        <v>21</v>
      </c>
      <c r="H135" t="s">
        <v>24</v>
      </c>
      <c r="I135" t="s">
        <v>24</v>
      </c>
      <c r="J135" t="s">
        <v>21</v>
      </c>
      <c r="K135" t="s">
        <v>21</v>
      </c>
      <c r="L135" t="s">
        <v>21</v>
      </c>
      <c r="M135" t="s">
        <v>21</v>
      </c>
      <c r="N135">
        <v>1</v>
      </c>
      <c r="O135">
        <v>115</v>
      </c>
      <c r="P135">
        <v>52</v>
      </c>
      <c r="Q135">
        <v>3.4</v>
      </c>
      <c r="R135">
        <v>50</v>
      </c>
      <c r="S135" t="s">
        <v>24</v>
      </c>
      <c r="T135" t="s">
        <v>22</v>
      </c>
    </row>
    <row r="136" spans="1:20" x14ac:dyDescent="0.3">
      <c r="A136">
        <v>38</v>
      </c>
      <c r="B136" t="s">
        <v>23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24</v>
      </c>
      <c r="I136" t="s">
        <v>24</v>
      </c>
      <c r="J136" t="s">
        <v>21</v>
      </c>
      <c r="K136" t="s">
        <v>21</v>
      </c>
      <c r="L136" t="s">
        <v>21</v>
      </c>
      <c r="M136" t="s">
        <v>21</v>
      </c>
      <c r="N136">
        <v>0.4</v>
      </c>
      <c r="O136">
        <v>243</v>
      </c>
      <c r="P136">
        <v>49</v>
      </c>
      <c r="Q136">
        <v>3.8</v>
      </c>
      <c r="R136">
        <v>90</v>
      </c>
      <c r="S136" t="s">
        <v>24</v>
      </c>
      <c r="T136" t="s">
        <v>25</v>
      </c>
    </row>
    <row r="137" spans="1:20" x14ac:dyDescent="0.3">
      <c r="A137">
        <v>25</v>
      </c>
      <c r="B137" t="s">
        <v>23</v>
      </c>
      <c r="C137" t="s">
        <v>24</v>
      </c>
      <c r="D137" t="s">
        <v>21</v>
      </c>
      <c r="E137" t="s">
        <v>24</v>
      </c>
      <c r="F137" t="s">
        <v>21</v>
      </c>
      <c r="G137" t="s">
        <v>21</v>
      </c>
      <c r="H137" t="s">
        <v>21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>
        <v>1.3</v>
      </c>
      <c r="O137">
        <v>181</v>
      </c>
      <c r="P137">
        <v>181</v>
      </c>
      <c r="Q137">
        <v>4.5</v>
      </c>
      <c r="R137">
        <v>57</v>
      </c>
      <c r="S137" t="s">
        <v>24</v>
      </c>
      <c r="T137" t="s">
        <v>22</v>
      </c>
    </row>
    <row r="138" spans="1:20" x14ac:dyDescent="0.3">
      <c r="A138">
        <v>51</v>
      </c>
      <c r="B138" t="s">
        <v>23</v>
      </c>
      <c r="C138" t="s">
        <v>24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24</v>
      </c>
      <c r="J138" t="s">
        <v>21</v>
      </c>
      <c r="K138" t="s">
        <v>24</v>
      </c>
      <c r="L138" t="s">
        <v>21</v>
      </c>
      <c r="M138" t="s">
        <v>21</v>
      </c>
      <c r="N138">
        <v>0.8</v>
      </c>
      <c r="P138">
        <v>33</v>
      </c>
      <c r="Q138">
        <v>4.5</v>
      </c>
      <c r="S138" t="s">
        <v>24</v>
      </c>
      <c r="T138" t="s">
        <v>22</v>
      </c>
    </row>
    <row r="139" spans="1:20" x14ac:dyDescent="0.3">
      <c r="A139">
        <v>38</v>
      </c>
      <c r="B139" t="s">
        <v>23</v>
      </c>
      <c r="C139" t="s">
        <v>24</v>
      </c>
      <c r="D139" t="s">
        <v>21</v>
      </c>
      <c r="E139" t="s">
        <v>21</v>
      </c>
      <c r="F139" t="s">
        <v>21</v>
      </c>
      <c r="G139" t="s">
        <v>21</v>
      </c>
      <c r="H139" t="s">
        <v>24</v>
      </c>
      <c r="I139" t="s">
        <v>24</v>
      </c>
      <c r="J139" t="s">
        <v>21</v>
      </c>
      <c r="K139" t="s">
        <v>24</v>
      </c>
      <c r="L139" t="s">
        <v>21</v>
      </c>
      <c r="M139" t="s">
        <v>24</v>
      </c>
      <c r="N139">
        <v>1.6</v>
      </c>
      <c r="O139">
        <v>130</v>
      </c>
      <c r="P139">
        <v>140</v>
      </c>
      <c r="Q139">
        <v>3.5</v>
      </c>
      <c r="R139">
        <v>56</v>
      </c>
      <c r="S139" t="s">
        <v>24</v>
      </c>
      <c r="T139" t="s">
        <v>22</v>
      </c>
    </row>
    <row r="140" spans="1:20" x14ac:dyDescent="0.3">
      <c r="A140">
        <v>47</v>
      </c>
      <c r="B140" t="s">
        <v>23</v>
      </c>
      <c r="C140" t="s">
        <v>24</v>
      </c>
      <c r="D140" t="s">
        <v>21</v>
      </c>
      <c r="E140" t="s">
        <v>24</v>
      </c>
      <c r="F140" t="s">
        <v>24</v>
      </c>
      <c r="G140" t="s">
        <v>21</v>
      </c>
      <c r="H140" t="s">
        <v>24</v>
      </c>
      <c r="I140" t="s">
        <v>24</v>
      </c>
      <c r="J140" t="s">
        <v>21</v>
      </c>
      <c r="K140" t="s">
        <v>24</v>
      </c>
      <c r="L140" t="s">
        <v>24</v>
      </c>
      <c r="M140" t="s">
        <v>24</v>
      </c>
      <c r="N140">
        <v>1</v>
      </c>
      <c r="O140">
        <v>166</v>
      </c>
      <c r="P140">
        <v>30</v>
      </c>
      <c r="Q140">
        <v>2.6</v>
      </c>
      <c r="R140">
        <v>31</v>
      </c>
      <c r="S140" t="s">
        <v>24</v>
      </c>
      <c r="T140" t="s">
        <v>25</v>
      </c>
    </row>
    <row r="141" spans="1:20" x14ac:dyDescent="0.3">
      <c r="A141">
        <v>45</v>
      </c>
      <c r="B141" t="s">
        <v>23</v>
      </c>
      <c r="C141" t="s">
        <v>24</v>
      </c>
      <c r="D141" t="s">
        <v>24</v>
      </c>
      <c r="E141" t="s">
        <v>21</v>
      </c>
      <c r="F141" t="s">
        <v>21</v>
      </c>
      <c r="G141" t="s">
        <v>21</v>
      </c>
      <c r="H141" t="s">
        <v>24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>
        <v>1.3</v>
      </c>
      <c r="O141">
        <v>85</v>
      </c>
      <c r="P141">
        <v>44</v>
      </c>
      <c r="Q141">
        <v>4.2</v>
      </c>
      <c r="R141">
        <v>85</v>
      </c>
      <c r="S141" t="s">
        <v>24</v>
      </c>
      <c r="T141" t="s">
        <v>22</v>
      </c>
    </row>
    <row r="142" spans="1:20" x14ac:dyDescent="0.3">
      <c r="A142">
        <v>36</v>
      </c>
      <c r="B142" t="s">
        <v>23</v>
      </c>
      <c r="C142" t="s">
        <v>21</v>
      </c>
      <c r="D142" t="s">
        <v>21</v>
      </c>
      <c r="E142" t="s">
        <v>24</v>
      </c>
      <c r="F142" t="s">
        <v>24</v>
      </c>
      <c r="G142" t="s">
        <v>24</v>
      </c>
      <c r="H142" t="s">
        <v>21</v>
      </c>
      <c r="I142" t="s">
        <v>24</v>
      </c>
      <c r="J142" t="s">
        <v>21</v>
      </c>
      <c r="K142" t="s">
        <v>24</v>
      </c>
      <c r="L142" t="s">
        <v>21</v>
      </c>
      <c r="M142" t="s">
        <v>24</v>
      </c>
      <c r="N142">
        <v>1.7</v>
      </c>
      <c r="O142">
        <v>295</v>
      </c>
      <c r="P142">
        <v>60</v>
      </c>
      <c r="Q142">
        <v>2.7</v>
      </c>
      <c r="S142" t="s">
        <v>24</v>
      </c>
      <c r="T142" t="s">
        <v>22</v>
      </c>
    </row>
    <row r="143" spans="1:20" x14ac:dyDescent="0.3">
      <c r="A143">
        <v>54</v>
      </c>
      <c r="B143" t="s">
        <v>23</v>
      </c>
      <c r="C143" t="s">
        <v>21</v>
      </c>
      <c r="D143" t="s">
        <v>21</v>
      </c>
      <c r="E143" t="s">
        <v>24</v>
      </c>
      <c r="F143" t="s">
        <v>24</v>
      </c>
      <c r="G143" t="s">
        <v>21</v>
      </c>
      <c r="J143" t="s">
        <v>24</v>
      </c>
      <c r="K143" t="s">
        <v>21</v>
      </c>
      <c r="L143" t="s">
        <v>24</v>
      </c>
      <c r="M143" t="s">
        <v>21</v>
      </c>
      <c r="N143">
        <v>3.9</v>
      </c>
      <c r="O143">
        <v>120</v>
      </c>
      <c r="P143">
        <v>28</v>
      </c>
      <c r="Q143">
        <v>3.5</v>
      </c>
      <c r="R143">
        <v>43</v>
      </c>
      <c r="S143" t="s">
        <v>24</v>
      </c>
      <c r="T143" t="s">
        <v>25</v>
      </c>
    </row>
    <row r="144" spans="1:20" x14ac:dyDescent="0.3">
      <c r="A144">
        <v>51</v>
      </c>
      <c r="B144" t="s">
        <v>23</v>
      </c>
      <c r="C144" t="s">
        <v>24</v>
      </c>
      <c r="D144" t="s">
        <v>21</v>
      </c>
      <c r="E144" t="s">
        <v>24</v>
      </c>
      <c r="F144" t="s">
        <v>21</v>
      </c>
      <c r="G144" t="s">
        <v>21</v>
      </c>
      <c r="H144" t="s">
        <v>24</v>
      </c>
      <c r="I144" t="s">
        <v>24</v>
      </c>
      <c r="J144" t="s">
        <v>24</v>
      </c>
      <c r="K144" t="s">
        <v>24</v>
      </c>
      <c r="L144" t="s">
        <v>21</v>
      </c>
      <c r="M144" t="s">
        <v>24</v>
      </c>
      <c r="N144">
        <v>1</v>
      </c>
      <c r="P144">
        <v>20</v>
      </c>
      <c r="Q144">
        <v>3</v>
      </c>
      <c r="R144">
        <v>63</v>
      </c>
      <c r="S144" t="s">
        <v>24</v>
      </c>
      <c r="T144" t="s">
        <v>22</v>
      </c>
    </row>
    <row r="145" spans="1:20" x14ac:dyDescent="0.3">
      <c r="A145">
        <v>49</v>
      </c>
      <c r="B145" t="s">
        <v>23</v>
      </c>
      <c r="C145" t="s">
        <v>21</v>
      </c>
      <c r="D145" t="s">
        <v>21</v>
      </c>
      <c r="E145" t="s">
        <v>24</v>
      </c>
      <c r="F145" t="s">
        <v>24</v>
      </c>
      <c r="G145" t="s">
        <v>21</v>
      </c>
      <c r="H145" t="s">
        <v>24</v>
      </c>
      <c r="I145" t="s">
        <v>21</v>
      </c>
      <c r="J145" t="s">
        <v>24</v>
      </c>
      <c r="K145" t="s">
        <v>24</v>
      </c>
      <c r="L145" t="s">
        <v>21</v>
      </c>
      <c r="M145" t="s">
        <v>21</v>
      </c>
      <c r="N145">
        <v>1.4</v>
      </c>
      <c r="O145">
        <v>85</v>
      </c>
      <c r="P145">
        <v>70</v>
      </c>
      <c r="Q145">
        <v>3.5</v>
      </c>
      <c r="R145">
        <v>35</v>
      </c>
      <c r="S145" t="s">
        <v>24</v>
      </c>
      <c r="T145" t="s">
        <v>25</v>
      </c>
    </row>
    <row r="146" spans="1:20" x14ac:dyDescent="0.3">
      <c r="A146">
        <v>45</v>
      </c>
      <c r="B146" t="s">
        <v>23</v>
      </c>
      <c r="C146" t="s">
        <v>24</v>
      </c>
      <c r="D146" t="s">
        <v>21</v>
      </c>
      <c r="E146" t="s">
        <v>24</v>
      </c>
      <c r="F146" t="s">
        <v>24</v>
      </c>
      <c r="G146" t="s">
        <v>24</v>
      </c>
      <c r="H146" t="s">
        <v>24</v>
      </c>
      <c r="I146" t="s">
        <v>21</v>
      </c>
      <c r="J146" t="s">
        <v>21</v>
      </c>
      <c r="K146" t="s">
        <v>24</v>
      </c>
      <c r="L146" t="s">
        <v>24</v>
      </c>
      <c r="M146" t="s">
        <v>21</v>
      </c>
      <c r="N146">
        <v>1.9</v>
      </c>
      <c r="P146">
        <v>114</v>
      </c>
      <c r="Q146">
        <v>2.4</v>
      </c>
      <c r="S146" t="s">
        <v>24</v>
      </c>
      <c r="T146" t="s">
        <v>25</v>
      </c>
    </row>
    <row r="147" spans="1:20" x14ac:dyDescent="0.3">
      <c r="A147">
        <v>31</v>
      </c>
      <c r="B147" t="s">
        <v>23</v>
      </c>
      <c r="C147" t="s">
        <v>21</v>
      </c>
      <c r="D147" t="s">
        <v>21</v>
      </c>
      <c r="E147" t="s">
        <v>24</v>
      </c>
      <c r="F147" t="s">
        <v>21</v>
      </c>
      <c r="G147" t="s">
        <v>21</v>
      </c>
      <c r="H147" t="s">
        <v>24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>
        <v>1.2</v>
      </c>
      <c r="O147">
        <v>75</v>
      </c>
      <c r="P147">
        <v>173</v>
      </c>
      <c r="Q147">
        <v>4.2</v>
      </c>
      <c r="R147">
        <v>54</v>
      </c>
      <c r="S147" t="s">
        <v>24</v>
      </c>
      <c r="T147" t="s">
        <v>22</v>
      </c>
    </row>
    <row r="148" spans="1:20" x14ac:dyDescent="0.3">
      <c r="A148">
        <v>41</v>
      </c>
      <c r="B148" t="s">
        <v>23</v>
      </c>
      <c r="C148" t="s">
        <v>24</v>
      </c>
      <c r="D148" t="s">
        <v>21</v>
      </c>
      <c r="E148" t="s">
        <v>24</v>
      </c>
      <c r="F148" t="s">
        <v>21</v>
      </c>
      <c r="G148" t="s">
        <v>21</v>
      </c>
      <c r="H148" t="s">
        <v>24</v>
      </c>
      <c r="I148" t="s">
        <v>24</v>
      </c>
      <c r="J148" t="s">
        <v>24</v>
      </c>
      <c r="K148" t="s">
        <v>24</v>
      </c>
      <c r="L148" t="s">
        <v>21</v>
      </c>
      <c r="M148" t="s">
        <v>24</v>
      </c>
      <c r="N148">
        <v>4.2</v>
      </c>
      <c r="O148">
        <v>65</v>
      </c>
      <c r="P148">
        <v>120</v>
      </c>
      <c r="Q148">
        <v>3.4</v>
      </c>
      <c r="S148" t="s">
        <v>24</v>
      </c>
      <c r="T148" t="s">
        <v>25</v>
      </c>
    </row>
    <row r="149" spans="1:20" x14ac:dyDescent="0.3">
      <c r="A149">
        <v>70</v>
      </c>
      <c r="B149" t="s">
        <v>23</v>
      </c>
      <c r="C149" t="s">
        <v>21</v>
      </c>
      <c r="D149" t="s">
        <v>21</v>
      </c>
      <c r="E149" t="s">
        <v>24</v>
      </c>
      <c r="F149" t="s">
        <v>24</v>
      </c>
      <c r="G149" t="s">
        <v>24</v>
      </c>
      <c r="N149">
        <v>1.7</v>
      </c>
      <c r="O149">
        <v>109</v>
      </c>
      <c r="P149">
        <v>528</v>
      </c>
      <c r="Q149">
        <v>2.8</v>
      </c>
      <c r="R149">
        <v>35</v>
      </c>
      <c r="S149" t="s">
        <v>24</v>
      </c>
      <c r="T149" t="s">
        <v>25</v>
      </c>
    </row>
    <row r="150" spans="1:20" x14ac:dyDescent="0.3">
      <c r="A150">
        <v>20</v>
      </c>
      <c r="B150" t="s">
        <v>23</v>
      </c>
      <c r="C150" t="s">
        <v>21</v>
      </c>
      <c r="D150" t="s">
        <v>21</v>
      </c>
      <c r="E150" t="s">
        <v>21</v>
      </c>
      <c r="F150" t="s">
        <v>21</v>
      </c>
      <c r="G150" t="s">
        <v>21</v>
      </c>
      <c r="H150" t="s">
        <v>24</v>
      </c>
      <c r="J150" t="s">
        <v>21</v>
      </c>
      <c r="K150" t="s">
        <v>21</v>
      </c>
      <c r="L150" t="s">
        <v>21</v>
      </c>
      <c r="M150" t="s">
        <v>21</v>
      </c>
      <c r="N150">
        <v>0.9</v>
      </c>
      <c r="O150">
        <v>89</v>
      </c>
      <c r="P150">
        <v>152</v>
      </c>
      <c r="Q150">
        <v>4</v>
      </c>
      <c r="S150" t="s">
        <v>24</v>
      </c>
      <c r="T150" t="s">
        <v>22</v>
      </c>
    </row>
    <row r="151" spans="1:20" x14ac:dyDescent="0.3">
      <c r="A151">
        <v>36</v>
      </c>
      <c r="B151" t="s">
        <v>23</v>
      </c>
      <c r="C151" t="s">
        <v>24</v>
      </c>
      <c r="D151" t="s">
        <v>21</v>
      </c>
      <c r="E151" t="s">
        <v>21</v>
      </c>
      <c r="F151" t="s">
        <v>21</v>
      </c>
      <c r="G151" t="s">
        <v>21</v>
      </c>
      <c r="H151" t="s">
        <v>24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>
        <v>0.6</v>
      </c>
      <c r="O151">
        <v>120</v>
      </c>
      <c r="P151">
        <v>30</v>
      </c>
      <c r="Q151">
        <v>4</v>
      </c>
      <c r="S151" t="s">
        <v>24</v>
      </c>
      <c r="T151" t="s">
        <v>22</v>
      </c>
    </row>
    <row r="152" spans="1:20" x14ac:dyDescent="0.3">
      <c r="A152">
        <v>46</v>
      </c>
      <c r="B152" t="s">
        <v>23</v>
      </c>
      <c r="C152" t="s">
        <v>24</v>
      </c>
      <c r="D152" t="s">
        <v>21</v>
      </c>
      <c r="E152" t="s">
        <v>24</v>
      </c>
      <c r="F152" t="s">
        <v>24</v>
      </c>
      <c r="G152" t="s">
        <v>24</v>
      </c>
      <c r="H152" t="s">
        <v>24</v>
      </c>
      <c r="I152" t="s">
        <v>21</v>
      </c>
      <c r="J152" t="s">
        <v>21</v>
      </c>
      <c r="K152" t="s">
        <v>24</v>
      </c>
      <c r="L152" t="s">
        <v>24</v>
      </c>
      <c r="M152" t="s">
        <v>24</v>
      </c>
      <c r="N152">
        <v>7.6</v>
      </c>
      <c r="P152">
        <v>242</v>
      </c>
      <c r="Q152">
        <v>3.3</v>
      </c>
      <c r="R152">
        <v>50</v>
      </c>
      <c r="S152" t="s">
        <v>24</v>
      </c>
      <c r="T152" t="s">
        <v>25</v>
      </c>
    </row>
    <row r="153" spans="1:20" x14ac:dyDescent="0.3">
      <c r="A153">
        <v>44</v>
      </c>
      <c r="B153" t="s">
        <v>23</v>
      </c>
      <c r="C153" t="s">
        <v>24</v>
      </c>
      <c r="D153" t="s">
        <v>21</v>
      </c>
      <c r="E153" t="s">
        <v>24</v>
      </c>
      <c r="F153" t="s">
        <v>21</v>
      </c>
      <c r="G153" t="s">
        <v>21</v>
      </c>
      <c r="H153" t="s">
        <v>24</v>
      </c>
      <c r="I153" t="s">
        <v>24</v>
      </c>
      <c r="J153" t="s">
        <v>21</v>
      </c>
      <c r="K153" t="s">
        <v>21</v>
      </c>
      <c r="L153" t="s">
        <v>21</v>
      </c>
      <c r="M153" t="s">
        <v>21</v>
      </c>
      <c r="N153">
        <v>0.9</v>
      </c>
      <c r="O153">
        <v>126</v>
      </c>
      <c r="P153">
        <v>142</v>
      </c>
      <c r="Q153">
        <v>4.3</v>
      </c>
      <c r="S153" t="s">
        <v>24</v>
      </c>
      <c r="T153" t="s">
        <v>22</v>
      </c>
    </row>
    <row r="154" spans="1:20" x14ac:dyDescent="0.3">
      <c r="A154">
        <v>61</v>
      </c>
      <c r="B154" t="s">
        <v>23</v>
      </c>
      <c r="C154" t="s">
        <v>21</v>
      </c>
      <c r="D154" t="s">
        <v>21</v>
      </c>
      <c r="E154" t="s">
        <v>24</v>
      </c>
      <c r="F154" t="s">
        <v>24</v>
      </c>
      <c r="G154" t="s">
        <v>21</v>
      </c>
      <c r="H154" t="s">
        <v>21</v>
      </c>
      <c r="I154" t="s">
        <v>24</v>
      </c>
      <c r="J154" t="s">
        <v>21</v>
      </c>
      <c r="K154" t="s">
        <v>24</v>
      </c>
      <c r="L154" t="s">
        <v>21</v>
      </c>
      <c r="M154" t="s">
        <v>21</v>
      </c>
      <c r="N154">
        <v>0.8</v>
      </c>
      <c r="O154">
        <v>75</v>
      </c>
      <c r="P154">
        <v>20</v>
      </c>
      <c r="Q154">
        <v>4.0999999999999996</v>
      </c>
      <c r="S154" t="s">
        <v>24</v>
      </c>
      <c r="T154" t="s">
        <v>22</v>
      </c>
    </row>
    <row r="155" spans="1:20" x14ac:dyDescent="0.3">
      <c r="A155">
        <v>53</v>
      </c>
      <c r="B155" t="s">
        <v>20</v>
      </c>
      <c r="C155" t="s">
        <v>21</v>
      </c>
      <c r="D155" t="s">
        <v>21</v>
      </c>
      <c r="E155" t="s">
        <v>24</v>
      </c>
      <c r="F155" t="s">
        <v>21</v>
      </c>
      <c r="G155" t="s">
        <v>21</v>
      </c>
      <c r="H155" t="s">
        <v>24</v>
      </c>
      <c r="I155" t="s">
        <v>21</v>
      </c>
      <c r="J155" t="s">
        <v>24</v>
      </c>
      <c r="K155" t="s">
        <v>24</v>
      </c>
      <c r="L155" t="s">
        <v>21</v>
      </c>
      <c r="M155" t="s">
        <v>24</v>
      </c>
      <c r="N155">
        <v>1.5</v>
      </c>
      <c r="O155">
        <v>81</v>
      </c>
      <c r="P155">
        <v>19</v>
      </c>
      <c r="Q155">
        <v>4.0999999999999996</v>
      </c>
      <c r="R155">
        <v>48</v>
      </c>
      <c r="S155" t="s">
        <v>24</v>
      </c>
      <c r="T155" t="s">
        <v>22</v>
      </c>
    </row>
    <row r="156" spans="1:20" x14ac:dyDescent="0.3">
      <c r="A156">
        <v>43</v>
      </c>
      <c r="B156" t="s">
        <v>23</v>
      </c>
      <c r="C156" t="s">
        <v>24</v>
      </c>
      <c r="D156" t="s">
        <v>21</v>
      </c>
      <c r="E156" t="s">
        <v>24</v>
      </c>
      <c r="F156" t="s">
        <v>21</v>
      </c>
      <c r="G156" t="s">
        <v>21</v>
      </c>
      <c r="H156" t="s">
        <v>24</v>
      </c>
      <c r="I156" t="s">
        <v>21</v>
      </c>
      <c r="J156" t="s">
        <v>24</v>
      </c>
      <c r="K156" t="s">
        <v>24</v>
      </c>
      <c r="L156" t="s">
        <v>24</v>
      </c>
      <c r="M156" t="s">
        <v>21</v>
      </c>
      <c r="N156">
        <v>1.2</v>
      </c>
      <c r="O156">
        <v>100</v>
      </c>
      <c r="P156">
        <v>19</v>
      </c>
      <c r="Q156">
        <v>3.1</v>
      </c>
      <c r="R156">
        <v>42</v>
      </c>
      <c r="S156" t="s">
        <v>24</v>
      </c>
      <c r="T15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C36A-2D4F-4FB3-BC4F-6182ACF70524}">
  <dimension ref="B2:I7"/>
  <sheetViews>
    <sheetView workbookViewId="0">
      <selection activeCell="D8" sqref="D8"/>
    </sheetView>
  </sheetViews>
  <sheetFormatPr baseColWidth="10" defaultRowHeight="14.4" x14ac:dyDescent="0.3"/>
  <sheetData>
    <row r="2" spans="2:9" x14ac:dyDescent="0.3"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</row>
    <row r="3" spans="2:9" x14ac:dyDescent="0.3">
      <c r="D3" t="s">
        <v>94</v>
      </c>
    </row>
    <row r="4" spans="2:9" x14ac:dyDescent="0.3">
      <c r="D4" t="s">
        <v>120</v>
      </c>
    </row>
    <row r="5" spans="2:9" x14ac:dyDescent="0.3">
      <c r="D5" t="s">
        <v>95</v>
      </c>
    </row>
    <row r="6" spans="2:9" x14ac:dyDescent="0.3">
      <c r="D6" t="s">
        <v>96</v>
      </c>
    </row>
    <row r="7" spans="2:9" x14ac:dyDescent="0.3">
      <c r="D7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406F-A229-439C-BE3D-11CD0FBB62A3}">
  <dimension ref="A2:D57"/>
  <sheetViews>
    <sheetView workbookViewId="0">
      <selection activeCell="G44" sqref="G44"/>
    </sheetView>
  </sheetViews>
  <sheetFormatPr baseColWidth="10" defaultRowHeight="14.4" x14ac:dyDescent="0.3"/>
  <sheetData>
    <row r="2" spans="1:3" x14ac:dyDescent="0.3">
      <c r="A2" s="2" t="s">
        <v>74</v>
      </c>
    </row>
    <row r="4" spans="1:3" x14ac:dyDescent="0.3">
      <c r="A4" s="2" t="s">
        <v>75</v>
      </c>
    </row>
    <row r="6" spans="1:3" x14ac:dyDescent="0.3">
      <c r="A6" t="s">
        <v>76</v>
      </c>
      <c r="B6">
        <f>ROWS(hepatitis!A2:A156)</f>
        <v>155</v>
      </c>
    </row>
    <row r="7" spans="1:3" x14ac:dyDescent="0.3">
      <c r="A7" t="s">
        <v>77</v>
      </c>
      <c r="B7">
        <f>COLUMNS(hepatitis!A1:T1)</f>
        <v>20</v>
      </c>
    </row>
    <row r="9" spans="1:3" x14ac:dyDescent="0.3">
      <c r="A9" s="2" t="s">
        <v>104</v>
      </c>
    </row>
    <row r="10" spans="1:3" x14ac:dyDescent="0.3">
      <c r="A10" s="2"/>
    </row>
    <row r="11" spans="1:3" x14ac:dyDescent="0.3">
      <c r="A11" s="2" t="s">
        <v>85</v>
      </c>
      <c r="B11">
        <v>0</v>
      </c>
      <c r="C11" t="s">
        <v>97</v>
      </c>
    </row>
    <row r="13" spans="1:3" x14ac:dyDescent="0.3">
      <c r="A13" s="2" t="s">
        <v>98</v>
      </c>
    </row>
    <row r="15" spans="1:3" x14ac:dyDescent="0.3">
      <c r="A15" s="2" t="s">
        <v>99</v>
      </c>
      <c r="B15" s="2" t="s">
        <v>98</v>
      </c>
      <c r="C15" s="2" t="s">
        <v>100</v>
      </c>
    </row>
    <row r="16" spans="1:3" x14ac:dyDescent="0.3">
      <c r="A16" s="2" t="s">
        <v>31</v>
      </c>
      <c r="B16">
        <f>COUNTBLANK(hepatitis!T2:T156)</f>
        <v>0</v>
      </c>
      <c r="C16" s="3">
        <f>B16/100</f>
        <v>0</v>
      </c>
    </row>
    <row r="17" spans="1:3" x14ac:dyDescent="0.3">
      <c r="A17" s="2" t="s">
        <v>33</v>
      </c>
      <c r="B17">
        <f>COUNTBLANK(hepatitis!A2:A156)</f>
        <v>0</v>
      </c>
      <c r="C17" s="3">
        <f t="shared" ref="C17:C35" si="0">B17/100</f>
        <v>0</v>
      </c>
    </row>
    <row r="18" spans="1:3" x14ac:dyDescent="0.3">
      <c r="A18" s="2" t="s">
        <v>37</v>
      </c>
      <c r="B18">
        <f>COUNTBLANK(hepatitis!B2:B156)</f>
        <v>0</v>
      </c>
      <c r="C18" s="3">
        <f t="shared" si="0"/>
        <v>0</v>
      </c>
    </row>
    <row r="19" spans="1:3" x14ac:dyDescent="0.3">
      <c r="A19" s="2" t="s">
        <v>40</v>
      </c>
      <c r="B19">
        <f>COUNTBLANK(hepatitis!C2:C156)</f>
        <v>1</v>
      </c>
      <c r="C19" s="3">
        <f t="shared" si="0"/>
        <v>0.01</v>
      </c>
    </row>
    <row r="20" spans="1:3" x14ac:dyDescent="0.3">
      <c r="A20" s="2" t="s">
        <v>41</v>
      </c>
      <c r="B20">
        <f>COUNTBLANK(hepatitis!D2:D156)</f>
        <v>0</v>
      </c>
      <c r="C20" s="3">
        <f t="shared" si="0"/>
        <v>0</v>
      </c>
    </row>
    <row r="21" spans="1:3" x14ac:dyDescent="0.3">
      <c r="A21" s="2" t="s">
        <v>42</v>
      </c>
      <c r="B21">
        <f>COUNTBLANK(hepatitis!E2:E156)</f>
        <v>1</v>
      </c>
      <c r="C21" s="3">
        <f t="shared" si="0"/>
        <v>0.01</v>
      </c>
    </row>
    <row r="22" spans="1:3" x14ac:dyDescent="0.3">
      <c r="A22" s="2" t="s">
        <v>44</v>
      </c>
      <c r="B22">
        <f>COUNTBLANK(hepatitis!F2:F156)</f>
        <v>1</v>
      </c>
      <c r="C22" s="3">
        <f t="shared" si="0"/>
        <v>0.01</v>
      </c>
    </row>
    <row r="23" spans="1:3" x14ac:dyDescent="0.3">
      <c r="A23" s="2" t="s">
        <v>46</v>
      </c>
      <c r="B23">
        <f>COUNTBLANK(hepatitis!G2:G156)</f>
        <v>1</v>
      </c>
      <c r="C23" s="3">
        <f t="shared" si="0"/>
        <v>0.01</v>
      </c>
    </row>
    <row r="24" spans="1:3" x14ac:dyDescent="0.3">
      <c r="A24" s="2" t="s">
        <v>48</v>
      </c>
      <c r="B24">
        <f>COUNTBLANK(hepatitis!H2:H156)</f>
        <v>10</v>
      </c>
      <c r="C24" s="3">
        <f t="shared" si="0"/>
        <v>0.1</v>
      </c>
    </row>
    <row r="25" spans="1:3" x14ac:dyDescent="0.3">
      <c r="A25" s="2" t="s">
        <v>50</v>
      </c>
      <c r="B25">
        <f>COUNTBLANK(hepatitis!I2:I156)</f>
        <v>11</v>
      </c>
      <c r="C25" s="3">
        <f t="shared" si="0"/>
        <v>0.11</v>
      </c>
    </row>
    <row r="26" spans="1:3" x14ac:dyDescent="0.3">
      <c r="A26" s="2" t="s">
        <v>52</v>
      </c>
      <c r="B26">
        <f>COUNTBLANK(hepatitis!J2:J156)</f>
        <v>5</v>
      </c>
      <c r="C26" s="3">
        <f t="shared" si="0"/>
        <v>0.05</v>
      </c>
    </row>
    <row r="27" spans="1:3" x14ac:dyDescent="0.3">
      <c r="A27" s="2" t="s">
        <v>53</v>
      </c>
      <c r="B27">
        <f>COUNTBLANK(hepatitis!K2:K156)</f>
        <v>5</v>
      </c>
      <c r="C27" s="3">
        <f t="shared" si="0"/>
        <v>0.05</v>
      </c>
    </row>
    <row r="28" spans="1:3" x14ac:dyDescent="0.3">
      <c r="A28" s="2" t="s">
        <v>55</v>
      </c>
      <c r="B28">
        <f>COUNTBLANK(hepatitis!L2:L156)</f>
        <v>5</v>
      </c>
      <c r="C28" s="3">
        <f t="shared" si="0"/>
        <v>0.05</v>
      </c>
    </row>
    <row r="29" spans="1:3" x14ac:dyDescent="0.3">
      <c r="A29" s="2" t="s">
        <v>57</v>
      </c>
      <c r="B29">
        <f>COUNTBLANK(hepatitis!M2:M156)</f>
        <v>5</v>
      </c>
      <c r="C29" s="3">
        <f t="shared" si="0"/>
        <v>0.05</v>
      </c>
    </row>
    <row r="30" spans="1:3" x14ac:dyDescent="0.3">
      <c r="A30" s="2" t="s">
        <v>59</v>
      </c>
      <c r="B30">
        <f>COUNTBLANK(hepatitis!N2:N156)</f>
        <v>6</v>
      </c>
      <c r="C30" s="3">
        <f t="shared" si="0"/>
        <v>0.06</v>
      </c>
    </row>
    <row r="31" spans="1:3" x14ac:dyDescent="0.3">
      <c r="A31" s="2" t="s">
        <v>63</v>
      </c>
      <c r="B31">
        <f>COUNTBLANK(hepatitis!O2:O156)</f>
        <v>29</v>
      </c>
      <c r="C31" s="3">
        <f t="shared" si="0"/>
        <v>0.28999999999999998</v>
      </c>
    </row>
    <row r="32" spans="1:3" x14ac:dyDescent="0.3">
      <c r="A32" s="2" t="s">
        <v>66</v>
      </c>
      <c r="B32">
        <f>COUNTBLANK(hepatitis!P2:P156)</f>
        <v>4</v>
      </c>
      <c r="C32" s="3">
        <f t="shared" si="0"/>
        <v>0.04</v>
      </c>
    </row>
    <row r="33" spans="1:4" x14ac:dyDescent="0.3">
      <c r="A33" s="2" t="s">
        <v>68</v>
      </c>
      <c r="B33">
        <f>COUNTBLANK(hepatitis!Q2:Q156)</f>
        <v>16</v>
      </c>
      <c r="C33" s="3">
        <f t="shared" si="0"/>
        <v>0.16</v>
      </c>
    </row>
    <row r="34" spans="1:4" x14ac:dyDescent="0.3">
      <c r="A34" s="2" t="s">
        <v>70</v>
      </c>
      <c r="B34">
        <f>COUNTBLANK(hepatitis!S2:S156)</f>
        <v>0</v>
      </c>
      <c r="C34" s="3">
        <f t="shared" si="0"/>
        <v>0</v>
      </c>
    </row>
    <row r="35" spans="1:4" x14ac:dyDescent="0.3">
      <c r="A35" s="2" t="s">
        <v>72</v>
      </c>
      <c r="B35">
        <f>COUNTBLANK(hepatitis!S2:S156)</f>
        <v>0</v>
      </c>
      <c r="C35" s="3">
        <f t="shared" si="0"/>
        <v>0</v>
      </c>
    </row>
    <row r="38" spans="1:4" x14ac:dyDescent="0.3">
      <c r="A38" s="2" t="s">
        <v>101</v>
      </c>
    </row>
    <row r="40" spans="1:4" x14ac:dyDescent="0.3">
      <c r="A40" t="s">
        <v>102</v>
      </c>
      <c r="B40">
        <v>0</v>
      </c>
    </row>
    <row r="41" spans="1:4" x14ac:dyDescent="0.3">
      <c r="A41" t="s">
        <v>103</v>
      </c>
      <c r="B41">
        <v>0</v>
      </c>
    </row>
    <row r="44" spans="1:4" ht="15.6" x14ac:dyDescent="0.3">
      <c r="A44" s="1" t="s">
        <v>105</v>
      </c>
    </row>
    <row r="48" spans="1:4" x14ac:dyDescent="0.3">
      <c r="A48" s="2" t="s">
        <v>119</v>
      </c>
      <c r="B48" s="2" t="s">
        <v>106</v>
      </c>
      <c r="C48" s="2"/>
      <c r="D48" s="2"/>
    </row>
    <row r="49" spans="1:4" x14ac:dyDescent="0.3">
      <c r="A49" s="2" t="s">
        <v>107</v>
      </c>
      <c r="B49" s="2" t="s">
        <v>108</v>
      </c>
      <c r="C49" s="2"/>
      <c r="D49" s="2"/>
    </row>
    <row r="50" spans="1:4" x14ac:dyDescent="0.3">
      <c r="A50" s="2" t="s">
        <v>109</v>
      </c>
      <c r="B50" s="2">
        <v>155</v>
      </c>
      <c r="C50" s="2"/>
      <c r="D50" s="2"/>
    </row>
    <row r="51" spans="1:4" x14ac:dyDescent="0.3">
      <c r="A51" s="2" t="s">
        <v>110</v>
      </c>
      <c r="B51" s="2">
        <v>20</v>
      </c>
      <c r="C51" s="2"/>
      <c r="D51" s="2"/>
    </row>
    <row r="52" spans="1:4" x14ac:dyDescent="0.3">
      <c r="A52" s="2" t="s">
        <v>111</v>
      </c>
      <c r="B52" s="2" t="s">
        <v>112</v>
      </c>
      <c r="C52" s="2"/>
      <c r="D52" s="2"/>
    </row>
    <row r="53" spans="1:4" x14ac:dyDescent="0.3">
      <c r="A53" s="2" t="s">
        <v>98</v>
      </c>
      <c r="B53" s="2" t="s">
        <v>113</v>
      </c>
      <c r="C53" s="2"/>
      <c r="D53" s="2"/>
    </row>
    <row r="54" spans="1:4" x14ac:dyDescent="0.3">
      <c r="A54" s="2" t="s">
        <v>114</v>
      </c>
      <c r="B54" s="2" t="s">
        <v>112</v>
      </c>
      <c r="C54" s="2"/>
      <c r="D54" s="2"/>
    </row>
    <row r="55" spans="1:4" x14ac:dyDescent="0.3">
      <c r="A55" s="2" t="s">
        <v>102</v>
      </c>
      <c r="B55" s="2" t="s">
        <v>112</v>
      </c>
      <c r="C55" s="2"/>
      <c r="D55" s="2"/>
    </row>
    <row r="56" spans="1:4" x14ac:dyDescent="0.3">
      <c r="A56" s="2" t="s">
        <v>115</v>
      </c>
      <c r="B56" s="2" t="s">
        <v>116</v>
      </c>
      <c r="C56" s="2"/>
      <c r="D56" s="2"/>
    </row>
    <row r="57" spans="1:4" x14ac:dyDescent="0.3">
      <c r="A57" s="2" t="s">
        <v>117</v>
      </c>
      <c r="B57" s="2" t="s">
        <v>118</v>
      </c>
      <c r="C57" s="2"/>
      <c r="D5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75A9-1AFA-41C1-B2F8-860018447CE6}">
  <dimension ref="A3:F25"/>
  <sheetViews>
    <sheetView topLeftCell="A5" workbookViewId="0">
      <selection activeCell="A5" sqref="A5:A25"/>
    </sheetView>
  </sheetViews>
  <sheetFormatPr baseColWidth="10" defaultRowHeight="14.4" x14ac:dyDescent="0.3"/>
  <sheetData>
    <row r="3" spans="1:6" ht="15.6" x14ac:dyDescent="0.3">
      <c r="A3" s="1" t="s">
        <v>26</v>
      </c>
    </row>
    <row r="5" spans="1:6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83</v>
      </c>
      <c r="F5" s="2"/>
    </row>
    <row r="6" spans="1:6" x14ac:dyDescent="0.3">
      <c r="A6" s="2" t="s">
        <v>31</v>
      </c>
      <c r="B6" t="s">
        <v>78</v>
      </c>
      <c r="C6" t="s">
        <v>32</v>
      </c>
      <c r="E6" t="s">
        <v>84</v>
      </c>
    </row>
    <row r="7" spans="1:6" x14ac:dyDescent="0.3">
      <c r="A7" s="2" t="s">
        <v>33</v>
      </c>
      <c r="B7" t="s">
        <v>34</v>
      </c>
      <c r="C7" t="s">
        <v>35</v>
      </c>
      <c r="D7" t="s">
        <v>36</v>
      </c>
    </row>
    <row r="8" spans="1:6" x14ac:dyDescent="0.3">
      <c r="A8" s="2" t="s">
        <v>37</v>
      </c>
      <c r="B8" t="s">
        <v>38</v>
      </c>
      <c r="C8" t="s">
        <v>32</v>
      </c>
      <c r="E8" t="s">
        <v>39</v>
      </c>
    </row>
    <row r="9" spans="1:6" x14ac:dyDescent="0.3">
      <c r="A9" s="2" t="s">
        <v>40</v>
      </c>
      <c r="B9" t="s">
        <v>79</v>
      </c>
      <c r="C9" t="s">
        <v>32</v>
      </c>
      <c r="E9" t="s">
        <v>73</v>
      </c>
    </row>
    <row r="10" spans="1:6" x14ac:dyDescent="0.3">
      <c r="A10" s="2" t="s">
        <v>41</v>
      </c>
      <c r="B10" t="s">
        <v>80</v>
      </c>
      <c r="C10" t="s">
        <v>32</v>
      </c>
      <c r="E10" t="s">
        <v>73</v>
      </c>
    </row>
    <row r="11" spans="1:6" x14ac:dyDescent="0.3">
      <c r="A11" s="2" t="s">
        <v>42</v>
      </c>
      <c r="B11" t="s">
        <v>43</v>
      </c>
      <c r="C11" t="s">
        <v>32</v>
      </c>
      <c r="E11" t="s">
        <v>73</v>
      </c>
    </row>
    <row r="12" spans="1:6" x14ac:dyDescent="0.3">
      <c r="A12" s="2" t="s">
        <v>44</v>
      </c>
      <c r="B12" t="s">
        <v>45</v>
      </c>
      <c r="C12" t="s">
        <v>32</v>
      </c>
      <c r="E12" t="s">
        <v>73</v>
      </c>
    </row>
    <row r="13" spans="1:6" x14ac:dyDescent="0.3">
      <c r="A13" s="2" t="s">
        <v>46</v>
      </c>
      <c r="B13" t="s">
        <v>47</v>
      </c>
      <c r="C13" t="s">
        <v>32</v>
      </c>
      <c r="E13" t="s">
        <v>73</v>
      </c>
    </row>
    <row r="14" spans="1:6" x14ac:dyDescent="0.3">
      <c r="A14" s="2" t="s">
        <v>48</v>
      </c>
      <c r="B14" t="s">
        <v>49</v>
      </c>
      <c r="C14" t="s">
        <v>32</v>
      </c>
      <c r="E14" t="s">
        <v>73</v>
      </c>
    </row>
    <row r="15" spans="1:6" x14ac:dyDescent="0.3">
      <c r="A15" s="2" t="s">
        <v>50</v>
      </c>
      <c r="B15" t="s">
        <v>51</v>
      </c>
      <c r="C15" t="s">
        <v>32</v>
      </c>
      <c r="E15" t="s">
        <v>73</v>
      </c>
    </row>
    <row r="16" spans="1:6" x14ac:dyDescent="0.3">
      <c r="A16" s="2" t="s">
        <v>52</v>
      </c>
      <c r="B16" t="s">
        <v>81</v>
      </c>
      <c r="C16" t="s">
        <v>32</v>
      </c>
      <c r="E16" t="s">
        <v>73</v>
      </c>
    </row>
    <row r="17" spans="1:5" x14ac:dyDescent="0.3">
      <c r="A17" s="2" t="s">
        <v>53</v>
      </c>
      <c r="B17" t="s">
        <v>54</v>
      </c>
      <c r="C17" t="s">
        <v>32</v>
      </c>
      <c r="E17" t="s">
        <v>73</v>
      </c>
    </row>
    <row r="18" spans="1:5" x14ac:dyDescent="0.3">
      <c r="A18" s="2" t="s">
        <v>55</v>
      </c>
      <c r="B18" t="s">
        <v>56</v>
      </c>
      <c r="C18" t="s">
        <v>32</v>
      </c>
      <c r="E18" t="s">
        <v>73</v>
      </c>
    </row>
    <row r="19" spans="1:5" x14ac:dyDescent="0.3">
      <c r="A19" s="2" t="s">
        <v>57</v>
      </c>
      <c r="B19" t="s">
        <v>58</v>
      </c>
      <c r="C19" t="s">
        <v>32</v>
      </c>
      <c r="E19" t="s">
        <v>73</v>
      </c>
    </row>
    <row r="20" spans="1:5" x14ac:dyDescent="0.3">
      <c r="A20" s="2" t="s">
        <v>59</v>
      </c>
      <c r="B20" t="s">
        <v>60</v>
      </c>
      <c r="C20" t="s">
        <v>61</v>
      </c>
      <c r="E20" t="s">
        <v>62</v>
      </c>
    </row>
    <row r="21" spans="1:5" x14ac:dyDescent="0.3">
      <c r="A21" s="2" t="s">
        <v>63</v>
      </c>
      <c r="B21" t="s">
        <v>64</v>
      </c>
      <c r="C21" t="s">
        <v>35</v>
      </c>
      <c r="E21" t="s">
        <v>65</v>
      </c>
    </row>
    <row r="22" spans="1:5" x14ac:dyDescent="0.3">
      <c r="A22" s="2" t="s">
        <v>66</v>
      </c>
      <c r="B22" t="s">
        <v>67</v>
      </c>
      <c r="C22" t="s">
        <v>35</v>
      </c>
      <c r="E22" t="s">
        <v>65</v>
      </c>
    </row>
    <row r="23" spans="1:5" x14ac:dyDescent="0.3">
      <c r="A23" s="2" t="s">
        <v>68</v>
      </c>
      <c r="B23" t="s">
        <v>69</v>
      </c>
      <c r="C23" t="s">
        <v>61</v>
      </c>
      <c r="E23" t="s">
        <v>65</v>
      </c>
    </row>
    <row r="24" spans="1:5" x14ac:dyDescent="0.3">
      <c r="A24" s="2" t="s">
        <v>70</v>
      </c>
      <c r="B24" t="s">
        <v>71</v>
      </c>
      <c r="C24" t="s">
        <v>35</v>
      </c>
      <c r="E24" t="s">
        <v>65</v>
      </c>
    </row>
    <row r="25" spans="1:5" x14ac:dyDescent="0.3">
      <c r="A25" s="2" t="s">
        <v>72</v>
      </c>
      <c r="B25" t="s">
        <v>82</v>
      </c>
      <c r="C25" t="s">
        <v>32</v>
      </c>
      <c r="E25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9105-5AC4-403C-8AB4-6C63A7D16294}">
  <dimension ref="A1:T156"/>
  <sheetViews>
    <sheetView topLeftCell="A2" workbookViewId="0">
      <selection activeCell="F13" sqref="F13"/>
    </sheetView>
  </sheetViews>
  <sheetFormatPr baseColWidth="10" defaultRowHeight="14.4" x14ac:dyDescent="0.3"/>
  <cols>
    <col min="10" max="10" width="16.5546875" customWidth="1"/>
    <col min="15" max="15" width="15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30</v>
      </c>
      <c r="B2" t="s">
        <v>20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>
        <v>1</v>
      </c>
      <c r="O2">
        <v>85</v>
      </c>
      <c r="P2">
        <v>18</v>
      </c>
      <c r="Q2">
        <v>4</v>
      </c>
      <c r="S2" t="s">
        <v>21</v>
      </c>
      <c r="T2" t="s">
        <v>22</v>
      </c>
    </row>
    <row r="3" spans="1:20" x14ac:dyDescent="0.3">
      <c r="A3">
        <v>50</v>
      </c>
      <c r="B3" t="s">
        <v>23</v>
      </c>
      <c r="C3" t="s">
        <v>21</v>
      </c>
      <c r="D3" t="s">
        <v>21</v>
      </c>
      <c r="E3" t="s">
        <v>24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>
        <v>0.9</v>
      </c>
      <c r="O3">
        <v>135</v>
      </c>
      <c r="P3">
        <v>42</v>
      </c>
      <c r="Q3">
        <v>3.5</v>
      </c>
      <c r="S3" t="s">
        <v>21</v>
      </c>
      <c r="T3" t="s">
        <v>22</v>
      </c>
    </row>
    <row r="4" spans="1:20" x14ac:dyDescent="0.3">
      <c r="A4">
        <v>78</v>
      </c>
      <c r="B4" t="s">
        <v>23</v>
      </c>
      <c r="C4" t="s">
        <v>24</v>
      </c>
      <c r="D4" t="s">
        <v>21</v>
      </c>
      <c r="E4" t="s">
        <v>24</v>
      </c>
      <c r="F4" t="s">
        <v>21</v>
      </c>
      <c r="G4" t="s">
        <v>21</v>
      </c>
      <c r="H4" t="s">
        <v>24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>
        <v>0.7</v>
      </c>
      <c r="O4">
        <v>96</v>
      </c>
      <c r="P4">
        <v>32</v>
      </c>
      <c r="Q4">
        <v>4</v>
      </c>
      <c r="S4" t="s">
        <v>21</v>
      </c>
      <c r="T4" t="s">
        <v>22</v>
      </c>
    </row>
    <row r="5" spans="1:20" x14ac:dyDescent="0.3">
      <c r="A5">
        <v>31</v>
      </c>
      <c r="B5" t="s">
        <v>23</v>
      </c>
      <c r="D5" t="s">
        <v>24</v>
      </c>
      <c r="E5" t="s">
        <v>21</v>
      </c>
      <c r="F5" t="s">
        <v>21</v>
      </c>
      <c r="G5" t="s">
        <v>21</v>
      </c>
      <c r="H5" t="s">
        <v>24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>
        <v>0.7</v>
      </c>
      <c r="O5">
        <v>46</v>
      </c>
      <c r="P5">
        <v>52</v>
      </c>
      <c r="Q5">
        <v>4</v>
      </c>
      <c r="R5">
        <v>80</v>
      </c>
      <c r="S5" t="s">
        <v>21</v>
      </c>
      <c r="T5" t="s">
        <v>22</v>
      </c>
    </row>
    <row r="6" spans="1:20" x14ac:dyDescent="0.3">
      <c r="A6">
        <v>34</v>
      </c>
      <c r="B6" t="s">
        <v>23</v>
      </c>
      <c r="C6" t="s">
        <v>24</v>
      </c>
      <c r="D6" t="s">
        <v>21</v>
      </c>
      <c r="E6" t="s">
        <v>21</v>
      </c>
      <c r="F6" t="s">
        <v>21</v>
      </c>
      <c r="G6" t="s">
        <v>21</v>
      </c>
      <c r="H6" t="s">
        <v>24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>
        <v>1</v>
      </c>
      <c r="P6">
        <v>200</v>
      </c>
      <c r="Q6">
        <v>4</v>
      </c>
      <c r="S6" t="s">
        <v>21</v>
      </c>
      <c r="T6" t="s">
        <v>22</v>
      </c>
    </row>
    <row r="7" spans="1:20" x14ac:dyDescent="0.3">
      <c r="A7">
        <v>34</v>
      </c>
      <c r="B7" t="s">
        <v>23</v>
      </c>
      <c r="C7" t="s">
        <v>24</v>
      </c>
      <c r="D7" t="s">
        <v>21</v>
      </c>
      <c r="E7" t="s">
        <v>21</v>
      </c>
      <c r="F7" t="s">
        <v>21</v>
      </c>
      <c r="G7" t="s">
        <v>21</v>
      </c>
      <c r="H7" t="s">
        <v>24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>
        <v>0.9</v>
      </c>
      <c r="O7">
        <v>95</v>
      </c>
      <c r="P7">
        <v>28</v>
      </c>
      <c r="Q7">
        <v>4</v>
      </c>
      <c r="R7">
        <v>75</v>
      </c>
      <c r="S7" t="s">
        <v>21</v>
      </c>
      <c r="T7" t="s">
        <v>22</v>
      </c>
    </row>
    <row r="8" spans="1:20" x14ac:dyDescent="0.3">
      <c r="A8">
        <v>51</v>
      </c>
      <c r="B8" t="s">
        <v>23</v>
      </c>
      <c r="C8" t="s">
        <v>21</v>
      </c>
      <c r="D8" t="s">
        <v>21</v>
      </c>
      <c r="E8" t="s">
        <v>24</v>
      </c>
      <c r="F8" t="s">
        <v>21</v>
      </c>
      <c r="G8" t="s">
        <v>24</v>
      </c>
      <c r="H8" t="s">
        <v>24</v>
      </c>
      <c r="I8" t="s">
        <v>21</v>
      </c>
      <c r="J8" t="s">
        <v>24</v>
      </c>
      <c r="K8" t="s">
        <v>24</v>
      </c>
      <c r="L8" t="s">
        <v>21</v>
      </c>
      <c r="M8" t="s">
        <v>21</v>
      </c>
      <c r="S8" t="s">
        <v>21</v>
      </c>
      <c r="T8" t="s">
        <v>25</v>
      </c>
    </row>
    <row r="9" spans="1:20" x14ac:dyDescent="0.3">
      <c r="A9">
        <v>23</v>
      </c>
      <c r="B9" t="s">
        <v>23</v>
      </c>
      <c r="C9" t="s">
        <v>24</v>
      </c>
      <c r="D9" t="s">
        <v>21</v>
      </c>
      <c r="E9" t="s">
        <v>21</v>
      </c>
      <c r="F9" t="s">
        <v>21</v>
      </c>
      <c r="G9" t="s">
        <v>21</v>
      </c>
      <c r="H9" t="s">
        <v>24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>
        <v>1</v>
      </c>
      <c r="S9" t="s">
        <v>21</v>
      </c>
      <c r="T9" t="s">
        <v>22</v>
      </c>
    </row>
    <row r="10" spans="1:20" x14ac:dyDescent="0.3">
      <c r="A10">
        <v>39</v>
      </c>
      <c r="B10" t="s">
        <v>23</v>
      </c>
      <c r="C10" t="s">
        <v>24</v>
      </c>
      <c r="D10" t="s">
        <v>21</v>
      </c>
      <c r="E10" t="s">
        <v>24</v>
      </c>
      <c r="F10" t="s">
        <v>21</v>
      </c>
      <c r="G10" t="s">
        <v>21</v>
      </c>
      <c r="H10" t="s">
        <v>24</v>
      </c>
      <c r="I10" t="s">
        <v>24</v>
      </c>
      <c r="J10" t="s">
        <v>21</v>
      </c>
      <c r="K10" t="s">
        <v>21</v>
      </c>
      <c r="L10" t="s">
        <v>21</v>
      </c>
      <c r="M10" t="s">
        <v>21</v>
      </c>
      <c r="N10">
        <v>0.7</v>
      </c>
      <c r="P10">
        <v>48</v>
      </c>
      <c r="Q10">
        <v>4.4000000000000004</v>
      </c>
      <c r="S10" t="s">
        <v>21</v>
      </c>
      <c r="T10" t="s">
        <v>22</v>
      </c>
    </row>
    <row r="11" spans="1:20" x14ac:dyDescent="0.3">
      <c r="A11">
        <v>30</v>
      </c>
      <c r="B11" t="s">
        <v>23</v>
      </c>
      <c r="C11" t="s">
        <v>24</v>
      </c>
      <c r="D11" t="s">
        <v>21</v>
      </c>
      <c r="E11" t="s">
        <v>21</v>
      </c>
      <c r="F11" t="s">
        <v>21</v>
      </c>
      <c r="G11" t="s">
        <v>21</v>
      </c>
      <c r="H11" t="s">
        <v>24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>
        <v>1</v>
      </c>
      <c r="P11">
        <v>120</v>
      </c>
      <c r="Q11">
        <v>3.9</v>
      </c>
      <c r="S11" t="s">
        <v>21</v>
      </c>
      <c r="T11" t="s">
        <v>22</v>
      </c>
    </row>
    <row r="12" spans="1:20" x14ac:dyDescent="0.3">
      <c r="A12">
        <v>39</v>
      </c>
      <c r="B12" t="s">
        <v>23</v>
      </c>
      <c r="C12" t="s">
        <v>21</v>
      </c>
      <c r="D12" t="s">
        <v>24</v>
      </c>
      <c r="E12" t="s">
        <v>21</v>
      </c>
      <c r="F12" t="s">
        <v>21</v>
      </c>
      <c r="G12" t="s">
        <v>21</v>
      </c>
      <c r="H12" t="s">
        <v>21</v>
      </c>
      <c r="I12" t="s">
        <v>24</v>
      </c>
      <c r="J12" t="s">
        <v>21</v>
      </c>
      <c r="K12" t="s">
        <v>21</v>
      </c>
      <c r="L12" t="s">
        <v>21</v>
      </c>
      <c r="M12" t="s">
        <v>21</v>
      </c>
      <c r="N12">
        <v>1.3</v>
      </c>
      <c r="O12">
        <v>78</v>
      </c>
      <c r="P12">
        <v>30</v>
      </c>
      <c r="Q12">
        <v>4.4000000000000004</v>
      </c>
      <c r="R12">
        <v>85</v>
      </c>
      <c r="S12" t="s">
        <v>21</v>
      </c>
      <c r="T12" t="s">
        <v>22</v>
      </c>
    </row>
    <row r="13" spans="1:20" x14ac:dyDescent="0.3">
      <c r="A13">
        <v>32</v>
      </c>
      <c r="B13" t="s">
        <v>23</v>
      </c>
      <c r="C13" t="s">
        <v>24</v>
      </c>
      <c r="D13" t="s">
        <v>24</v>
      </c>
      <c r="E13" t="s">
        <v>24</v>
      </c>
      <c r="F13" t="s">
        <v>21</v>
      </c>
      <c r="G13" t="s">
        <v>21</v>
      </c>
      <c r="H13" t="s">
        <v>24</v>
      </c>
      <c r="I13" t="s">
        <v>24</v>
      </c>
      <c r="J13" t="s">
        <v>21</v>
      </c>
      <c r="K13" t="s">
        <v>24</v>
      </c>
      <c r="L13" t="s">
        <v>21</v>
      </c>
      <c r="M13" t="s">
        <v>21</v>
      </c>
      <c r="N13">
        <v>1</v>
      </c>
      <c r="O13">
        <v>59</v>
      </c>
      <c r="P13">
        <v>249</v>
      </c>
      <c r="Q13">
        <v>3.7</v>
      </c>
      <c r="R13">
        <v>54</v>
      </c>
      <c r="S13" t="s">
        <v>21</v>
      </c>
      <c r="T13" t="s">
        <v>22</v>
      </c>
    </row>
    <row r="14" spans="1:20" x14ac:dyDescent="0.3">
      <c r="A14">
        <v>41</v>
      </c>
      <c r="B14" t="s">
        <v>23</v>
      </c>
      <c r="C14" t="s">
        <v>24</v>
      </c>
      <c r="D14" t="s">
        <v>24</v>
      </c>
      <c r="E14" t="s">
        <v>24</v>
      </c>
      <c r="F14" t="s">
        <v>21</v>
      </c>
      <c r="G14" t="s">
        <v>21</v>
      </c>
      <c r="H14" t="s">
        <v>24</v>
      </c>
      <c r="I14" t="s">
        <v>24</v>
      </c>
      <c r="J14" t="s">
        <v>21</v>
      </c>
      <c r="K14" t="s">
        <v>21</v>
      </c>
      <c r="L14" t="s">
        <v>21</v>
      </c>
      <c r="M14" t="s">
        <v>21</v>
      </c>
      <c r="N14">
        <v>0.9</v>
      </c>
      <c r="O14">
        <v>81</v>
      </c>
      <c r="P14">
        <v>60</v>
      </c>
      <c r="Q14">
        <v>3.9</v>
      </c>
      <c r="R14">
        <v>52</v>
      </c>
      <c r="S14" t="s">
        <v>21</v>
      </c>
      <c r="T14" t="s">
        <v>22</v>
      </c>
    </row>
    <row r="15" spans="1:20" x14ac:dyDescent="0.3">
      <c r="A15">
        <v>30</v>
      </c>
      <c r="B15" t="s">
        <v>23</v>
      </c>
      <c r="C15" t="s">
        <v>24</v>
      </c>
      <c r="D15" t="s">
        <v>21</v>
      </c>
      <c r="E15" t="s">
        <v>24</v>
      </c>
      <c r="F15" t="s">
        <v>21</v>
      </c>
      <c r="G15" t="s">
        <v>21</v>
      </c>
      <c r="H15" t="s">
        <v>24</v>
      </c>
      <c r="I15" t="s">
        <v>24</v>
      </c>
      <c r="J15" t="s">
        <v>21</v>
      </c>
      <c r="K15" t="s">
        <v>21</v>
      </c>
      <c r="L15" t="s">
        <v>21</v>
      </c>
      <c r="M15" t="s">
        <v>21</v>
      </c>
      <c r="N15">
        <v>2.2000000000000002</v>
      </c>
      <c r="O15">
        <v>57</v>
      </c>
      <c r="P15">
        <v>144</v>
      </c>
      <c r="Q15">
        <v>4.9000000000000004</v>
      </c>
      <c r="R15">
        <v>78</v>
      </c>
      <c r="S15" t="s">
        <v>21</v>
      </c>
      <c r="T15" t="s">
        <v>22</v>
      </c>
    </row>
    <row r="16" spans="1:20" x14ac:dyDescent="0.3">
      <c r="A16">
        <v>47</v>
      </c>
      <c r="B16" t="s">
        <v>23</v>
      </c>
      <c r="C16" t="s">
        <v>21</v>
      </c>
      <c r="D16" t="s">
        <v>24</v>
      </c>
      <c r="E16" t="s">
        <v>21</v>
      </c>
      <c r="F16" t="s">
        <v>21</v>
      </c>
      <c r="G16" t="s">
        <v>21</v>
      </c>
      <c r="H16" t="s">
        <v>24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P16">
        <v>60</v>
      </c>
      <c r="S16" t="s">
        <v>21</v>
      </c>
      <c r="T16" t="s">
        <v>22</v>
      </c>
    </row>
    <row r="17" spans="1:20" x14ac:dyDescent="0.3">
      <c r="A17">
        <v>38</v>
      </c>
      <c r="B17" t="s">
        <v>23</v>
      </c>
      <c r="C17" t="s">
        <v>21</v>
      </c>
      <c r="D17" t="s">
        <v>21</v>
      </c>
      <c r="E17" t="s">
        <v>24</v>
      </c>
      <c r="F17" t="s">
        <v>24</v>
      </c>
      <c r="G17" t="s">
        <v>24</v>
      </c>
      <c r="H17" t="s">
        <v>24</v>
      </c>
      <c r="I17" t="s">
        <v>21</v>
      </c>
      <c r="J17" t="s">
        <v>21</v>
      </c>
      <c r="K17" t="s">
        <v>21</v>
      </c>
      <c r="L17" t="s">
        <v>24</v>
      </c>
      <c r="M17" t="s">
        <v>21</v>
      </c>
      <c r="N17">
        <v>2</v>
      </c>
      <c r="O17">
        <v>72</v>
      </c>
      <c r="P17">
        <v>89</v>
      </c>
      <c r="Q17">
        <v>2.9</v>
      </c>
      <c r="R17">
        <v>46</v>
      </c>
      <c r="S17" t="s">
        <v>21</v>
      </c>
      <c r="T17" t="s">
        <v>22</v>
      </c>
    </row>
    <row r="18" spans="1:20" x14ac:dyDescent="0.3">
      <c r="A18">
        <v>66</v>
      </c>
      <c r="B18" t="s">
        <v>23</v>
      </c>
      <c r="C18" t="s">
        <v>24</v>
      </c>
      <c r="D18" t="s">
        <v>21</v>
      </c>
      <c r="E18" t="s">
        <v>24</v>
      </c>
      <c r="F18" t="s">
        <v>21</v>
      </c>
      <c r="G18" t="s">
        <v>21</v>
      </c>
      <c r="H18" t="s">
        <v>24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>
        <v>1.2</v>
      </c>
      <c r="O18">
        <v>102</v>
      </c>
      <c r="P18">
        <v>53</v>
      </c>
      <c r="Q18">
        <v>4.3</v>
      </c>
      <c r="S18" t="s">
        <v>21</v>
      </c>
      <c r="T18" t="s">
        <v>22</v>
      </c>
    </row>
    <row r="19" spans="1:20" x14ac:dyDescent="0.3">
      <c r="A19">
        <v>40</v>
      </c>
      <c r="B19" t="s">
        <v>23</v>
      </c>
      <c r="C19" t="s">
        <v>21</v>
      </c>
      <c r="D19" t="s">
        <v>21</v>
      </c>
      <c r="E19" t="s">
        <v>24</v>
      </c>
      <c r="F19" t="s">
        <v>21</v>
      </c>
      <c r="G19" t="s">
        <v>21</v>
      </c>
      <c r="H19" t="s">
        <v>24</v>
      </c>
      <c r="I19" t="s">
        <v>24</v>
      </c>
      <c r="J19" t="s">
        <v>21</v>
      </c>
      <c r="K19" t="s">
        <v>21</v>
      </c>
      <c r="L19" t="s">
        <v>21</v>
      </c>
      <c r="M19" t="s">
        <v>21</v>
      </c>
      <c r="N19">
        <v>0.6</v>
      </c>
      <c r="O19">
        <v>62</v>
      </c>
      <c r="P19">
        <v>166</v>
      </c>
      <c r="Q19">
        <v>4</v>
      </c>
      <c r="R19">
        <v>63</v>
      </c>
      <c r="S19" t="s">
        <v>21</v>
      </c>
      <c r="T19" t="s">
        <v>22</v>
      </c>
    </row>
    <row r="20" spans="1:20" x14ac:dyDescent="0.3">
      <c r="A20">
        <v>38</v>
      </c>
      <c r="B20" t="s">
        <v>23</v>
      </c>
      <c r="C20" t="s">
        <v>24</v>
      </c>
      <c r="D20" t="s">
        <v>21</v>
      </c>
      <c r="E20" t="s">
        <v>21</v>
      </c>
      <c r="F20" t="s">
        <v>21</v>
      </c>
      <c r="G20" t="s">
        <v>21</v>
      </c>
      <c r="H20" t="s">
        <v>24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>
        <v>0.7</v>
      </c>
      <c r="O20">
        <v>53</v>
      </c>
      <c r="P20">
        <v>42</v>
      </c>
      <c r="Q20">
        <v>4.0999999999999996</v>
      </c>
      <c r="R20">
        <v>85</v>
      </c>
      <c r="S20" t="s">
        <v>24</v>
      </c>
      <c r="T20" t="s">
        <v>22</v>
      </c>
    </row>
    <row r="21" spans="1:20" x14ac:dyDescent="0.3">
      <c r="A21">
        <v>38</v>
      </c>
      <c r="B21" t="s">
        <v>23</v>
      </c>
      <c r="C21" t="s">
        <v>21</v>
      </c>
      <c r="D21" t="s">
        <v>24</v>
      </c>
      <c r="E21" t="s">
        <v>21</v>
      </c>
      <c r="F21" t="s">
        <v>21</v>
      </c>
      <c r="G21" t="s">
        <v>21</v>
      </c>
      <c r="H21" t="s">
        <v>21</v>
      </c>
      <c r="I21" t="s">
        <v>24</v>
      </c>
      <c r="J21" t="s">
        <v>21</v>
      </c>
      <c r="K21" t="s">
        <v>21</v>
      </c>
      <c r="L21" t="s">
        <v>21</v>
      </c>
      <c r="M21" t="s">
        <v>21</v>
      </c>
      <c r="N21">
        <v>0.7</v>
      </c>
      <c r="O21">
        <v>70</v>
      </c>
      <c r="P21">
        <v>28</v>
      </c>
      <c r="Q21">
        <v>4.2</v>
      </c>
      <c r="R21">
        <v>62</v>
      </c>
      <c r="S21" t="s">
        <v>21</v>
      </c>
      <c r="T21" t="s">
        <v>22</v>
      </c>
    </row>
    <row r="22" spans="1:20" x14ac:dyDescent="0.3">
      <c r="A22">
        <v>22</v>
      </c>
      <c r="B22" t="s">
        <v>20</v>
      </c>
      <c r="C22" t="s">
        <v>24</v>
      </c>
      <c r="D22" t="s">
        <v>24</v>
      </c>
      <c r="E22" t="s">
        <v>24</v>
      </c>
      <c r="F22" t="s">
        <v>21</v>
      </c>
      <c r="G22" t="s">
        <v>21</v>
      </c>
      <c r="H22" t="s">
        <v>24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>
        <v>0.9</v>
      </c>
      <c r="O22">
        <v>48</v>
      </c>
      <c r="P22">
        <v>20</v>
      </c>
      <c r="Q22">
        <v>4.2</v>
      </c>
      <c r="R22">
        <v>64</v>
      </c>
      <c r="S22" t="s">
        <v>21</v>
      </c>
      <c r="T22" t="s">
        <v>22</v>
      </c>
    </row>
    <row r="23" spans="1:20" x14ac:dyDescent="0.3">
      <c r="A23">
        <v>27</v>
      </c>
      <c r="B23" t="s">
        <v>23</v>
      </c>
      <c r="C23" t="s">
        <v>24</v>
      </c>
      <c r="D23" t="s">
        <v>21</v>
      </c>
      <c r="E23" t="s">
        <v>24</v>
      </c>
      <c r="F23" t="s">
        <v>24</v>
      </c>
      <c r="G23" t="s">
        <v>24</v>
      </c>
      <c r="H23" t="s">
        <v>21</v>
      </c>
      <c r="I23" t="s">
        <v>24</v>
      </c>
      <c r="J23" t="s">
        <v>24</v>
      </c>
      <c r="K23" t="s">
        <v>24</v>
      </c>
      <c r="L23" t="s">
        <v>21</v>
      </c>
      <c r="M23" t="s">
        <v>21</v>
      </c>
      <c r="N23">
        <v>1.2</v>
      </c>
      <c r="O23">
        <v>133</v>
      </c>
      <c r="P23">
        <v>98</v>
      </c>
      <c r="Q23">
        <v>4.0999999999999996</v>
      </c>
      <c r="R23">
        <v>39</v>
      </c>
      <c r="S23" t="s">
        <v>21</v>
      </c>
      <c r="T23" t="s">
        <v>22</v>
      </c>
    </row>
    <row r="24" spans="1:20" x14ac:dyDescent="0.3">
      <c r="A24">
        <v>31</v>
      </c>
      <c r="B24" t="s">
        <v>23</v>
      </c>
      <c r="C24" t="s">
        <v>24</v>
      </c>
      <c r="D24" t="s">
        <v>21</v>
      </c>
      <c r="E24" t="s">
        <v>21</v>
      </c>
      <c r="F24" t="s">
        <v>21</v>
      </c>
      <c r="G24" t="s">
        <v>21</v>
      </c>
      <c r="H24" t="s">
        <v>24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>
        <v>1</v>
      </c>
      <c r="O24">
        <v>85</v>
      </c>
      <c r="P24">
        <v>20</v>
      </c>
      <c r="Q24">
        <v>4</v>
      </c>
      <c r="R24">
        <v>100</v>
      </c>
      <c r="S24" t="s">
        <v>21</v>
      </c>
      <c r="T24" t="s">
        <v>22</v>
      </c>
    </row>
    <row r="25" spans="1:20" x14ac:dyDescent="0.3">
      <c r="A25">
        <v>42</v>
      </c>
      <c r="B25" t="s">
        <v>23</v>
      </c>
      <c r="C25" t="s">
        <v>24</v>
      </c>
      <c r="D25" t="s">
        <v>21</v>
      </c>
      <c r="E25" t="s">
        <v>21</v>
      </c>
      <c r="F25" t="s">
        <v>21</v>
      </c>
      <c r="G25" t="s">
        <v>21</v>
      </c>
      <c r="H25" t="s">
        <v>24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>
        <v>0.9</v>
      </c>
      <c r="O25">
        <v>60</v>
      </c>
      <c r="P25">
        <v>63</v>
      </c>
      <c r="Q25">
        <v>4.7</v>
      </c>
      <c r="R25">
        <v>47</v>
      </c>
      <c r="S25" t="s">
        <v>21</v>
      </c>
      <c r="T25" t="s">
        <v>22</v>
      </c>
    </row>
    <row r="26" spans="1:20" x14ac:dyDescent="0.3">
      <c r="A26">
        <v>25</v>
      </c>
      <c r="B26" t="s">
        <v>20</v>
      </c>
      <c r="C26" t="s">
        <v>21</v>
      </c>
      <c r="D26" t="s">
        <v>24</v>
      </c>
      <c r="E26" t="s">
        <v>21</v>
      </c>
      <c r="F26" t="s">
        <v>21</v>
      </c>
      <c r="G26" t="s">
        <v>21</v>
      </c>
      <c r="H26" t="s">
        <v>24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>
        <v>0.4</v>
      </c>
      <c r="O26">
        <v>45</v>
      </c>
      <c r="P26">
        <v>18</v>
      </c>
      <c r="Q26">
        <v>4.3</v>
      </c>
      <c r="R26">
        <v>70</v>
      </c>
      <c r="S26" t="s">
        <v>21</v>
      </c>
      <c r="T26" t="s">
        <v>22</v>
      </c>
    </row>
    <row r="27" spans="1:20" x14ac:dyDescent="0.3">
      <c r="A27">
        <v>27</v>
      </c>
      <c r="B27" t="s">
        <v>23</v>
      </c>
      <c r="C27" t="s">
        <v>21</v>
      </c>
      <c r="D27" t="s">
        <v>21</v>
      </c>
      <c r="E27" t="s">
        <v>24</v>
      </c>
      <c r="F27" t="s">
        <v>24</v>
      </c>
      <c r="G27" t="s">
        <v>21</v>
      </c>
      <c r="H27" t="s">
        <v>24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>
        <v>0.8</v>
      </c>
      <c r="O27">
        <v>95</v>
      </c>
      <c r="P27">
        <v>46</v>
      </c>
      <c r="Q27">
        <v>3.8</v>
      </c>
      <c r="R27">
        <v>100</v>
      </c>
      <c r="S27" t="s">
        <v>21</v>
      </c>
      <c r="T27" t="s">
        <v>22</v>
      </c>
    </row>
    <row r="28" spans="1:20" x14ac:dyDescent="0.3">
      <c r="A28">
        <v>49</v>
      </c>
      <c r="B28" t="s">
        <v>23</v>
      </c>
      <c r="C28" t="s">
        <v>21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21</v>
      </c>
      <c r="K28" t="s">
        <v>24</v>
      </c>
      <c r="L28" t="s">
        <v>21</v>
      </c>
      <c r="M28" t="s">
        <v>21</v>
      </c>
      <c r="N28">
        <v>0.6</v>
      </c>
      <c r="O28">
        <v>85</v>
      </c>
      <c r="P28">
        <v>48</v>
      </c>
      <c r="Q28">
        <v>3.7</v>
      </c>
      <c r="S28" t="s">
        <v>21</v>
      </c>
      <c r="T28" t="s">
        <v>22</v>
      </c>
    </row>
    <row r="29" spans="1:20" x14ac:dyDescent="0.3">
      <c r="A29">
        <v>58</v>
      </c>
      <c r="B29" t="s">
        <v>20</v>
      </c>
      <c r="C29" t="s">
        <v>24</v>
      </c>
      <c r="D29" t="s">
        <v>21</v>
      </c>
      <c r="E29" t="s">
        <v>24</v>
      </c>
      <c r="F29" t="s">
        <v>21</v>
      </c>
      <c r="G29" t="s">
        <v>21</v>
      </c>
      <c r="H29" t="s">
        <v>24</v>
      </c>
      <c r="I29" t="s">
        <v>24</v>
      </c>
      <c r="J29" t="s">
        <v>21</v>
      </c>
      <c r="K29" t="s">
        <v>24</v>
      </c>
      <c r="L29" t="s">
        <v>21</v>
      </c>
      <c r="M29" t="s">
        <v>21</v>
      </c>
      <c r="N29">
        <v>1.4</v>
      </c>
      <c r="O29">
        <v>175</v>
      </c>
      <c r="P29">
        <v>55</v>
      </c>
      <c r="Q29">
        <v>2.7</v>
      </c>
      <c r="R29">
        <v>36</v>
      </c>
      <c r="S29" t="s">
        <v>21</v>
      </c>
      <c r="T29" t="s">
        <v>22</v>
      </c>
    </row>
    <row r="30" spans="1:20" x14ac:dyDescent="0.3">
      <c r="A30">
        <v>61</v>
      </c>
      <c r="B30" t="s">
        <v>23</v>
      </c>
      <c r="C30" t="s">
        <v>21</v>
      </c>
      <c r="D30" t="s">
        <v>21</v>
      </c>
      <c r="E30" t="s">
        <v>24</v>
      </c>
      <c r="F30" t="s">
        <v>21</v>
      </c>
      <c r="G30" t="s">
        <v>21</v>
      </c>
      <c r="H30" t="s">
        <v>21</v>
      </c>
      <c r="I30" t="s">
        <v>24</v>
      </c>
      <c r="J30" t="s">
        <v>21</v>
      </c>
      <c r="K30" t="s">
        <v>21</v>
      </c>
      <c r="L30" t="s">
        <v>21</v>
      </c>
      <c r="M30" t="s">
        <v>21</v>
      </c>
      <c r="N30">
        <v>1.3</v>
      </c>
      <c r="O30">
        <v>78</v>
      </c>
      <c r="P30">
        <v>25</v>
      </c>
      <c r="Q30">
        <v>3.8</v>
      </c>
      <c r="R30">
        <v>100</v>
      </c>
      <c r="S30" t="s">
        <v>21</v>
      </c>
      <c r="T30" t="s">
        <v>22</v>
      </c>
    </row>
    <row r="31" spans="1:20" x14ac:dyDescent="0.3">
      <c r="A31">
        <v>51</v>
      </c>
      <c r="B31" t="s">
        <v>23</v>
      </c>
      <c r="C31" t="s">
        <v>21</v>
      </c>
      <c r="D31" t="s">
        <v>24</v>
      </c>
      <c r="E31" t="s">
        <v>24</v>
      </c>
      <c r="F31" t="s">
        <v>24</v>
      </c>
      <c r="G31" t="s">
        <v>21</v>
      </c>
      <c r="H31" t="s">
        <v>24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>
        <v>1</v>
      </c>
      <c r="O31">
        <v>78</v>
      </c>
      <c r="P31">
        <v>58</v>
      </c>
      <c r="Q31">
        <v>4.5999999999999996</v>
      </c>
      <c r="R31">
        <v>52</v>
      </c>
      <c r="S31" t="s">
        <v>21</v>
      </c>
      <c r="T31" t="s">
        <v>22</v>
      </c>
    </row>
    <row r="32" spans="1:20" x14ac:dyDescent="0.3">
      <c r="A32">
        <v>39</v>
      </c>
      <c r="B32" t="s">
        <v>23</v>
      </c>
      <c r="C32" t="s">
        <v>21</v>
      </c>
      <c r="D32" t="s">
        <v>24</v>
      </c>
      <c r="E32" t="s">
        <v>24</v>
      </c>
      <c r="F32" t="s">
        <v>24</v>
      </c>
      <c r="G32" t="s">
        <v>21</v>
      </c>
      <c r="H32" t="s">
        <v>24</v>
      </c>
      <c r="I32" t="s">
        <v>24</v>
      </c>
      <c r="J32" t="s">
        <v>21</v>
      </c>
      <c r="K32" t="s">
        <v>21</v>
      </c>
      <c r="L32" t="s">
        <v>21</v>
      </c>
      <c r="M32" t="s">
        <v>21</v>
      </c>
      <c r="N32">
        <v>2.2999999999999998</v>
      </c>
      <c r="O32">
        <v>280</v>
      </c>
      <c r="P32">
        <v>98</v>
      </c>
      <c r="Q32">
        <v>3.8</v>
      </c>
      <c r="R32">
        <v>40</v>
      </c>
      <c r="S32" t="s">
        <v>21</v>
      </c>
      <c r="T32" t="s">
        <v>25</v>
      </c>
    </row>
    <row r="33" spans="1:20" x14ac:dyDescent="0.3">
      <c r="A33">
        <v>62</v>
      </c>
      <c r="B33" t="s">
        <v>23</v>
      </c>
      <c r="C33" t="s">
        <v>21</v>
      </c>
      <c r="D33" t="s">
        <v>21</v>
      </c>
      <c r="E33" t="s">
        <v>24</v>
      </c>
      <c r="F33" t="s">
        <v>24</v>
      </c>
      <c r="G33" t="s">
        <v>21</v>
      </c>
      <c r="J33" t="s">
        <v>21</v>
      </c>
      <c r="K33" t="s">
        <v>21</v>
      </c>
      <c r="L33" t="s">
        <v>21</v>
      </c>
      <c r="M33" t="s">
        <v>21</v>
      </c>
      <c r="N33">
        <v>1</v>
      </c>
      <c r="P33">
        <v>60</v>
      </c>
      <c r="S33" t="s">
        <v>21</v>
      </c>
      <c r="T33" t="s">
        <v>25</v>
      </c>
    </row>
    <row r="34" spans="1:20" x14ac:dyDescent="0.3">
      <c r="A34">
        <v>41</v>
      </c>
      <c r="B34" t="s">
        <v>20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>
        <v>0.7</v>
      </c>
      <c r="O34">
        <v>81</v>
      </c>
      <c r="P34">
        <v>53</v>
      </c>
      <c r="Q34">
        <v>5</v>
      </c>
      <c r="R34">
        <v>74</v>
      </c>
      <c r="S34" t="s">
        <v>21</v>
      </c>
      <c r="T34" t="s">
        <v>22</v>
      </c>
    </row>
    <row r="35" spans="1:20" x14ac:dyDescent="0.3">
      <c r="A35">
        <v>26</v>
      </c>
      <c r="B35" t="s">
        <v>20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24</v>
      </c>
      <c r="I35" t="s">
        <v>24</v>
      </c>
      <c r="J35" t="s">
        <v>21</v>
      </c>
      <c r="K35" t="s">
        <v>21</v>
      </c>
      <c r="L35" t="s">
        <v>21</v>
      </c>
      <c r="M35" t="s">
        <v>21</v>
      </c>
      <c r="N35">
        <v>0.5</v>
      </c>
      <c r="O35">
        <v>135</v>
      </c>
      <c r="P35">
        <v>29</v>
      </c>
      <c r="Q35">
        <v>3.8</v>
      </c>
      <c r="R35">
        <v>60</v>
      </c>
      <c r="S35" t="s">
        <v>21</v>
      </c>
      <c r="T35" t="s">
        <v>22</v>
      </c>
    </row>
    <row r="36" spans="1:20" x14ac:dyDescent="0.3">
      <c r="A36">
        <v>35</v>
      </c>
      <c r="B36" t="s">
        <v>23</v>
      </c>
      <c r="C36" t="s">
        <v>24</v>
      </c>
      <c r="D36" t="s">
        <v>21</v>
      </c>
      <c r="E36" t="s">
        <v>24</v>
      </c>
      <c r="F36" t="s">
        <v>21</v>
      </c>
      <c r="G36" t="s">
        <v>21</v>
      </c>
      <c r="H36" t="s">
        <v>24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>
        <v>0.9</v>
      </c>
      <c r="O36">
        <v>58</v>
      </c>
      <c r="P36">
        <v>92</v>
      </c>
      <c r="Q36">
        <v>4.3</v>
      </c>
      <c r="R36">
        <v>73</v>
      </c>
      <c r="S36" t="s">
        <v>21</v>
      </c>
      <c r="T36" t="s">
        <v>22</v>
      </c>
    </row>
    <row r="37" spans="1:20" x14ac:dyDescent="0.3">
      <c r="A37">
        <v>37</v>
      </c>
      <c r="B37" t="s">
        <v>23</v>
      </c>
      <c r="C37" t="s">
        <v>24</v>
      </c>
      <c r="D37" t="s">
        <v>21</v>
      </c>
      <c r="E37" t="s">
        <v>24</v>
      </c>
      <c r="F37" t="s">
        <v>21</v>
      </c>
      <c r="G37" t="s">
        <v>21</v>
      </c>
      <c r="H37" t="s">
        <v>24</v>
      </c>
      <c r="I37" t="s">
        <v>21</v>
      </c>
      <c r="J37" t="s">
        <v>21</v>
      </c>
      <c r="K37" t="s">
        <v>24</v>
      </c>
      <c r="L37" t="s">
        <v>21</v>
      </c>
      <c r="M37" t="s">
        <v>21</v>
      </c>
      <c r="N37">
        <v>0.6</v>
      </c>
      <c r="O37">
        <v>67</v>
      </c>
      <c r="P37">
        <v>28</v>
      </c>
      <c r="Q37">
        <v>4.2</v>
      </c>
      <c r="S37" t="s">
        <v>21</v>
      </c>
      <c r="T37" t="s">
        <v>25</v>
      </c>
    </row>
    <row r="38" spans="1:20" x14ac:dyDescent="0.3">
      <c r="A38">
        <v>23</v>
      </c>
      <c r="B38" t="s">
        <v>23</v>
      </c>
      <c r="C38" t="s">
        <v>24</v>
      </c>
      <c r="D38" t="s">
        <v>21</v>
      </c>
      <c r="E38" t="s">
        <v>24</v>
      </c>
      <c r="F38" t="s">
        <v>24</v>
      </c>
      <c r="G38" t="s">
        <v>24</v>
      </c>
      <c r="H38" t="s">
        <v>24</v>
      </c>
      <c r="I38" t="s">
        <v>21</v>
      </c>
      <c r="J38" t="s">
        <v>24</v>
      </c>
      <c r="K38" t="s">
        <v>21</v>
      </c>
      <c r="L38" t="s">
        <v>21</v>
      </c>
      <c r="M38" t="s">
        <v>21</v>
      </c>
      <c r="N38">
        <v>1.3</v>
      </c>
      <c r="O38">
        <v>194</v>
      </c>
      <c r="P38">
        <v>150</v>
      </c>
      <c r="Q38">
        <v>4.0999999999999996</v>
      </c>
      <c r="R38">
        <v>90</v>
      </c>
      <c r="S38" t="s">
        <v>21</v>
      </c>
      <c r="T38" t="s">
        <v>22</v>
      </c>
    </row>
    <row r="39" spans="1:20" x14ac:dyDescent="0.3">
      <c r="A39">
        <v>20</v>
      </c>
      <c r="B39" t="s">
        <v>20</v>
      </c>
      <c r="C39" t="s">
        <v>21</v>
      </c>
      <c r="D39" t="s">
        <v>21</v>
      </c>
      <c r="E39" t="s">
        <v>24</v>
      </c>
      <c r="F39" t="s">
        <v>24</v>
      </c>
      <c r="G39" t="s">
        <v>24</v>
      </c>
      <c r="H39" t="s">
        <v>21</v>
      </c>
      <c r="I39" t="s">
        <v>24</v>
      </c>
      <c r="J39" t="s">
        <v>24</v>
      </c>
      <c r="K39" t="s">
        <v>24</v>
      </c>
      <c r="L39" t="s">
        <v>21</v>
      </c>
      <c r="M39" t="s">
        <v>21</v>
      </c>
      <c r="N39">
        <v>2.2999999999999998</v>
      </c>
      <c r="O39">
        <v>150</v>
      </c>
      <c r="P39">
        <v>68</v>
      </c>
      <c r="Q39">
        <v>3.9</v>
      </c>
      <c r="S39" t="s">
        <v>21</v>
      </c>
      <c r="T39" t="s">
        <v>22</v>
      </c>
    </row>
    <row r="40" spans="1:20" x14ac:dyDescent="0.3">
      <c r="A40">
        <v>42</v>
      </c>
      <c r="B40" t="s">
        <v>23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24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>
        <v>1</v>
      </c>
      <c r="O40">
        <v>85</v>
      </c>
      <c r="P40">
        <v>14</v>
      </c>
      <c r="Q40">
        <v>4</v>
      </c>
      <c r="R40">
        <v>100</v>
      </c>
      <c r="S40" t="s">
        <v>21</v>
      </c>
      <c r="T40" t="s">
        <v>22</v>
      </c>
    </row>
    <row r="41" spans="1:20" x14ac:dyDescent="0.3">
      <c r="A41">
        <v>65</v>
      </c>
      <c r="B41" t="s">
        <v>23</v>
      </c>
      <c r="C41" t="s">
        <v>24</v>
      </c>
      <c r="D41" t="s">
        <v>21</v>
      </c>
      <c r="E41" t="s">
        <v>24</v>
      </c>
      <c r="F41" t="s">
        <v>24</v>
      </c>
      <c r="G41" t="s">
        <v>21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21</v>
      </c>
      <c r="N41">
        <v>0.3</v>
      </c>
      <c r="O41">
        <v>180</v>
      </c>
      <c r="P41">
        <v>53</v>
      </c>
      <c r="Q41">
        <v>2.9</v>
      </c>
      <c r="R41">
        <v>74</v>
      </c>
      <c r="S41" t="s">
        <v>24</v>
      </c>
      <c r="T41" t="s">
        <v>22</v>
      </c>
    </row>
    <row r="42" spans="1:20" x14ac:dyDescent="0.3">
      <c r="A42">
        <v>52</v>
      </c>
      <c r="B42" t="s">
        <v>23</v>
      </c>
      <c r="C42" t="s">
        <v>21</v>
      </c>
      <c r="D42" t="s">
        <v>24</v>
      </c>
      <c r="E42" t="s">
        <v>21</v>
      </c>
      <c r="F42" t="s">
        <v>21</v>
      </c>
      <c r="G42" t="s">
        <v>21</v>
      </c>
      <c r="H42" t="s">
        <v>24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>
        <v>0.7</v>
      </c>
      <c r="O42">
        <v>75</v>
      </c>
      <c r="P42">
        <v>55</v>
      </c>
      <c r="Q42">
        <v>4</v>
      </c>
      <c r="R42">
        <v>21</v>
      </c>
      <c r="S42" t="s">
        <v>21</v>
      </c>
      <c r="T42" t="s">
        <v>22</v>
      </c>
    </row>
    <row r="43" spans="1:20" x14ac:dyDescent="0.3">
      <c r="A43">
        <v>23</v>
      </c>
      <c r="B43" t="s">
        <v>23</v>
      </c>
      <c r="C43" t="s">
        <v>24</v>
      </c>
      <c r="D43" t="s">
        <v>21</v>
      </c>
      <c r="E43" t="s">
        <v>21</v>
      </c>
      <c r="F43" t="s">
        <v>21</v>
      </c>
      <c r="G43" t="s">
        <v>21</v>
      </c>
      <c r="N43">
        <v>4.5999999999999996</v>
      </c>
      <c r="O43">
        <v>56</v>
      </c>
      <c r="P43">
        <v>16</v>
      </c>
      <c r="Q43">
        <v>4.5999999999999996</v>
      </c>
      <c r="S43" t="s">
        <v>21</v>
      </c>
      <c r="T43" t="s">
        <v>22</v>
      </c>
    </row>
    <row r="44" spans="1:20" x14ac:dyDescent="0.3">
      <c r="A44">
        <v>33</v>
      </c>
      <c r="B44" t="s">
        <v>23</v>
      </c>
      <c r="C44" t="s">
        <v>24</v>
      </c>
      <c r="D44" t="s">
        <v>21</v>
      </c>
      <c r="E44" t="s">
        <v>21</v>
      </c>
      <c r="F44" t="s">
        <v>21</v>
      </c>
      <c r="G44" t="s">
        <v>21</v>
      </c>
      <c r="H44" t="s">
        <v>24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>
        <v>1</v>
      </c>
      <c r="O44">
        <v>46</v>
      </c>
      <c r="P44">
        <v>90</v>
      </c>
      <c r="Q44">
        <v>4.4000000000000004</v>
      </c>
      <c r="R44">
        <v>60</v>
      </c>
      <c r="S44" t="s">
        <v>21</v>
      </c>
      <c r="T44" t="s">
        <v>22</v>
      </c>
    </row>
    <row r="45" spans="1:20" x14ac:dyDescent="0.3">
      <c r="A45">
        <v>56</v>
      </c>
      <c r="B45" t="s">
        <v>23</v>
      </c>
      <c r="C45" t="s">
        <v>21</v>
      </c>
      <c r="D45" t="s">
        <v>21</v>
      </c>
      <c r="E45" t="s">
        <v>24</v>
      </c>
      <c r="F45" t="s">
        <v>21</v>
      </c>
      <c r="G45" t="s">
        <v>21</v>
      </c>
      <c r="H45" t="s">
        <v>24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>
        <v>0.7</v>
      </c>
      <c r="O45">
        <v>71</v>
      </c>
      <c r="P45">
        <v>18</v>
      </c>
      <c r="Q45">
        <v>4.4000000000000004</v>
      </c>
      <c r="R45">
        <v>100</v>
      </c>
      <c r="S45" t="s">
        <v>21</v>
      </c>
      <c r="T45" t="s">
        <v>22</v>
      </c>
    </row>
    <row r="46" spans="1:20" x14ac:dyDescent="0.3">
      <c r="A46">
        <v>34</v>
      </c>
      <c r="B46" t="s">
        <v>23</v>
      </c>
      <c r="C46" t="s">
        <v>24</v>
      </c>
      <c r="D46" t="s">
        <v>21</v>
      </c>
      <c r="E46" t="s">
        <v>21</v>
      </c>
      <c r="F46" t="s">
        <v>21</v>
      </c>
      <c r="G46" t="s">
        <v>21</v>
      </c>
      <c r="H46" t="s">
        <v>24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P46">
        <v>86</v>
      </c>
      <c r="S46" t="s">
        <v>21</v>
      </c>
      <c r="T46" t="s">
        <v>22</v>
      </c>
    </row>
    <row r="47" spans="1:20" x14ac:dyDescent="0.3">
      <c r="A47">
        <v>28</v>
      </c>
      <c r="B47" t="s">
        <v>23</v>
      </c>
      <c r="C47" t="s">
        <v>24</v>
      </c>
      <c r="D47" t="s">
        <v>21</v>
      </c>
      <c r="E47" t="s">
        <v>24</v>
      </c>
      <c r="F47" t="s">
        <v>24</v>
      </c>
      <c r="G47" t="s">
        <v>21</v>
      </c>
      <c r="H47" t="s">
        <v>24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>
        <v>0.7</v>
      </c>
      <c r="O47">
        <v>74</v>
      </c>
      <c r="P47">
        <v>110</v>
      </c>
      <c r="Q47">
        <v>4.4000000000000004</v>
      </c>
      <c r="S47" t="s">
        <v>21</v>
      </c>
      <c r="T47" t="s">
        <v>22</v>
      </c>
    </row>
    <row r="48" spans="1:20" x14ac:dyDescent="0.3">
      <c r="A48">
        <v>37</v>
      </c>
      <c r="B48" t="s">
        <v>23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24</v>
      </c>
      <c r="I48" t="s">
        <v>24</v>
      </c>
      <c r="J48" t="s">
        <v>21</v>
      </c>
      <c r="K48" t="s">
        <v>24</v>
      </c>
      <c r="L48" t="s">
        <v>21</v>
      </c>
      <c r="M48" t="s">
        <v>21</v>
      </c>
      <c r="N48">
        <v>0.6</v>
      </c>
      <c r="O48">
        <v>80</v>
      </c>
      <c r="P48">
        <v>80</v>
      </c>
      <c r="Q48">
        <v>3.8</v>
      </c>
      <c r="S48" t="s">
        <v>21</v>
      </c>
      <c r="T48" t="s">
        <v>22</v>
      </c>
    </row>
    <row r="49" spans="1:20" x14ac:dyDescent="0.3">
      <c r="A49">
        <v>28</v>
      </c>
      <c r="B49" t="s">
        <v>20</v>
      </c>
      <c r="C49" t="s">
        <v>24</v>
      </c>
      <c r="D49" t="s">
        <v>21</v>
      </c>
      <c r="E49" t="s">
        <v>24</v>
      </c>
      <c r="F49" t="s">
        <v>24</v>
      </c>
      <c r="G49" t="s">
        <v>21</v>
      </c>
      <c r="H49" t="s">
        <v>24</v>
      </c>
      <c r="I49" t="s">
        <v>24</v>
      </c>
      <c r="J49" t="s">
        <v>21</v>
      </c>
      <c r="K49" t="s">
        <v>21</v>
      </c>
      <c r="L49" t="s">
        <v>21</v>
      </c>
      <c r="M49" t="s">
        <v>21</v>
      </c>
      <c r="N49">
        <v>1.8</v>
      </c>
      <c r="O49">
        <v>191</v>
      </c>
      <c r="P49">
        <v>420</v>
      </c>
      <c r="Q49">
        <v>3.3</v>
      </c>
      <c r="R49">
        <v>46</v>
      </c>
      <c r="S49" t="s">
        <v>21</v>
      </c>
      <c r="T49" t="s">
        <v>22</v>
      </c>
    </row>
    <row r="50" spans="1:20" x14ac:dyDescent="0.3">
      <c r="A50">
        <v>36</v>
      </c>
      <c r="B50" t="s">
        <v>23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24</v>
      </c>
      <c r="I50" t="s">
        <v>21</v>
      </c>
      <c r="J50" t="s">
        <v>24</v>
      </c>
      <c r="K50" t="s">
        <v>21</v>
      </c>
      <c r="L50" t="s">
        <v>21</v>
      </c>
      <c r="M50" t="s">
        <v>21</v>
      </c>
      <c r="N50">
        <v>0.8</v>
      </c>
      <c r="O50">
        <v>85</v>
      </c>
      <c r="P50">
        <v>44</v>
      </c>
      <c r="Q50">
        <v>4.2</v>
      </c>
      <c r="R50">
        <v>85</v>
      </c>
      <c r="S50" t="s">
        <v>21</v>
      </c>
      <c r="T50" t="s">
        <v>22</v>
      </c>
    </row>
    <row r="51" spans="1:20" x14ac:dyDescent="0.3">
      <c r="A51">
        <v>38</v>
      </c>
      <c r="B51" t="s">
        <v>23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21</v>
      </c>
      <c r="J51" t="s">
        <v>21</v>
      </c>
      <c r="K51" t="s">
        <v>24</v>
      </c>
      <c r="L51" t="s">
        <v>21</v>
      </c>
      <c r="M51" t="s">
        <v>21</v>
      </c>
      <c r="N51">
        <v>0.7</v>
      </c>
      <c r="O51">
        <v>125</v>
      </c>
      <c r="P51">
        <v>65</v>
      </c>
      <c r="Q51">
        <v>4.2</v>
      </c>
      <c r="R51">
        <v>77</v>
      </c>
      <c r="S51" t="s">
        <v>21</v>
      </c>
      <c r="T51" t="s">
        <v>22</v>
      </c>
    </row>
    <row r="52" spans="1:20" x14ac:dyDescent="0.3">
      <c r="A52">
        <v>39</v>
      </c>
      <c r="B52" t="s">
        <v>23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24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>
        <v>0.9</v>
      </c>
      <c r="O52">
        <v>85</v>
      </c>
      <c r="P52">
        <v>60</v>
      </c>
      <c r="Q52">
        <v>4</v>
      </c>
      <c r="S52" t="s">
        <v>21</v>
      </c>
      <c r="T52" t="s">
        <v>22</v>
      </c>
    </row>
    <row r="53" spans="1:20" x14ac:dyDescent="0.3">
      <c r="A53">
        <v>39</v>
      </c>
      <c r="B53" t="s">
        <v>23</v>
      </c>
      <c r="C53" t="s">
        <v>24</v>
      </c>
      <c r="D53" t="s">
        <v>21</v>
      </c>
      <c r="E53" t="s">
        <v>21</v>
      </c>
      <c r="F53" t="s">
        <v>21</v>
      </c>
      <c r="G53" t="s">
        <v>21</v>
      </c>
      <c r="H53" t="s">
        <v>24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>
        <v>1</v>
      </c>
      <c r="O53">
        <v>85</v>
      </c>
      <c r="P53">
        <v>20</v>
      </c>
      <c r="Q53">
        <v>4</v>
      </c>
      <c r="S53" t="s">
        <v>21</v>
      </c>
      <c r="T53" t="s">
        <v>22</v>
      </c>
    </row>
    <row r="54" spans="1:20" x14ac:dyDescent="0.3">
      <c r="A54">
        <v>44</v>
      </c>
      <c r="B54" t="s">
        <v>23</v>
      </c>
      <c r="C54" t="s">
        <v>24</v>
      </c>
      <c r="D54" t="s">
        <v>21</v>
      </c>
      <c r="E54" t="s">
        <v>21</v>
      </c>
      <c r="F54" t="s">
        <v>21</v>
      </c>
      <c r="G54" t="s">
        <v>21</v>
      </c>
      <c r="H54" t="s">
        <v>24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>
        <v>0.6</v>
      </c>
      <c r="O54">
        <v>110</v>
      </c>
      <c r="P54">
        <v>145</v>
      </c>
      <c r="Q54">
        <v>4.4000000000000004</v>
      </c>
      <c r="R54">
        <v>70</v>
      </c>
      <c r="S54" t="s">
        <v>21</v>
      </c>
      <c r="T54" t="s">
        <v>22</v>
      </c>
    </row>
    <row r="55" spans="1:20" x14ac:dyDescent="0.3">
      <c r="A55">
        <v>40</v>
      </c>
      <c r="B55" t="s">
        <v>23</v>
      </c>
      <c r="C55" t="s">
        <v>24</v>
      </c>
      <c r="D55" t="s">
        <v>24</v>
      </c>
      <c r="E55" t="s">
        <v>24</v>
      </c>
      <c r="F55" t="s">
        <v>21</v>
      </c>
      <c r="G55" t="s">
        <v>21</v>
      </c>
      <c r="H55" t="s">
        <v>24</v>
      </c>
      <c r="I55" t="s">
        <v>24</v>
      </c>
      <c r="J55" t="s">
        <v>24</v>
      </c>
      <c r="K55" t="s">
        <v>21</v>
      </c>
      <c r="L55" t="s">
        <v>21</v>
      </c>
      <c r="M55" t="s">
        <v>21</v>
      </c>
      <c r="N55">
        <v>1.2</v>
      </c>
      <c r="O55">
        <v>85</v>
      </c>
      <c r="P55">
        <v>31</v>
      </c>
      <c r="Q55">
        <v>4</v>
      </c>
      <c r="R55">
        <v>100</v>
      </c>
      <c r="S55" t="s">
        <v>21</v>
      </c>
      <c r="T55" t="s">
        <v>22</v>
      </c>
    </row>
    <row r="56" spans="1:20" x14ac:dyDescent="0.3">
      <c r="A56">
        <v>30</v>
      </c>
      <c r="B56" t="s">
        <v>23</v>
      </c>
      <c r="C56" t="s">
        <v>24</v>
      </c>
      <c r="D56" t="s">
        <v>21</v>
      </c>
      <c r="E56" t="s">
        <v>24</v>
      </c>
      <c r="F56" t="s">
        <v>21</v>
      </c>
      <c r="G56" t="s">
        <v>21</v>
      </c>
      <c r="H56" t="s">
        <v>24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>
        <v>0.7</v>
      </c>
      <c r="O56">
        <v>50</v>
      </c>
      <c r="P56">
        <v>78</v>
      </c>
      <c r="Q56">
        <v>4.2</v>
      </c>
      <c r="R56">
        <v>74</v>
      </c>
      <c r="S56" t="s">
        <v>21</v>
      </c>
      <c r="T56" t="s">
        <v>22</v>
      </c>
    </row>
    <row r="57" spans="1:20" x14ac:dyDescent="0.3">
      <c r="A57">
        <v>37</v>
      </c>
      <c r="B57" t="s">
        <v>23</v>
      </c>
      <c r="C57" t="s">
        <v>21</v>
      </c>
      <c r="D57" t="s">
        <v>21</v>
      </c>
      <c r="E57" t="s">
        <v>24</v>
      </c>
      <c r="F57" t="s">
        <v>24</v>
      </c>
      <c r="G57" t="s">
        <v>24</v>
      </c>
      <c r="H57" t="s">
        <v>24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>
        <v>0.8</v>
      </c>
      <c r="O57">
        <v>92</v>
      </c>
      <c r="P57">
        <v>59</v>
      </c>
      <c r="S57" t="s">
        <v>21</v>
      </c>
      <c r="T57" t="s">
        <v>22</v>
      </c>
    </row>
    <row r="58" spans="1:20" x14ac:dyDescent="0.3">
      <c r="A58">
        <v>34</v>
      </c>
      <c r="B58" t="s">
        <v>23</v>
      </c>
      <c r="C58" t="s">
        <v>21</v>
      </c>
      <c r="D58" t="s">
        <v>21</v>
      </c>
      <c r="S58" t="s">
        <v>21</v>
      </c>
      <c r="T58" t="s">
        <v>22</v>
      </c>
    </row>
    <row r="59" spans="1:20" x14ac:dyDescent="0.3">
      <c r="A59">
        <v>30</v>
      </c>
      <c r="B59" t="s">
        <v>23</v>
      </c>
      <c r="C59" t="s">
        <v>24</v>
      </c>
      <c r="D59" t="s">
        <v>24</v>
      </c>
      <c r="E59" t="s">
        <v>21</v>
      </c>
      <c r="F59" t="s">
        <v>21</v>
      </c>
      <c r="G59" t="s">
        <v>21</v>
      </c>
      <c r="H59" t="s">
        <v>24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>
        <v>0.7</v>
      </c>
      <c r="O59">
        <v>52</v>
      </c>
      <c r="P59">
        <v>38</v>
      </c>
      <c r="Q59">
        <v>3.9</v>
      </c>
      <c r="R59">
        <v>52</v>
      </c>
      <c r="S59" t="s">
        <v>21</v>
      </c>
      <c r="T59" t="s">
        <v>22</v>
      </c>
    </row>
    <row r="60" spans="1:20" x14ac:dyDescent="0.3">
      <c r="A60">
        <v>64</v>
      </c>
      <c r="B60" t="s">
        <v>23</v>
      </c>
      <c r="C60" t="s">
        <v>24</v>
      </c>
      <c r="D60" t="s">
        <v>24</v>
      </c>
      <c r="E60" t="s">
        <v>24</v>
      </c>
      <c r="F60" t="s">
        <v>24</v>
      </c>
      <c r="G60" t="s">
        <v>21</v>
      </c>
      <c r="H60" t="s">
        <v>21</v>
      </c>
      <c r="I60" t="s">
        <v>24</v>
      </c>
      <c r="J60" t="s">
        <v>21</v>
      </c>
      <c r="K60" t="s">
        <v>21</v>
      </c>
      <c r="L60" t="s">
        <v>21</v>
      </c>
      <c r="M60" t="s">
        <v>21</v>
      </c>
      <c r="N60">
        <v>1</v>
      </c>
      <c r="O60">
        <v>80</v>
      </c>
      <c r="P60">
        <v>38</v>
      </c>
      <c r="Q60">
        <v>4.3</v>
      </c>
      <c r="R60">
        <v>74</v>
      </c>
      <c r="S60" t="s">
        <v>21</v>
      </c>
      <c r="T60" t="s">
        <v>22</v>
      </c>
    </row>
    <row r="61" spans="1:20" x14ac:dyDescent="0.3">
      <c r="A61">
        <v>45</v>
      </c>
      <c r="B61" t="s">
        <v>20</v>
      </c>
      <c r="C61" t="s">
        <v>21</v>
      </c>
      <c r="D61" t="s">
        <v>21</v>
      </c>
      <c r="E61" t="s">
        <v>24</v>
      </c>
      <c r="F61" t="s">
        <v>24</v>
      </c>
      <c r="G61" t="s">
        <v>21</v>
      </c>
      <c r="H61" t="s">
        <v>24</v>
      </c>
      <c r="I61" t="s">
        <v>21</v>
      </c>
      <c r="J61" t="s">
        <v>24</v>
      </c>
      <c r="K61" t="s">
        <v>21</v>
      </c>
      <c r="L61" t="s">
        <v>21</v>
      </c>
      <c r="M61" t="s">
        <v>21</v>
      </c>
      <c r="N61">
        <v>1</v>
      </c>
      <c r="O61">
        <v>85</v>
      </c>
      <c r="P61">
        <v>75</v>
      </c>
      <c r="S61" t="s">
        <v>21</v>
      </c>
      <c r="T61" t="s">
        <v>22</v>
      </c>
    </row>
    <row r="62" spans="1:20" x14ac:dyDescent="0.3">
      <c r="A62">
        <v>37</v>
      </c>
      <c r="B62" t="s">
        <v>23</v>
      </c>
      <c r="C62" t="s">
        <v>24</v>
      </c>
      <c r="D62" t="s">
        <v>21</v>
      </c>
      <c r="E62" t="s">
        <v>21</v>
      </c>
      <c r="F62" t="s">
        <v>21</v>
      </c>
      <c r="G62" t="s">
        <v>21</v>
      </c>
      <c r="H62" t="s">
        <v>24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>
        <v>0.7</v>
      </c>
      <c r="O62">
        <v>26</v>
      </c>
      <c r="P62">
        <v>58</v>
      </c>
      <c r="Q62">
        <v>4.5</v>
      </c>
      <c r="R62">
        <v>100</v>
      </c>
      <c r="S62" t="s">
        <v>21</v>
      </c>
      <c r="T62" t="s">
        <v>22</v>
      </c>
    </row>
    <row r="63" spans="1:20" x14ac:dyDescent="0.3">
      <c r="A63">
        <v>32</v>
      </c>
      <c r="B63" t="s">
        <v>23</v>
      </c>
      <c r="C63" t="s">
        <v>24</v>
      </c>
      <c r="D63" t="s">
        <v>21</v>
      </c>
      <c r="E63" t="s">
        <v>21</v>
      </c>
      <c r="F63" t="s">
        <v>21</v>
      </c>
      <c r="G63" t="s">
        <v>21</v>
      </c>
      <c r="H63" t="s">
        <v>24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>
        <v>0.7</v>
      </c>
      <c r="O63">
        <v>102</v>
      </c>
      <c r="P63">
        <v>64</v>
      </c>
      <c r="Q63">
        <v>4</v>
      </c>
      <c r="R63">
        <v>90</v>
      </c>
      <c r="S63" t="s">
        <v>21</v>
      </c>
      <c r="T63" t="s">
        <v>22</v>
      </c>
    </row>
    <row r="64" spans="1:20" x14ac:dyDescent="0.3">
      <c r="A64">
        <v>32</v>
      </c>
      <c r="B64" t="s">
        <v>23</v>
      </c>
      <c r="C64" t="s">
        <v>24</v>
      </c>
      <c r="D64" t="s">
        <v>21</v>
      </c>
      <c r="E64" t="s">
        <v>24</v>
      </c>
      <c r="F64" t="s">
        <v>24</v>
      </c>
      <c r="G64" t="s">
        <v>24</v>
      </c>
      <c r="H64" t="s">
        <v>24</v>
      </c>
      <c r="I64" t="s">
        <v>21</v>
      </c>
      <c r="J64" t="s">
        <v>21</v>
      </c>
      <c r="K64" t="s">
        <v>24</v>
      </c>
      <c r="L64" t="s">
        <v>21</v>
      </c>
      <c r="M64" t="s">
        <v>24</v>
      </c>
      <c r="N64">
        <v>3.5</v>
      </c>
      <c r="O64">
        <v>215</v>
      </c>
      <c r="P64">
        <v>54</v>
      </c>
      <c r="Q64">
        <v>3.4</v>
      </c>
      <c r="R64">
        <v>29</v>
      </c>
      <c r="S64" t="s">
        <v>21</v>
      </c>
      <c r="T64" t="s">
        <v>22</v>
      </c>
    </row>
    <row r="65" spans="1:20" x14ac:dyDescent="0.3">
      <c r="A65">
        <v>36</v>
      </c>
      <c r="B65" t="s">
        <v>23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24</v>
      </c>
      <c r="J65" t="s">
        <v>24</v>
      </c>
      <c r="K65" t="s">
        <v>21</v>
      </c>
      <c r="L65" t="s">
        <v>21</v>
      </c>
      <c r="M65" t="s">
        <v>21</v>
      </c>
      <c r="N65">
        <v>0.7</v>
      </c>
      <c r="O65">
        <v>164</v>
      </c>
      <c r="P65">
        <v>44</v>
      </c>
      <c r="Q65">
        <v>3.1</v>
      </c>
      <c r="R65">
        <v>41</v>
      </c>
      <c r="S65" t="s">
        <v>21</v>
      </c>
      <c r="T65" t="s">
        <v>22</v>
      </c>
    </row>
    <row r="66" spans="1:20" x14ac:dyDescent="0.3">
      <c r="A66">
        <v>49</v>
      </c>
      <c r="B66" t="s">
        <v>23</v>
      </c>
      <c r="C66" t="s">
        <v>24</v>
      </c>
      <c r="D66" t="s">
        <v>21</v>
      </c>
      <c r="E66" t="s">
        <v>24</v>
      </c>
      <c r="F66" t="s">
        <v>24</v>
      </c>
      <c r="G66" t="s">
        <v>21</v>
      </c>
      <c r="H66" t="s">
        <v>24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>
        <v>0.8</v>
      </c>
      <c r="O66">
        <v>103</v>
      </c>
      <c r="P66">
        <v>43</v>
      </c>
      <c r="Q66">
        <v>3.5</v>
      </c>
      <c r="R66">
        <v>66</v>
      </c>
      <c r="S66" t="s">
        <v>21</v>
      </c>
      <c r="T66" t="s">
        <v>22</v>
      </c>
    </row>
    <row r="67" spans="1:20" x14ac:dyDescent="0.3">
      <c r="A67">
        <v>27</v>
      </c>
      <c r="B67" t="s">
        <v>23</v>
      </c>
      <c r="C67" t="s">
        <v>24</v>
      </c>
      <c r="D67" t="s">
        <v>21</v>
      </c>
      <c r="E67" t="s">
        <v>21</v>
      </c>
      <c r="F67" t="s">
        <v>21</v>
      </c>
      <c r="G67" t="s">
        <v>21</v>
      </c>
      <c r="H67" t="s">
        <v>24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>
        <v>0.8</v>
      </c>
      <c r="P67">
        <v>38</v>
      </c>
      <c r="Q67">
        <v>4.2</v>
      </c>
      <c r="S67" t="s">
        <v>21</v>
      </c>
      <c r="T67" t="s">
        <v>22</v>
      </c>
    </row>
    <row r="68" spans="1:20" x14ac:dyDescent="0.3">
      <c r="A68">
        <v>56</v>
      </c>
      <c r="B68" t="s">
        <v>23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24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>
        <v>0.7</v>
      </c>
      <c r="O68">
        <v>62</v>
      </c>
      <c r="P68">
        <v>33</v>
      </c>
      <c r="Q68">
        <v>3</v>
      </c>
      <c r="S68" t="s">
        <v>21</v>
      </c>
      <c r="T68" t="s">
        <v>22</v>
      </c>
    </row>
    <row r="69" spans="1:20" x14ac:dyDescent="0.3">
      <c r="A69">
        <v>57</v>
      </c>
      <c r="B69" t="s">
        <v>23</v>
      </c>
      <c r="C69" t="s">
        <v>24</v>
      </c>
      <c r="D69" t="s">
        <v>21</v>
      </c>
      <c r="E69" t="s">
        <v>24</v>
      </c>
      <c r="F69" t="s">
        <v>24</v>
      </c>
      <c r="G69" t="s">
        <v>24</v>
      </c>
      <c r="H69" t="s">
        <v>24</v>
      </c>
      <c r="I69" t="s">
        <v>21</v>
      </c>
      <c r="J69" t="s">
        <v>21</v>
      </c>
      <c r="K69" t="s">
        <v>24</v>
      </c>
      <c r="L69" t="s">
        <v>24</v>
      </c>
      <c r="M69" t="s">
        <v>21</v>
      </c>
      <c r="N69">
        <v>4.0999999999999996</v>
      </c>
      <c r="P69">
        <v>48</v>
      </c>
      <c r="Q69">
        <v>2.6</v>
      </c>
      <c r="R69">
        <v>73</v>
      </c>
      <c r="S69" t="s">
        <v>21</v>
      </c>
      <c r="T69" t="s">
        <v>25</v>
      </c>
    </row>
    <row r="70" spans="1:20" x14ac:dyDescent="0.3">
      <c r="A70">
        <v>39</v>
      </c>
      <c r="B70" t="s">
        <v>23</v>
      </c>
      <c r="C70" t="s">
        <v>24</v>
      </c>
      <c r="D70" t="s">
        <v>21</v>
      </c>
      <c r="E70" t="s">
        <v>24</v>
      </c>
      <c r="F70" t="s">
        <v>21</v>
      </c>
      <c r="G70" t="s">
        <v>21</v>
      </c>
      <c r="H70" t="s">
        <v>24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>
        <v>1</v>
      </c>
      <c r="O70">
        <v>34</v>
      </c>
      <c r="P70">
        <v>15</v>
      </c>
      <c r="Q70">
        <v>4</v>
      </c>
      <c r="R70">
        <v>54</v>
      </c>
      <c r="S70" t="s">
        <v>21</v>
      </c>
      <c r="T70" t="s">
        <v>22</v>
      </c>
    </row>
    <row r="71" spans="1:20" x14ac:dyDescent="0.3">
      <c r="A71">
        <v>44</v>
      </c>
      <c r="B71" t="s">
        <v>23</v>
      </c>
      <c r="C71" t="s">
        <v>21</v>
      </c>
      <c r="D71" t="s">
        <v>21</v>
      </c>
      <c r="E71" t="s">
        <v>24</v>
      </c>
      <c r="F71" t="s">
        <v>24</v>
      </c>
      <c r="G71" t="s">
        <v>21</v>
      </c>
      <c r="H71" t="s">
        <v>24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>
        <v>1.6</v>
      </c>
      <c r="O71">
        <v>68</v>
      </c>
      <c r="P71">
        <v>68</v>
      </c>
      <c r="Q71">
        <v>3.7</v>
      </c>
      <c r="S71" t="s">
        <v>21</v>
      </c>
      <c r="T71" t="s">
        <v>22</v>
      </c>
    </row>
    <row r="72" spans="1:20" x14ac:dyDescent="0.3">
      <c r="A72">
        <v>24</v>
      </c>
      <c r="B72" t="s">
        <v>23</v>
      </c>
      <c r="C72" t="s">
        <v>24</v>
      </c>
      <c r="D72" t="s">
        <v>21</v>
      </c>
      <c r="E72" t="s">
        <v>21</v>
      </c>
      <c r="F72" t="s">
        <v>21</v>
      </c>
      <c r="G72" t="s">
        <v>21</v>
      </c>
      <c r="H72" t="s">
        <v>24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>
        <v>0.8</v>
      </c>
      <c r="O72">
        <v>82</v>
      </c>
      <c r="P72">
        <v>39</v>
      </c>
      <c r="Q72">
        <v>4.3</v>
      </c>
      <c r="S72" t="s">
        <v>21</v>
      </c>
      <c r="T72" t="s">
        <v>22</v>
      </c>
    </row>
    <row r="73" spans="1:20" x14ac:dyDescent="0.3">
      <c r="A73">
        <v>34</v>
      </c>
      <c r="B73" t="s">
        <v>23</v>
      </c>
      <c r="C73" t="s">
        <v>21</v>
      </c>
      <c r="D73" t="s">
        <v>21</v>
      </c>
      <c r="E73" t="s">
        <v>24</v>
      </c>
      <c r="F73" t="s">
        <v>24</v>
      </c>
      <c r="G73" t="s">
        <v>21</v>
      </c>
      <c r="H73" t="s">
        <v>21</v>
      </c>
      <c r="I73" t="s">
        <v>24</v>
      </c>
      <c r="J73" t="s">
        <v>21</v>
      </c>
      <c r="K73" t="s">
        <v>24</v>
      </c>
      <c r="L73" t="s">
        <v>21</v>
      </c>
      <c r="M73" t="s">
        <v>21</v>
      </c>
      <c r="N73">
        <v>2.8</v>
      </c>
      <c r="O73">
        <v>127</v>
      </c>
      <c r="P73">
        <v>182</v>
      </c>
      <c r="S73" t="s">
        <v>21</v>
      </c>
      <c r="T73" t="s">
        <v>25</v>
      </c>
    </row>
    <row r="74" spans="1:20" x14ac:dyDescent="0.3">
      <c r="A74">
        <v>51</v>
      </c>
      <c r="B74" t="s">
        <v>23</v>
      </c>
      <c r="C74" t="s">
        <v>24</v>
      </c>
      <c r="D74" t="s">
        <v>21</v>
      </c>
      <c r="E74" t="s">
        <v>24</v>
      </c>
      <c r="F74" t="s">
        <v>24</v>
      </c>
      <c r="G74" t="s">
        <v>24</v>
      </c>
      <c r="N74">
        <v>0.9</v>
      </c>
      <c r="O74">
        <v>76</v>
      </c>
      <c r="P74">
        <v>271</v>
      </c>
      <c r="Q74">
        <v>4.4000000000000004</v>
      </c>
      <c r="S74" t="s">
        <v>21</v>
      </c>
      <c r="T74" t="s">
        <v>22</v>
      </c>
    </row>
    <row r="75" spans="1:20" x14ac:dyDescent="0.3">
      <c r="A75">
        <v>36</v>
      </c>
      <c r="B75" t="s">
        <v>23</v>
      </c>
      <c r="C75" t="s">
        <v>21</v>
      </c>
      <c r="D75" t="s">
        <v>21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21</v>
      </c>
      <c r="K75" t="s">
        <v>21</v>
      </c>
      <c r="L75" t="s">
        <v>21</v>
      </c>
      <c r="M75" t="s">
        <v>21</v>
      </c>
      <c r="N75">
        <v>1</v>
      </c>
      <c r="P75">
        <v>45</v>
      </c>
      <c r="Q75">
        <v>4</v>
      </c>
      <c r="R75">
        <v>57</v>
      </c>
      <c r="S75" t="s">
        <v>21</v>
      </c>
      <c r="T75" t="s">
        <v>22</v>
      </c>
    </row>
    <row r="76" spans="1:20" x14ac:dyDescent="0.3">
      <c r="A76">
        <v>50</v>
      </c>
      <c r="B76" t="s">
        <v>23</v>
      </c>
      <c r="C76" t="s">
        <v>24</v>
      </c>
      <c r="D76" t="s">
        <v>21</v>
      </c>
      <c r="E76" t="s">
        <v>21</v>
      </c>
      <c r="F76" t="s">
        <v>21</v>
      </c>
      <c r="G76" t="s">
        <v>21</v>
      </c>
      <c r="H76" t="s">
        <v>24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>
        <v>1.5</v>
      </c>
      <c r="O76">
        <v>100</v>
      </c>
      <c r="P76">
        <v>100</v>
      </c>
      <c r="Q76">
        <v>5.3</v>
      </c>
      <c r="S76" t="s">
        <v>21</v>
      </c>
      <c r="T76" t="s">
        <v>22</v>
      </c>
    </row>
    <row r="77" spans="1:20" x14ac:dyDescent="0.3">
      <c r="A77">
        <v>32</v>
      </c>
      <c r="B77" t="s">
        <v>23</v>
      </c>
      <c r="C77" t="s">
        <v>21</v>
      </c>
      <c r="D77" t="s">
        <v>24</v>
      </c>
      <c r="E77" t="s">
        <v>24</v>
      </c>
      <c r="F77" t="s">
        <v>24</v>
      </c>
      <c r="G77" t="s">
        <v>21</v>
      </c>
      <c r="H77" t="s">
        <v>24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>
        <v>1</v>
      </c>
      <c r="O77">
        <v>55</v>
      </c>
      <c r="P77">
        <v>45</v>
      </c>
      <c r="Q77">
        <v>4.0999999999999996</v>
      </c>
      <c r="R77">
        <v>56</v>
      </c>
      <c r="S77" t="s">
        <v>21</v>
      </c>
      <c r="T77" t="s">
        <v>22</v>
      </c>
    </row>
    <row r="78" spans="1:20" x14ac:dyDescent="0.3">
      <c r="A78">
        <v>58</v>
      </c>
      <c r="B78" t="s">
        <v>23</v>
      </c>
      <c r="C78" t="s">
        <v>24</v>
      </c>
      <c r="D78" t="s">
        <v>21</v>
      </c>
      <c r="E78" t="s">
        <v>24</v>
      </c>
      <c r="F78" t="s">
        <v>21</v>
      </c>
      <c r="G78" t="s">
        <v>21</v>
      </c>
      <c r="H78" t="s">
        <v>21</v>
      </c>
      <c r="I78" t="s">
        <v>24</v>
      </c>
      <c r="J78" t="s">
        <v>24</v>
      </c>
      <c r="K78" t="s">
        <v>24</v>
      </c>
      <c r="L78" t="s">
        <v>21</v>
      </c>
      <c r="M78" t="s">
        <v>21</v>
      </c>
      <c r="N78">
        <v>2</v>
      </c>
      <c r="O78">
        <v>167</v>
      </c>
      <c r="P78">
        <v>242</v>
      </c>
      <c r="Q78">
        <v>3.3</v>
      </c>
      <c r="S78" t="s">
        <v>21</v>
      </c>
      <c r="T78" t="s">
        <v>25</v>
      </c>
    </row>
    <row r="79" spans="1:20" x14ac:dyDescent="0.3">
      <c r="A79">
        <v>34</v>
      </c>
      <c r="B79" t="s">
        <v>20</v>
      </c>
      <c r="C79" t="s">
        <v>21</v>
      </c>
      <c r="D79" t="s">
        <v>24</v>
      </c>
      <c r="E79" t="s">
        <v>21</v>
      </c>
      <c r="F79" t="s">
        <v>21</v>
      </c>
      <c r="G79" t="s">
        <v>21</v>
      </c>
      <c r="H79" t="s">
        <v>24</v>
      </c>
      <c r="I79" t="s">
        <v>24</v>
      </c>
      <c r="J79" t="s">
        <v>21</v>
      </c>
      <c r="K79" t="s">
        <v>21</v>
      </c>
      <c r="L79" t="s">
        <v>21</v>
      </c>
      <c r="M79" t="s">
        <v>21</v>
      </c>
      <c r="N79">
        <v>0.6</v>
      </c>
      <c r="O79">
        <v>30</v>
      </c>
      <c r="P79">
        <v>24</v>
      </c>
      <c r="Q79">
        <v>4</v>
      </c>
      <c r="R79">
        <v>76</v>
      </c>
      <c r="S79" t="s">
        <v>21</v>
      </c>
      <c r="T79" t="s">
        <v>22</v>
      </c>
    </row>
    <row r="80" spans="1:20" x14ac:dyDescent="0.3">
      <c r="A80">
        <v>34</v>
      </c>
      <c r="B80" t="s">
        <v>23</v>
      </c>
      <c r="C80" t="s">
        <v>21</v>
      </c>
      <c r="D80" t="s">
        <v>21</v>
      </c>
      <c r="E80" t="s">
        <v>24</v>
      </c>
      <c r="F80" t="s">
        <v>21</v>
      </c>
      <c r="G80" t="s">
        <v>21</v>
      </c>
      <c r="H80" t="s">
        <v>21</v>
      </c>
      <c r="I80" t="s">
        <v>24</v>
      </c>
      <c r="J80" t="s">
        <v>21</v>
      </c>
      <c r="K80" t="s">
        <v>24</v>
      </c>
      <c r="L80" t="s">
        <v>21</v>
      </c>
      <c r="M80" t="s">
        <v>21</v>
      </c>
      <c r="N80">
        <v>1</v>
      </c>
      <c r="O80">
        <v>72</v>
      </c>
      <c r="P80">
        <v>46</v>
      </c>
      <c r="Q80">
        <v>4.4000000000000004</v>
      </c>
      <c r="R80">
        <v>57</v>
      </c>
      <c r="S80" t="s">
        <v>21</v>
      </c>
      <c r="T80" t="s">
        <v>22</v>
      </c>
    </row>
    <row r="81" spans="1:20" x14ac:dyDescent="0.3">
      <c r="A81">
        <v>28</v>
      </c>
      <c r="B81" t="s">
        <v>23</v>
      </c>
      <c r="C81" t="s">
        <v>24</v>
      </c>
      <c r="D81" t="s">
        <v>21</v>
      </c>
      <c r="E81" t="s">
        <v>21</v>
      </c>
      <c r="F81" t="s">
        <v>21</v>
      </c>
      <c r="G81" t="s">
        <v>21</v>
      </c>
      <c r="H81" t="s">
        <v>24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>
        <v>0.7</v>
      </c>
      <c r="O81">
        <v>85</v>
      </c>
      <c r="P81">
        <v>31</v>
      </c>
      <c r="Q81">
        <v>4.9000000000000004</v>
      </c>
      <c r="S81" t="s">
        <v>21</v>
      </c>
      <c r="T81" t="s">
        <v>22</v>
      </c>
    </row>
    <row r="82" spans="1:20" x14ac:dyDescent="0.3">
      <c r="A82">
        <v>23</v>
      </c>
      <c r="B82" t="s">
        <v>23</v>
      </c>
      <c r="C82" t="s">
        <v>24</v>
      </c>
      <c r="D82" t="s">
        <v>21</v>
      </c>
      <c r="E82" t="s">
        <v>24</v>
      </c>
      <c r="F82" t="s">
        <v>24</v>
      </c>
      <c r="G82" t="s">
        <v>24</v>
      </c>
      <c r="H82" t="s">
        <v>24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>
        <v>0.8</v>
      </c>
      <c r="P82">
        <v>14</v>
      </c>
      <c r="Q82">
        <v>4.8</v>
      </c>
      <c r="S82" t="s">
        <v>21</v>
      </c>
      <c r="T82" t="s">
        <v>22</v>
      </c>
    </row>
    <row r="83" spans="1:20" x14ac:dyDescent="0.3">
      <c r="A83">
        <v>36</v>
      </c>
      <c r="B83" t="s">
        <v>23</v>
      </c>
      <c r="C83" t="s">
        <v>24</v>
      </c>
      <c r="D83" t="s">
        <v>21</v>
      </c>
      <c r="E83" t="s">
        <v>21</v>
      </c>
      <c r="F83" t="s">
        <v>21</v>
      </c>
      <c r="G83" t="s">
        <v>21</v>
      </c>
      <c r="H83" t="s">
        <v>24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>
        <v>0.7</v>
      </c>
      <c r="O83">
        <v>62</v>
      </c>
      <c r="P83">
        <v>224</v>
      </c>
      <c r="Q83">
        <v>4.2</v>
      </c>
      <c r="R83">
        <v>100</v>
      </c>
      <c r="S83" t="s">
        <v>21</v>
      </c>
      <c r="T83" t="s">
        <v>22</v>
      </c>
    </row>
    <row r="84" spans="1:20" x14ac:dyDescent="0.3">
      <c r="A84">
        <v>30</v>
      </c>
      <c r="B84" t="s">
        <v>23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24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>
        <v>0.7</v>
      </c>
      <c r="O84">
        <v>100</v>
      </c>
      <c r="P84">
        <v>31</v>
      </c>
      <c r="Q84">
        <v>4</v>
      </c>
      <c r="R84">
        <v>100</v>
      </c>
      <c r="S84" t="s">
        <v>21</v>
      </c>
      <c r="T84" t="s">
        <v>22</v>
      </c>
    </row>
    <row r="85" spans="1:20" x14ac:dyDescent="0.3">
      <c r="A85">
        <v>67</v>
      </c>
      <c r="B85" t="s">
        <v>20</v>
      </c>
      <c r="C85" t="s">
        <v>21</v>
      </c>
      <c r="D85" t="s">
        <v>21</v>
      </c>
      <c r="E85" t="s">
        <v>24</v>
      </c>
      <c r="F85" t="s">
        <v>24</v>
      </c>
      <c r="G85" t="s">
        <v>21</v>
      </c>
      <c r="H85" t="s">
        <v>24</v>
      </c>
      <c r="I85" t="s">
        <v>21</v>
      </c>
      <c r="N85">
        <v>1.5</v>
      </c>
      <c r="O85">
        <v>179</v>
      </c>
      <c r="P85">
        <v>69</v>
      </c>
      <c r="Q85">
        <v>2.9</v>
      </c>
      <c r="S85" t="s">
        <v>21</v>
      </c>
      <c r="T85" t="s">
        <v>22</v>
      </c>
    </row>
    <row r="86" spans="1:20" x14ac:dyDescent="0.3">
      <c r="A86">
        <v>62</v>
      </c>
      <c r="B86" t="s">
        <v>20</v>
      </c>
      <c r="C86" t="s">
        <v>24</v>
      </c>
      <c r="D86" t="s">
        <v>21</v>
      </c>
      <c r="E86" t="s">
        <v>24</v>
      </c>
      <c r="F86" t="s">
        <v>24</v>
      </c>
      <c r="G86" t="s">
        <v>21</v>
      </c>
      <c r="H86" t="s">
        <v>24</v>
      </c>
      <c r="I86" t="s">
        <v>24</v>
      </c>
      <c r="J86" t="s">
        <v>21</v>
      </c>
      <c r="K86" t="s">
        <v>24</v>
      </c>
      <c r="L86" t="s">
        <v>21</v>
      </c>
      <c r="M86" t="s">
        <v>21</v>
      </c>
      <c r="N86">
        <v>1.3</v>
      </c>
      <c r="O86">
        <v>141</v>
      </c>
      <c r="P86">
        <v>156</v>
      </c>
      <c r="Q86">
        <v>3.9</v>
      </c>
      <c r="R86">
        <v>58</v>
      </c>
      <c r="S86" t="s">
        <v>21</v>
      </c>
      <c r="T86" t="s">
        <v>22</v>
      </c>
    </row>
    <row r="87" spans="1:20" x14ac:dyDescent="0.3">
      <c r="A87">
        <v>28</v>
      </c>
      <c r="B87" t="s">
        <v>23</v>
      </c>
      <c r="C87" t="s">
        <v>21</v>
      </c>
      <c r="D87" t="s">
        <v>21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21</v>
      </c>
      <c r="K87" t="s">
        <v>21</v>
      </c>
      <c r="L87" t="s">
        <v>21</v>
      </c>
      <c r="M87" t="s">
        <v>21</v>
      </c>
      <c r="N87">
        <v>1.6</v>
      </c>
      <c r="O87">
        <v>44</v>
      </c>
      <c r="P87">
        <v>123</v>
      </c>
      <c r="Q87">
        <v>4</v>
      </c>
      <c r="R87">
        <v>46</v>
      </c>
      <c r="S87" t="s">
        <v>21</v>
      </c>
      <c r="T87" t="s">
        <v>22</v>
      </c>
    </row>
    <row r="88" spans="1:20" x14ac:dyDescent="0.3">
      <c r="A88">
        <v>44</v>
      </c>
      <c r="B88" t="s">
        <v>23</v>
      </c>
      <c r="C88" t="s">
        <v>21</v>
      </c>
      <c r="D88" t="s">
        <v>21</v>
      </c>
      <c r="E88" t="s">
        <v>24</v>
      </c>
      <c r="F88" t="s">
        <v>24</v>
      </c>
      <c r="G88" t="s">
        <v>21</v>
      </c>
      <c r="H88" t="s">
        <v>24</v>
      </c>
      <c r="I88" t="s">
        <v>21</v>
      </c>
      <c r="J88" t="s">
        <v>24</v>
      </c>
      <c r="K88" t="s">
        <v>21</v>
      </c>
      <c r="L88" t="s">
        <v>21</v>
      </c>
      <c r="M88" t="s">
        <v>24</v>
      </c>
      <c r="N88">
        <v>0.9</v>
      </c>
      <c r="O88">
        <v>135</v>
      </c>
      <c r="P88">
        <v>55</v>
      </c>
      <c r="R88">
        <v>41</v>
      </c>
      <c r="S88" t="s">
        <v>24</v>
      </c>
      <c r="T88" t="s">
        <v>25</v>
      </c>
    </row>
    <row r="89" spans="1:20" x14ac:dyDescent="0.3">
      <c r="A89">
        <v>30</v>
      </c>
      <c r="B89" t="s">
        <v>23</v>
      </c>
      <c r="C89" t="s">
        <v>24</v>
      </c>
      <c r="D89" t="s">
        <v>21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21</v>
      </c>
      <c r="K89" t="s">
        <v>24</v>
      </c>
      <c r="L89" t="s">
        <v>24</v>
      </c>
      <c r="M89" t="s">
        <v>24</v>
      </c>
      <c r="N89">
        <v>2.5</v>
      </c>
      <c r="O89">
        <v>165</v>
      </c>
      <c r="P89">
        <v>64</v>
      </c>
      <c r="Q89">
        <v>2.8</v>
      </c>
      <c r="S89" t="s">
        <v>24</v>
      </c>
      <c r="T89" t="s">
        <v>25</v>
      </c>
    </row>
    <row r="90" spans="1:20" x14ac:dyDescent="0.3">
      <c r="A90">
        <v>38</v>
      </c>
      <c r="B90" t="s">
        <v>23</v>
      </c>
      <c r="C90" t="s">
        <v>21</v>
      </c>
      <c r="D90" t="s">
        <v>21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21</v>
      </c>
      <c r="K90" t="s">
        <v>24</v>
      </c>
      <c r="L90" t="s">
        <v>24</v>
      </c>
      <c r="M90" t="s">
        <v>24</v>
      </c>
      <c r="N90">
        <v>1.2</v>
      </c>
      <c r="O90">
        <v>118</v>
      </c>
      <c r="P90">
        <v>16</v>
      </c>
      <c r="Q90">
        <v>2.8</v>
      </c>
      <c r="S90" t="s">
        <v>24</v>
      </c>
      <c r="T90" t="s">
        <v>25</v>
      </c>
    </row>
    <row r="91" spans="1:20" x14ac:dyDescent="0.3">
      <c r="A91">
        <v>38</v>
      </c>
      <c r="B91" t="s">
        <v>23</v>
      </c>
      <c r="C91" t="s">
        <v>21</v>
      </c>
      <c r="D91" t="s">
        <v>21</v>
      </c>
      <c r="E91" t="s">
        <v>24</v>
      </c>
      <c r="F91" t="s">
        <v>24</v>
      </c>
      <c r="G91" t="s">
        <v>24</v>
      </c>
      <c r="H91" t="s">
        <v>21</v>
      </c>
      <c r="I91" t="s">
        <v>24</v>
      </c>
      <c r="J91" t="s">
        <v>21</v>
      </c>
      <c r="K91" t="s">
        <v>21</v>
      </c>
      <c r="L91" t="s">
        <v>21</v>
      </c>
      <c r="M91" t="s">
        <v>21</v>
      </c>
      <c r="N91">
        <v>0.6</v>
      </c>
      <c r="O91">
        <v>76</v>
      </c>
      <c r="P91">
        <v>18</v>
      </c>
      <c r="Q91">
        <v>4.4000000000000004</v>
      </c>
      <c r="R91">
        <v>84</v>
      </c>
      <c r="S91" t="s">
        <v>24</v>
      </c>
      <c r="T91" t="s">
        <v>22</v>
      </c>
    </row>
    <row r="92" spans="1:20" x14ac:dyDescent="0.3">
      <c r="A92">
        <v>50</v>
      </c>
      <c r="B92" t="s">
        <v>20</v>
      </c>
      <c r="C92" t="s">
        <v>21</v>
      </c>
      <c r="D92" t="s">
        <v>21</v>
      </c>
      <c r="E92" t="s">
        <v>24</v>
      </c>
      <c r="F92" t="s">
        <v>21</v>
      </c>
      <c r="G92" t="s">
        <v>21</v>
      </c>
      <c r="H92" t="s">
        <v>21</v>
      </c>
      <c r="I92" t="s">
        <v>24</v>
      </c>
      <c r="J92" t="s">
        <v>24</v>
      </c>
      <c r="K92" t="s">
        <v>24</v>
      </c>
      <c r="L92" t="s">
        <v>21</v>
      </c>
      <c r="M92" t="s">
        <v>21</v>
      </c>
      <c r="N92">
        <v>0.9</v>
      </c>
      <c r="O92">
        <v>230</v>
      </c>
      <c r="P92">
        <v>117</v>
      </c>
      <c r="Q92">
        <v>3.4</v>
      </c>
      <c r="R92">
        <v>41</v>
      </c>
      <c r="S92" t="s">
        <v>24</v>
      </c>
      <c r="T92" t="s">
        <v>22</v>
      </c>
    </row>
    <row r="93" spans="1:20" x14ac:dyDescent="0.3">
      <c r="A93">
        <v>42</v>
      </c>
      <c r="B93" t="s">
        <v>23</v>
      </c>
      <c r="C93" t="s">
        <v>21</v>
      </c>
      <c r="D93" t="s">
        <v>21</v>
      </c>
      <c r="E93" t="s">
        <v>24</v>
      </c>
      <c r="F93" t="s">
        <v>24</v>
      </c>
      <c r="G93" t="s">
        <v>24</v>
      </c>
      <c r="H93" t="s">
        <v>24</v>
      </c>
      <c r="I93" t="s">
        <v>21</v>
      </c>
      <c r="J93" t="s">
        <v>24</v>
      </c>
      <c r="K93" t="s">
        <v>24</v>
      </c>
      <c r="L93" t="s">
        <v>21</v>
      </c>
      <c r="M93" t="s">
        <v>24</v>
      </c>
      <c r="N93">
        <v>4.5999999999999996</v>
      </c>
      <c r="P93">
        <v>55</v>
      </c>
      <c r="Q93">
        <v>3.3</v>
      </c>
      <c r="S93" t="s">
        <v>24</v>
      </c>
      <c r="T93" t="s">
        <v>25</v>
      </c>
    </row>
    <row r="94" spans="1:20" x14ac:dyDescent="0.3">
      <c r="A94">
        <v>33</v>
      </c>
      <c r="B94" t="s">
        <v>23</v>
      </c>
      <c r="C94" t="s">
        <v>24</v>
      </c>
      <c r="D94" t="s">
        <v>21</v>
      </c>
      <c r="E94" t="s">
        <v>21</v>
      </c>
      <c r="F94" t="s">
        <v>21</v>
      </c>
      <c r="G94" t="s">
        <v>21</v>
      </c>
      <c r="J94" t="s">
        <v>21</v>
      </c>
      <c r="K94" t="s">
        <v>21</v>
      </c>
      <c r="L94" t="s">
        <v>21</v>
      </c>
      <c r="M94" t="s">
        <v>21</v>
      </c>
      <c r="N94">
        <v>1</v>
      </c>
      <c r="P94">
        <v>60</v>
      </c>
      <c r="Q94">
        <v>4</v>
      </c>
      <c r="S94" t="s">
        <v>24</v>
      </c>
      <c r="T94" t="s">
        <v>22</v>
      </c>
    </row>
    <row r="95" spans="1:20" x14ac:dyDescent="0.3">
      <c r="A95">
        <v>52</v>
      </c>
      <c r="B95" t="s">
        <v>23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24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>
        <v>1.5</v>
      </c>
      <c r="P95">
        <v>69</v>
      </c>
      <c r="Q95">
        <v>2.9</v>
      </c>
      <c r="S95" t="s">
        <v>24</v>
      </c>
      <c r="T95" t="s">
        <v>22</v>
      </c>
    </row>
    <row r="96" spans="1:20" x14ac:dyDescent="0.3">
      <c r="A96">
        <v>59</v>
      </c>
      <c r="B96" t="s">
        <v>23</v>
      </c>
      <c r="C96" t="s">
        <v>21</v>
      </c>
      <c r="D96" t="s">
        <v>21</v>
      </c>
      <c r="E96" t="s">
        <v>24</v>
      </c>
      <c r="F96" t="s">
        <v>24</v>
      </c>
      <c r="G96" t="s">
        <v>21</v>
      </c>
      <c r="H96" t="s">
        <v>24</v>
      </c>
      <c r="I96" t="s">
        <v>24</v>
      </c>
      <c r="J96" t="s">
        <v>24</v>
      </c>
      <c r="K96" t="s">
        <v>24</v>
      </c>
      <c r="L96" t="s">
        <v>21</v>
      </c>
      <c r="M96" t="s">
        <v>21</v>
      </c>
      <c r="N96">
        <v>1.5</v>
      </c>
      <c r="O96">
        <v>107</v>
      </c>
      <c r="P96">
        <v>157</v>
      </c>
      <c r="Q96">
        <v>3.6</v>
      </c>
      <c r="R96">
        <v>38</v>
      </c>
      <c r="S96" t="s">
        <v>24</v>
      </c>
      <c r="T96" t="s">
        <v>25</v>
      </c>
    </row>
    <row r="97" spans="1:20" x14ac:dyDescent="0.3">
      <c r="A97">
        <v>40</v>
      </c>
      <c r="B97" t="s">
        <v>23</v>
      </c>
      <c r="C97" t="s">
        <v>21</v>
      </c>
      <c r="D97" t="s">
        <v>24</v>
      </c>
      <c r="E97" t="s">
        <v>24</v>
      </c>
      <c r="F97" t="s">
        <v>24</v>
      </c>
      <c r="G97" t="s">
        <v>24</v>
      </c>
      <c r="H97" t="s">
        <v>21</v>
      </c>
      <c r="I97" t="s">
        <v>24</v>
      </c>
      <c r="J97" t="s">
        <v>21</v>
      </c>
      <c r="K97" t="s">
        <v>21</v>
      </c>
      <c r="L97" t="s">
        <v>21</v>
      </c>
      <c r="M97" t="s">
        <v>21</v>
      </c>
      <c r="N97">
        <v>0.6</v>
      </c>
      <c r="O97">
        <v>40</v>
      </c>
      <c r="P97">
        <v>69</v>
      </c>
      <c r="Q97">
        <v>4.2</v>
      </c>
      <c r="R97">
        <v>67</v>
      </c>
      <c r="S97" t="s">
        <v>24</v>
      </c>
      <c r="T97" t="s">
        <v>22</v>
      </c>
    </row>
    <row r="98" spans="1:20" x14ac:dyDescent="0.3">
      <c r="A98">
        <v>30</v>
      </c>
      <c r="B98" t="s">
        <v>23</v>
      </c>
      <c r="C98" t="s">
        <v>21</v>
      </c>
      <c r="D98" t="s">
        <v>21</v>
      </c>
      <c r="E98" t="s">
        <v>24</v>
      </c>
      <c r="F98" t="s">
        <v>24</v>
      </c>
      <c r="G98" t="s">
        <v>21</v>
      </c>
      <c r="H98" t="s">
        <v>24</v>
      </c>
      <c r="I98" t="s">
        <v>24</v>
      </c>
      <c r="J98" t="s">
        <v>21</v>
      </c>
      <c r="K98" t="s">
        <v>24</v>
      </c>
      <c r="L98" t="s">
        <v>21</v>
      </c>
      <c r="M98" t="s">
        <v>21</v>
      </c>
      <c r="N98">
        <v>0.8</v>
      </c>
      <c r="O98">
        <v>147</v>
      </c>
      <c r="P98">
        <v>128</v>
      </c>
      <c r="Q98">
        <v>3.9</v>
      </c>
      <c r="R98">
        <v>100</v>
      </c>
      <c r="S98" t="s">
        <v>24</v>
      </c>
      <c r="T98" t="s">
        <v>22</v>
      </c>
    </row>
    <row r="99" spans="1:20" x14ac:dyDescent="0.3">
      <c r="A99">
        <v>44</v>
      </c>
      <c r="B99" t="s">
        <v>23</v>
      </c>
      <c r="C99" t="s">
        <v>21</v>
      </c>
      <c r="D99" t="s">
        <v>21</v>
      </c>
      <c r="E99" t="s">
        <v>24</v>
      </c>
      <c r="F99" t="s">
        <v>24</v>
      </c>
      <c r="G99" t="s">
        <v>21</v>
      </c>
      <c r="H99" t="s">
        <v>21</v>
      </c>
      <c r="I99" t="s">
        <v>24</v>
      </c>
      <c r="J99" t="s">
        <v>21</v>
      </c>
      <c r="K99" t="s">
        <v>24</v>
      </c>
      <c r="L99" t="s">
        <v>21</v>
      </c>
      <c r="M99" t="s">
        <v>21</v>
      </c>
      <c r="N99">
        <v>3</v>
      </c>
      <c r="O99">
        <v>114</v>
      </c>
      <c r="P99">
        <v>65</v>
      </c>
      <c r="Q99">
        <v>3.5</v>
      </c>
      <c r="S99" t="s">
        <v>24</v>
      </c>
      <c r="T99" t="s">
        <v>22</v>
      </c>
    </row>
    <row r="100" spans="1:20" x14ac:dyDescent="0.3">
      <c r="A100">
        <v>47</v>
      </c>
      <c r="B100" t="s">
        <v>23</v>
      </c>
      <c r="C100" t="s">
        <v>24</v>
      </c>
      <c r="D100" t="s">
        <v>21</v>
      </c>
      <c r="E100" t="s">
        <v>21</v>
      </c>
      <c r="F100" t="s">
        <v>21</v>
      </c>
      <c r="G100" t="s">
        <v>21</v>
      </c>
      <c r="H100" t="s">
        <v>24</v>
      </c>
      <c r="I100" t="s">
        <v>21</v>
      </c>
      <c r="J100" t="s">
        <v>21</v>
      </c>
      <c r="K100" t="s">
        <v>24</v>
      </c>
      <c r="L100" t="s">
        <v>21</v>
      </c>
      <c r="M100" t="s">
        <v>24</v>
      </c>
      <c r="N100">
        <v>2</v>
      </c>
      <c r="O100">
        <v>84</v>
      </c>
      <c r="P100">
        <v>23</v>
      </c>
      <c r="Q100">
        <v>4.2</v>
      </c>
      <c r="R100">
        <v>66</v>
      </c>
      <c r="S100" t="s">
        <v>24</v>
      </c>
      <c r="T100" t="s">
        <v>25</v>
      </c>
    </row>
    <row r="101" spans="1:20" x14ac:dyDescent="0.3">
      <c r="A101">
        <v>60</v>
      </c>
      <c r="B101" t="s">
        <v>23</v>
      </c>
      <c r="C101" t="s">
        <v>21</v>
      </c>
      <c r="D101" t="s">
        <v>21</v>
      </c>
      <c r="E101" t="s">
        <v>24</v>
      </c>
      <c r="F101" t="s">
        <v>21</v>
      </c>
      <c r="G101" t="s">
        <v>21</v>
      </c>
      <c r="H101" t="s">
        <v>21</v>
      </c>
      <c r="I101" t="s">
        <v>24</v>
      </c>
      <c r="J101" t="s">
        <v>24</v>
      </c>
      <c r="K101" t="s">
        <v>24</v>
      </c>
      <c r="L101" t="s">
        <v>21</v>
      </c>
      <c r="M101" t="s">
        <v>21</v>
      </c>
      <c r="P101">
        <v>40</v>
      </c>
      <c r="S101" t="s">
        <v>24</v>
      </c>
      <c r="T101" t="s">
        <v>22</v>
      </c>
    </row>
    <row r="102" spans="1:20" x14ac:dyDescent="0.3">
      <c r="A102">
        <v>48</v>
      </c>
      <c r="B102" t="s">
        <v>23</v>
      </c>
      <c r="C102" t="s">
        <v>21</v>
      </c>
      <c r="D102" t="s">
        <v>21</v>
      </c>
      <c r="E102" t="s">
        <v>24</v>
      </c>
      <c r="F102" t="s">
        <v>24</v>
      </c>
      <c r="G102" t="s">
        <v>21</v>
      </c>
      <c r="H102" t="s">
        <v>24</v>
      </c>
      <c r="I102" t="s">
        <v>24</v>
      </c>
      <c r="J102" t="s">
        <v>21</v>
      </c>
      <c r="K102" t="s">
        <v>24</v>
      </c>
      <c r="L102" t="s">
        <v>24</v>
      </c>
      <c r="M102" t="s">
        <v>24</v>
      </c>
      <c r="N102">
        <v>4.8</v>
      </c>
      <c r="O102">
        <v>123</v>
      </c>
      <c r="P102">
        <v>157</v>
      </c>
      <c r="Q102">
        <v>2.7</v>
      </c>
      <c r="R102">
        <v>31</v>
      </c>
      <c r="S102" t="s">
        <v>24</v>
      </c>
      <c r="T102" t="s">
        <v>25</v>
      </c>
    </row>
    <row r="103" spans="1:20" x14ac:dyDescent="0.3">
      <c r="A103">
        <v>22</v>
      </c>
      <c r="B103" t="s">
        <v>23</v>
      </c>
      <c r="C103" t="s">
        <v>24</v>
      </c>
      <c r="D103" t="s">
        <v>21</v>
      </c>
      <c r="E103" t="s">
        <v>21</v>
      </c>
      <c r="F103" t="s">
        <v>21</v>
      </c>
      <c r="G103" t="s">
        <v>21</v>
      </c>
      <c r="H103" t="s">
        <v>24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>
        <v>0.7</v>
      </c>
      <c r="P103">
        <v>24</v>
      </c>
      <c r="S103" t="s">
        <v>24</v>
      </c>
      <c r="T103" t="s">
        <v>22</v>
      </c>
    </row>
    <row r="104" spans="1:20" x14ac:dyDescent="0.3">
      <c r="A104">
        <v>27</v>
      </c>
      <c r="B104" t="s">
        <v>23</v>
      </c>
      <c r="C104" t="s">
        <v>21</v>
      </c>
      <c r="D104" t="s">
        <v>21</v>
      </c>
      <c r="E104" t="s">
        <v>24</v>
      </c>
      <c r="F104" t="s">
        <v>21</v>
      </c>
      <c r="G104" t="s">
        <v>21</v>
      </c>
      <c r="H104" t="s">
        <v>24</v>
      </c>
      <c r="I104" t="s">
        <v>24</v>
      </c>
      <c r="J104" t="s">
        <v>21</v>
      </c>
      <c r="K104" t="s">
        <v>21</v>
      </c>
      <c r="L104" t="s">
        <v>21</v>
      </c>
      <c r="M104" t="s">
        <v>21</v>
      </c>
      <c r="N104">
        <v>2.4</v>
      </c>
      <c r="O104">
        <v>168</v>
      </c>
      <c r="P104">
        <v>227</v>
      </c>
      <c r="Q104">
        <v>3</v>
      </c>
      <c r="R104">
        <v>66</v>
      </c>
      <c r="S104" t="s">
        <v>24</v>
      </c>
      <c r="T104" t="s">
        <v>22</v>
      </c>
    </row>
    <row r="105" spans="1:20" x14ac:dyDescent="0.3">
      <c r="A105">
        <v>51</v>
      </c>
      <c r="B105" t="s">
        <v>23</v>
      </c>
      <c r="C105" t="s">
        <v>21</v>
      </c>
      <c r="D105" t="s">
        <v>21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21</v>
      </c>
      <c r="M105" t="s">
        <v>24</v>
      </c>
      <c r="N105">
        <v>4.5999999999999996</v>
      </c>
      <c r="O105">
        <v>215</v>
      </c>
      <c r="P105">
        <v>269</v>
      </c>
      <c r="Q105">
        <v>3.9</v>
      </c>
      <c r="R105">
        <v>51</v>
      </c>
      <c r="S105" t="s">
        <v>24</v>
      </c>
      <c r="T105" t="s">
        <v>22</v>
      </c>
    </row>
    <row r="106" spans="1:20" x14ac:dyDescent="0.3">
      <c r="A106">
        <v>47</v>
      </c>
      <c r="B106" t="s">
        <v>23</v>
      </c>
      <c r="C106" t="s">
        <v>24</v>
      </c>
      <c r="D106" t="s">
        <v>21</v>
      </c>
      <c r="E106" t="s">
        <v>24</v>
      </c>
      <c r="F106" t="s">
        <v>24</v>
      </c>
      <c r="G106" t="s">
        <v>21</v>
      </c>
      <c r="H106" t="s">
        <v>24</v>
      </c>
      <c r="I106" t="s">
        <v>24</v>
      </c>
      <c r="J106" t="s">
        <v>21</v>
      </c>
      <c r="K106" t="s">
        <v>21</v>
      </c>
      <c r="L106" t="s">
        <v>24</v>
      </c>
      <c r="M106" t="s">
        <v>24</v>
      </c>
      <c r="N106">
        <v>1.7</v>
      </c>
      <c r="O106">
        <v>86</v>
      </c>
      <c r="P106">
        <v>20</v>
      </c>
      <c r="Q106">
        <v>2.1</v>
      </c>
      <c r="R106">
        <v>46</v>
      </c>
      <c r="S106" t="s">
        <v>24</v>
      </c>
      <c r="T106" t="s">
        <v>25</v>
      </c>
    </row>
    <row r="107" spans="1:20" x14ac:dyDescent="0.3">
      <c r="A107">
        <v>25</v>
      </c>
      <c r="B107" t="s">
        <v>23</v>
      </c>
      <c r="C107" t="s">
        <v>24</v>
      </c>
      <c r="D107" t="s">
        <v>21</v>
      </c>
      <c r="E107" t="s">
        <v>21</v>
      </c>
      <c r="F107" t="s">
        <v>21</v>
      </c>
      <c r="G107" t="s">
        <v>21</v>
      </c>
      <c r="H107" t="s">
        <v>24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>
        <v>0.6</v>
      </c>
      <c r="P107">
        <v>34</v>
      </c>
      <c r="Q107">
        <v>6.4</v>
      </c>
      <c r="S107" t="s">
        <v>24</v>
      </c>
      <c r="T107" t="s">
        <v>22</v>
      </c>
    </row>
    <row r="108" spans="1:20" x14ac:dyDescent="0.3">
      <c r="A108">
        <v>35</v>
      </c>
      <c r="B108" t="s">
        <v>23</v>
      </c>
      <c r="C108" t="s">
        <v>21</v>
      </c>
      <c r="D108" t="s">
        <v>21</v>
      </c>
      <c r="E108" t="s">
        <v>24</v>
      </c>
      <c r="F108" t="s">
        <v>21</v>
      </c>
      <c r="G108" t="s">
        <v>21</v>
      </c>
      <c r="J108" t="s">
        <v>24</v>
      </c>
      <c r="K108" t="s">
        <v>24</v>
      </c>
      <c r="L108" t="s">
        <v>24</v>
      </c>
      <c r="M108" t="s">
        <v>21</v>
      </c>
      <c r="N108">
        <v>1.5</v>
      </c>
      <c r="O108">
        <v>138</v>
      </c>
      <c r="P108">
        <v>58</v>
      </c>
      <c r="Q108">
        <v>2.6</v>
      </c>
      <c r="S108" t="s">
        <v>24</v>
      </c>
      <c r="T108" t="s">
        <v>25</v>
      </c>
    </row>
    <row r="109" spans="1:20" x14ac:dyDescent="0.3">
      <c r="A109">
        <v>45</v>
      </c>
      <c r="B109" t="s">
        <v>23</v>
      </c>
      <c r="C109" t="s">
        <v>21</v>
      </c>
      <c r="D109" t="s">
        <v>21</v>
      </c>
      <c r="E109" t="s">
        <v>24</v>
      </c>
      <c r="F109" t="s">
        <v>24</v>
      </c>
      <c r="G109" t="s">
        <v>24</v>
      </c>
      <c r="H109" t="s">
        <v>24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>
        <v>2.2999999999999998</v>
      </c>
      <c r="P109">
        <v>648</v>
      </c>
      <c r="S109" t="s">
        <v>24</v>
      </c>
      <c r="T109" t="s">
        <v>22</v>
      </c>
    </row>
    <row r="110" spans="1:20" x14ac:dyDescent="0.3">
      <c r="A110">
        <v>54</v>
      </c>
      <c r="B110" t="s">
        <v>23</v>
      </c>
      <c r="C110" t="s">
        <v>21</v>
      </c>
      <c r="D110" t="s">
        <v>24</v>
      </c>
      <c r="E110" t="s">
        <v>21</v>
      </c>
      <c r="F110" t="s">
        <v>21</v>
      </c>
      <c r="G110" t="s">
        <v>21</v>
      </c>
      <c r="H110" t="s">
        <v>21</v>
      </c>
      <c r="I110" t="s">
        <v>24</v>
      </c>
      <c r="J110" t="s">
        <v>21</v>
      </c>
      <c r="K110" t="s">
        <v>21</v>
      </c>
      <c r="L110" t="s">
        <v>21</v>
      </c>
      <c r="M110" t="s">
        <v>21</v>
      </c>
      <c r="N110">
        <v>1</v>
      </c>
      <c r="O110">
        <v>155</v>
      </c>
      <c r="P110">
        <v>225</v>
      </c>
      <c r="Q110">
        <v>3.6</v>
      </c>
      <c r="R110">
        <v>67</v>
      </c>
      <c r="S110" t="s">
        <v>24</v>
      </c>
      <c r="T110" t="s">
        <v>22</v>
      </c>
    </row>
    <row r="111" spans="1:20" x14ac:dyDescent="0.3">
      <c r="A111">
        <v>33</v>
      </c>
      <c r="B111" t="s">
        <v>23</v>
      </c>
      <c r="C111" t="s">
        <v>21</v>
      </c>
      <c r="D111" t="s">
        <v>21</v>
      </c>
      <c r="E111" t="s">
        <v>24</v>
      </c>
      <c r="F111" t="s">
        <v>24</v>
      </c>
      <c r="G111" t="s">
        <v>21</v>
      </c>
      <c r="H111" t="s">
        <v>24</v>
      </c>
      <c r="I111" t="s">
        <v>21</v>
      </c>
      <c r="J111" t="s">
        <v>21</v>
      </c>
      <c r="K111" t="s">
        <v>21</v>
      </c>
      <c r="L111" t="s">
        <v>24</v>
      </c>
      <c r="M111" t="s">
        <v>21</v>
      </c>
      <c r="N111">
        <v>0.7</v>
      </c>
      <c r="O111">
        <v>63</v>
      </c>
      <c r="P111">
        <v>80</v>
      </c>
      <c r="Q111">
        <v>3</v>
      </c>
      <c r="R111">
        <v>31</v>
      </c>
      <c r="S111" t="s">
        <v>24</v>
      </c>
      <c r="T111" t="s">
        <v>25</v>
      </c>
    </row>
    <row r="112" spans="1:20" x14ac:dyDescent="0.3">
      <c r="A112">
        <v>7</v>
      </c>
      <c r="B112" t="s">
        <v>23</v>
      </c>
      <c r="C112" t="s">
        <v>24</v>
      </c>
      <c r="D112" t="s">
        <v>21</v>
      </c>
      <c r="E112" t="s">
        <v>21</v>
      </c>
      <c r="F112" t="s">
        <v>21</v>
      </c>
      <c r="G112" t="s">
        <v>21</v>
      </c>
      <c r="H112" t="s">
        <v>24</v>
      </c>
      <c r="I112" t="s">
        <v>24</v>
      </c>
      <c r="J112" t="s">
        <v>24</v>
      </c>
      <c r="K112" t="s">
        <v>21</v>
      </c>
      <c r="L112" t="s">
        <v>21</v>
      </c>
      <c r="M112" t="s">
        <v>21</v>
      </c>
      <c r="N112">
        <v>0.7</v>
      </c>
      <c r="O112">
        <v>256</v>
      </c>
      <c r="P112">
        <v>25</v>
      </c>
      <c r="Q112">
        <v>4.2</v>
      </c>
      <c r="S112" t="s">
        <v>24</v>
      </c>
      <c r="T112" t="s">
        <v>22</v>
      </c>
    </row>
    <row r="113" spans="1:20" x14ac:dyDescent="0.3">
      <c r="A113">
        <v>42</v>
      </c>
      <c r="B113" t="s">
        <v>23</v>
      </c>
      <c r="C113" t="s">
        <v>21</v>
      </c>
      <c r="D113" t="s">
        <v>24</v>
      </c>
      <c r="E113" t="s">
        <v>24</v>
      </c>
      <c r="F113" t="s">
        <v>24</v>
      </c>
      <c r="G113" t="s">
        <v>21</v>
      </c>
      <c r="H113" t="s">
        <v>24</v>
      </c>
      <c r="I113" t="s">
        <v>21</v>
      </c>
      <c r="J113" t="s">
        <v>21</v>
      </c>
      <c r="K113" t="s">
        <v>24</v>
      </c>
      <c r="L113" t="s">
        <v>21</v>
      </c>
      <c r="M113" t="s">
        <v>21</v>
      </c>
      <c r="N113">
        <v>0.5</v>
      </c>
      <c r="O113">
        <v>62</v>
      </c>
      <c r="P113">
        <v>68</v>
      </c>
      <c r="Q113">
        <v>3.8</v>
      </c>
      <c r="R113">
        <v>29</v>
      </c>
      <c r="S113" t="s">
        <v>24</v>
      </c>
      <c r="T113" t="s">
        <v>25</v>
      </c>
    </row>
    <row r="114" spans="1:20" x14ac:dyDescent="0.3">
      <c r="A114">
        <v>52</v>
      </c>
      <c r="B114" t="s">
        <v>23</v>
      </c>
      <c r="C114" t="s">
        <v>21</v>
      </c>
      <c r="D114" t="s">
        <v>21</v>
      </c>
      <c r="E114" t="s">
        <v>24</v>
      </c>
      <c r="F114" t="s">
        <v>21</v>
      </c>
      <c r="G114" t="s">
        <v>21</v>
      </c>
      <c r="H114" t="s">
        <v>24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>
        <v>1</v>
      </c>
      <c r="O114">
        <v>85</v>
      </c>
      <c r="P114">
        <v>30</v>
      </c>
      <c r="Q114">
        <v>4</v>
      </c>
      <c r="S114" t="s">
        <v>24</v>
      </c>
      <c r="T114" t="s">
        <v>22</v>
      </c>
    </row>
    <row r="115" spans="1:20" x14ac:dyDescent="0.3">
      <c r="A115">
        <v>45</v>
      </c>
      <c r="B115" t="s">
        <v>23</v>
      </c>
      <c r="C115" t="s">
        <v>21</v>
      </c>
      <c r="D115" t="s">
        <v>21</v>
      </c>
      <c r="E115" t="s">
        <v>24</v>
      </c>
      <c r="F115" t="s">
        <v>21</v>
      </c>
      <c r="G115" t="s">
        <v>21</v>
      </c>
      <c r="H115" t="s">
        <v>24</v>
      </c>
      <c r="I115" t="s">
        <v>24</v>
      </c>
      <c r="J115" t="s">
        <v>24</v>
      </c>
      <c r="K115" t="s">
        <v>21</v>
      </c>
      <c r="L115" t="s">
        <v>21</v>
      </c>
      <c r="M115" t="s">
        <v>21</v>
      </c>
      <c r="N115">
        <v>1.2</v>
      </c>
      <c r="O115">
        <v>81</v>
      </c>
      <c r="P115">
        <v>65</v>
      </c>
      <c r="Q115">
        <v>3</v>
      </c>
      <c r="S115" t="s">
        <v>21</v>
      </c>
      <c r="T115" t="s">
        <v>22</v>
      </c>
    </row>
    <row r="116" spans="1:20" x14ac:dyDescent="0.3">
      <c r="A116">
        <v>36</v>
      </c>
      <c r="B116" t="s">
        <v>23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24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>
        <v>1.1000000000000001</v>
      </c>
      <c r="O116">
        <v>141</v>
      </c>
      <c r="P116">
        <v>75</v>
      </c>
      <c r="Q116">
        <v>3.3</v>
      </c>
      <c r="S116" t="s">
        <v>24</v>
      </c>
      <c r="T116" t="s">
        <v>22</v>
      </c>
    </row>
    <row r="117" spans="1:20" x14ac:dyDescent="0.3">
      <c r="A117">
        <v>69</v>
      </c>
      <c r="B117" t="s">
        <v>20</v>
      </c>
      <c r="C117" t="s">
        <v>24</v>
      </c>
      <c r="D117" t="s">
        <v>21</v>
      </c>
      <c r="E117" t="s">
        <v>24</v>
      </c>
      <c r="F117" t="s">
        <v>21</v>
      </c>
      <c r="G117" t="s">
        <v>21</v>
      </c>
      <c r="H117" t="s">
        <v>24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>
        <v>3.2</v>
      </c>
      <c r="O117">
        <v>119</v>
      </c>
      <c r="P117">
        <v>136</v>
      </c>
      <c r="S117" t="s">
        <v>24</v>
      </c>
      <c r="T117" t="s">
        <v>22</v>
      </c>
    </row>
    <row r="118" spans="1:20" x14ac:dyDescent="0.3">
      <c r="A118">
        <v>24</v>
      </c>
      <c r="B118" t="s">
        <v>23</v>
      </c>
      <c r="C118" t="s">
        <v>21</v>
      </c>
      <c r="D118" t="s">
        <v>21</v>
      </c>
      <c r="E118" t="s">
        <v>24</v>
      </c>
      <c r="F118" t="s">
        <v>21</v>
      </c>
      <c r="G118" t="s">
        <v>21</v>
      </c>
      <c r="H118" t="s">
        <v>24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>
        <v>1</v>
      </c>
      <c r="P118">
        <v>34</v>
      </c>
      <c r="Q118">
        <v>4.0999999999999996</v>
      </c>
      <c r="S118" t="s">
        <v>24</v>
      </c>
      <c r="T118" t="s">
        <v>22</v>
      </c>
    </row>
    <row r="119" spans="1:20" x14ac:dyDescent="0.3">
      <c r="A119">
        <v>50</v>
      </c>
      <c r="B119" t="s">
        <v>23</v>
      </c>
      <c r="C119" t="s">
        <v>24</v>
      </c>
      <c r="D119" t="s">
        <v>21</v>
      </c>
      <c r="E119" t="s">
        <v>21</v>
      </c>
      <c r="F119" t="s">
        <v>21</v>
      </c>
      <c r="G119" t="s">
        <v>21</v>
      </c>
      <c r="H119" t="s">
        <v>24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>
        <v>1</v>
      </c>
      <c r="O119">
        <v>139</v>
      </c>
      <c r="P119">
        <v>81</v>
      </c>
      <c r="Q119">
        <v>3.9</v>
      </c>
      <c r="R119">
        <v>62</v>
      </c>
      <c r="S119" t="s">
        <v>24</v>
      </c>
      <c r="T119" t="s">
        <v>22</v>
      </c>
    </row>
    <row r="120" spans="1:20" x14ac:dyDescent="0.3">
      <c r="A120">
        <v>61</v>
      </c>
      <c r="B120" t="s">
        <v>23</v>
      </c>
      <c r="C120" t="s">
        <v>21</v>
      </c>
      <c r="D120" t="s">
        <v>21</v>
      </c>
      <c r="E120" t="s">
        <v>24</v>
      </c>
      <c r="F120" t="s">
        <v>24</v>
      </c>
      <c r="G120" t="s">
        <v>21</v>
      </c>
      <c r="J120" t="s">
        <v>21</v>
      </c>
      <c r="K120" t="s">
        <v>24</v>
      </c>
      <c r="L120" t="s">
        <v>21</v>
      </c>
      <c r="M120" t="s">
        <v>21</v>
      </c>
      <c r="S120" t="s">
        <v>24</v>
      </c>
      <c r="T120" t="s">
        <v>25</v>
      </c>
    </row>
    <row r="121" spans="1:20" x14ac:dyDescent="0.3">
      <c r="A121">
        <v>54</v>
      </c>
      <c r="B121" t="s">
        <v>23</v>
      </c>
      <c r="C121" t="s">
        <v>24</v>
      </c>
      <c r="D121" t="s">
        <v>21</v>
      </c>
      <c r="E121" t="s">
        <v>24</v>
      </c>
      <c r="F121" t="s">
        <v>21</v>
      </c>
      <c r="G121" t="s">
        <v>21</v>
      </c>
      <c r="H121" t="s">
        <v>21</v>
      </c>
      <c r="I121" t="s">
        <v>24</v>
      </c>
      <c r="J121" t="s">
        <v>21</v>
      </c>
      <c r="K121" t="s">
        <v>21</v>
      </c>
      <c r="L121" t="s">
        <v>21</v>
      </c>
      <c r="M121" t="s">
        <v>21</v>
      </c>
      <c r="N121">
        <v>3.2</v>
      </c>
      <c r="O121">
        <v>85</v>
      </c>
      <c r="P121">
        <v>28</v>
      </c>
      <c r="Q121">
        <v>3.8</v>
      </c>
      <c r="S121" t="s">
        <v>24</v>
      </c>
      <c r="T121" t="s">
        <v>22</v>
      </c>
    </row>
    <row r="122" spans="1:20" x14ac:dyDescent="0.3">
      <c r="A122">
        <v>56</v>
      </c>
      <c r="B122" t="s">
        <v>23</v>
      </c>
      <c r="C122" t="s">
        <v>21</v>
      </c>
      <c r="D122" t="s">
        <v>21</v>
      </c>
      <c r="E122" t="s">
        <v>24</v>
      </c>
      <c r="F122" t="s">
        <v>24</v>
      </c>
      <c r="G122" t="s">
        <v>24</v>
      </c>
      <c r="H122" t="s">
        <v>21</v>
      </c>
      <c r="I122" t="s">
        <v>24</v>
      </c>
      <c r="J122" t="s">
        <v>21</v>
      </c>
      <c r="K122" t="s">
        <v>24</v>
      </c>
      <c r="L122" t="s">
        <v>21</v>
      </c>
      <c r="M122" t="s">
        <v>21</v>
      </c>
      <c r="N122">
        <v>2.9</v>
      </c>
      <c r="O122">
        <v>90</v>
      </c>
      <c r="P122">
        <v>153</v>
      </c>
      <c r="Q122">
        <v>4</v>
      </c>
      <c r="S122" t="s">
        <v>24</v>
      </c>
      <c r="T122" t="s">
        <v>25</v>
      </c>
    </row>
    <row r="123" spans="1:20" x14ac:dyDescent="0.3">
      <c r="A123">
        <v>20</v>
      </c>
      <c r="B123" t="s">
        <v>23</v>
      </c>
      <c r="C123" t="s">
        <v>21</v>
      </c>
      <c r="D123" t="s">
        <v>21</v>
      </c>
      <c r="E123" t="s">
        <v>24</v>
      </c>
      <c r="F123" t="s">
        <v>24</v>
      </c>
      <c r="G123" t="s">
        <v>24</v>
      </c>
      <c r="H123" t="s">
        <v>24</v>
      </c>
      <c r="I123" t="s">
        <v>21</v>
      </c>
      <c r="J123" t="s">
        <v>21</v>
      </c>
      <c r="K123" t="s">
        <v>24</v>
      </c>
      <c r="L123" t="s">
        <v>24</v>
      </c>
      <c r="M123" t="s">
        <v>21</v>
      </c>
      <c r="N123">
        <v>1</v>
      </c>
      <c r="O123">
        <v>160</v>
      </c>
      <c r="P123">
        <v>118</v>
      </c>
      <c r="Q123">
        <v>2.9</v>
      </c>
      <c r="R123">
        <v>23</v>
      </c>
      <c r="S123" t="s">
        <v>24</v>
      </c>
      <c r="T123" t="s">
        <v>22</v>
      </c>
    </row>
    <row r="124" spans="1:20" x14ac:dyDescent="0.3">
      <c r="A124">
        <v>42</v>
      </c>
      <c r="B124" t="s">
        <v>23</v>
      </c>
      <c r="C124" t="s">
        <v>24</v>
      </c>
      <c r="D124" t="s">
        <v>21</v>
      </c>
      <c r="E124" t="s">
        <v>21</v>
      </c>
      <c r="F124" t="s">
        <v>21</v>
      </c>
      <c r="G124" t="s">
        <v>21</v>
      </c>
      <c r="H124" t="s">
        <v>24</v>
      </c>
      <c r="I124" t="s">
        <v>21</v>
      </c>
      <c r="J124" t="s">
        <v>24</v>
      </c>
      <c r="K124" t="s">
        <v>21</v>
      </c>
      <c r="L124" t="s">
        <v>21</v>
      </c>
      <c r="M124" t="s">
        <v>21</v>
      </c>
      <c r="N124">
        <v>1.5</v>
      </c>
      <c r="O124">
        <v>85</v>
      </c>
      <c r="P124">
        <v>40</v>
      </c>
      <c r="S124" t="s">
        <v>24</v>
      </c>
      <c r="T124" t="s">
        <v>22</v>
      </c>
    </row>
    <row r="125" spans="1:20" x14ac:dyDescent="0.3">
      <c r="A125">
        <v>37</v>
      </c>
      <c r="B125" t="s">
        <v>23</v>
      </c>
      <c r="C125" t="s">
        <v>21</v>
      </c>
      <c r="D125" t="s">
        <v>21</v>
      </c>
      <c r="E125" t="s">
        <v>24</v>
      </c>
      <c r="F125" t="s">
        <v>21</v>
      </c>
      <c r="G125" t="s">
        <v>21</v>
      </c>
      <c r="H125" t="s">
        <v>24</v>
      </c>
      <c r="I125" t="s">
        <v>21</v>
      </c>
      <c r="J125" t="s">
        <v>21</v>
      </c>
      <c r="K125" t="s">
        <v>24</v>
      </c>
      <c r="L125" t="s">
        <v>21</v>
      </c>
      <c r="M125" t="s">
        <v>21</v>
      </c>
      <c r="N125">
        <v>0.9</v>
      </c>
      <c r="P125">
        <v>231</v>
      </c>
      <c r="Q125">
        <v>4.3</v>
      </c>
      <c r="S125" t="s">
        <v>24</v>
      </c>
      <c r="T125" t="s">
        <v>22</v>
      </c>
    </row>
    <row r="126" spans="1:20" x14ac:dyDescent="0.3">
      <c r="A126">
        <v>50</v>
      </c>
      <c r="B126" t="s">
        <v>23</v>
      </c>
      <c r="C126" t="s">
        <v>24</v>
      </c>
      <c r="D126" t="s">
        <v>21</v>
      </c>
      <c r="E126" t="s">
        <v>21</v>
      </c>
      <c r="F126" t="s">
        <v>21</v>
      </c>
      <c r="G126" t="s">
        <v>21</v>
      </c>
      <c r="H126" t="s">
        <v>24</v>
      </c>
      <c r="I126" t="s">
        <v>24</v>
      </c>
      <c r="J126" t="s">
        <v>24</v>
      </c>
      <c r="K126" t="s">
        <v>24</v>
      </c>
      <c r="L126" t="s">
        <v>21</v>
      </c>
      <c r="M126" t="s">
        <v>21</v>
      </c>
      <c r="N126">
        <v>1</v>
      </c>
      <c r="O126">
        <v>85</v>
      </c>
      <c r="P126">
        <v>75</v>
      </c>
      <c r="Q126">
        <v>4</v>
      </c>
      <c r="R126">
        <v>72</v>
      </c>
      <c r="S126" t="s">
        <v>24</v>
      </c>
      <c r="T126" t="s">
        <v>22</v>
      </c>
    </row>
    <row r="127" spans="1:20" x14ac:dyDescent="0.3">
      <c r="A127">
        <v>34</v>
      </c>
      <c r="B127" t="s">
        <v>20</v>
      </c>
      <c r="C127" t="s">
        <v>24</v>
      </c>
      <c r="D127" t="s">
        <v>21</v>
      </c>
      <c r="E127" t="s">
        <v>24</v>
      </c>
      <c r="F127" t="s">
        <v>24</v>
      </c>
      <c r="G127" t="s">
        <v>24</v>
      </c>
      <c r="H127" t="s">
        <v>21</v>
      </c>
      <c r="I127" t="s">
        <v>24</v>
      </c>
      <c r="J127" t="s">
        <v>21</v>
      </c>
      <c r="K127" t="s">
        <v>24</v>
      </c>
      <c r="L127" t="s">
        <v>21</v>
      </c>
      <c r="M127" t="s">
        <v>21</v>
      </c>
      <c r="N127">
        <v>0.7</v>
      </c>
      <c r="O127">
        <v>70</v>
      </c>
      <c r="P127">
        <v>24</v>
      </c>
      <c r="Q127">
        <v>4.0999999999999996</v>
      </c>
      <c r="R127">
        <v>100</v>
      </c>
      <c r="S127" t="s">
        <v>24</v>
      </c>
      <c r="T127" t="s">
        <v>22</v>
      </c>
    </row>
    <row r="128" spans="1:20" x14ac:dyDescent="0.3">
      <c r="A128">
        <v>28</v>
      </c>
      <c r="B128" t="s">
        <v>23</v>
      </c>
      <c r="C128" t="s">
        <v>24</v>
      </c>
      <c r="D128" t="s">
        <v>21</v>
      </c>
      <c r="E128" t="s">
        <v>24</v>
      </c>
      <c r="F128" t="s">
        <v>24</v>
      </c>
      <c r="G128" t="s">
        <v>24</v>
      </c>
      <c r="J128" t="s">
        <v>21</v>
      </c>
      <c r="K128" t="s">
        <v>24</v>
      </c>
      <c r="L128" t="s">
        <v>24</v>
      </c>
      <c r="M128" t="s">
        <v>21</v>
      </c>
      <c r="N128">
        <v>1</v>
      </c>
      <c r="P128">
        <v>20</v>
      </c>
      <c r="Q128">
        <v>4</v>
      </c>
      <c r="S128" t="s">
        <v>24</v>
      </c>
      <c r="T128" t="s">
        <v>22</v>
      </c>
    </row>
    <row r="129" spans="1:20" x14ac:dyDescent="0.3">
      <c r="A129">
        <v>50</v>
      </c>
      <c r="B129" t="s">
        <v>23</v>
      </c>
      <c r="C129" t="s">
        <v>24</v>
      </c>
      <c r="D129" t="s">
        <v>21</v>
      </c>
      <c r="E129" t="s">
        <v>24</v>
      </c>
      <c r="F129" t="s">
        <v>21</v>
      </c>
      <c r="G129" t="s">
        <v>21</v>
      </c>
      <c r="H129" t="s">
        <v>24</v>
      </c>
      <c r="I129" t="s">
        <v>24</v>
      </c>
      <c r="J129" t="s">
        <v>24</v>
      </c>
      <c r="K129" t="s">
        <v>21</v>
      </c>
      <c r="L129" t="s">
        <v>24</v>
      </c>
      <c r="M129" t="s">
        <v>24</v>
      </c>
      <c r="N129">
        <v>2.8</v>
      </c>
      <c r="O129">
        <v>155</v>
      </c>
      <c r="P129">
        <v>75</v>
      </c>
      <c r="Q129">
        <v>2.4</v>
      </c>
      <c r="R129">
        <v>32</v>
      </c>
      <c r="S129" t="s">
        <v>24</v>
      </c>
      <c r="T129" t="s">
        <v>25</v>
      </c>
    </row>
    <row r="130" spans="1:20" x14ac:dyDescent="0.3">
      <c r="A130">
        <v>54</v>
      </c>
      <c r="B130" t="s">
        <v>23</v>
      </c>
      <c r="C130" t="s">
        <v>21</v>
      </c>
      <c r="D130" t="s">
        <v>21</v>
      </c>
      <c r="E130" t="s">
        <v>24</v>
      </c>
      <c r="F130" t="s">
        <v>24</v>
      </c>
      <c r="G130" t="s">
        <v>21</v>
      </c>
      <c r="H130" t="s">
        <v>24</v>
      </c>
      <c r="I130" t="s">
        <v>21</v>
      </c>
      <c r="J130" t="s">
        <v>21</v>
      </c>
      <c r="K130" t="s">
        <v>21</v>
      </c>
      <c r="L130" t="s">
        <v>24</v>
      </c>
      <c r="M130" t="s">
        <v>21</v>
      </c>
      <c r="N130">
        <v>1.2</v>
      </c>
      <c r="O130">
        <v>85</v>
      </c>
      <c r="P130">
        <v>92</v>
      </c>
      <c r="Q130">
        <v>3.1</v>
      </c>
      <c r="R130">
        <v>66</v>
      </c>
      <c r="S130" t="s">
        <v>24</v>
      </c>
      <c r="T130" t="s">
        <v>22</v>
      </c>
    </row>
    <row r="131" spans="1:20" x14ac:dyDescent="0.3">
      <c r="A131">
        <v>57</v>
      </c>
      <c r="B131" t="s">
        <v>23</v>
      </c>
      <c r="C131" t="s">
        <v>21</v>
      </c>
      <c r="D131" t="s">
        <v>21</v>
      </c>
      <c r="E131" t="s">
        <v>24</v>
      </c>
      <c r="F131" t="s">
        <v>24</v>
      </c>
      <c r="G131" t="s">
        <v>21</v>
      </c>
      <c r="H131" t="s">
        <v>24</v>
      </c>
      <c r="I131" t="s">
        <v>21</v>
      </c>
      <c r="J131" t="s">
        <v>21</v>
      </c>
      <c r="K131" t="s">
        <v>24</v>
      </c>
      <c r="L131" t="s">
        <v>24</v>
      </c>
      <c r="M131" t="s">
        <v>21</v>
      </c>
      <c r="N131">
        <v>4.5999999999999996</v>
      </c>
      <c r="O131">
        <v>82</v>
      </c>
      <c r="P131">
        <v>55</v>
      </c>
      <c r="Q131">
        <v>3.3</v>
      </c>
      <c r="R131">
        <v>30</v>
      </c>
      <c r="S131" t="s">
        <v>24</v>
      </c>
      <c r="T131" t="s">
        <v>25</v>
      </c>
    </row>
    <row r="132" spans="1:20" x14ac:dyDescent="0.3">
      <c r="A132">
        <v>54</v>
      </c>
      <c r="B132" t="s">
        <v>23</v>
      </c>
      <c r="C132" t="s">
        <v>24</v>
      </c>
      <c r="D132" t="s">
        <v>21</v>
      </c>
      <c r="E132" t="s">
        <v>21</v>
      </c>
      <c r="F132" t="s">
        <v>21</v>
      </c>
      <c r="G132" t="s">
        <v>21</v>
      </c>
      <c r="H132" t="s">
        <v>24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>
        <v>1</v>
      </c>
      <c r="O132">
        <v>85</v>
      </c>
      <c r="P132">
        <v>30</v>
      </c>
      <c r="Q132">
        <v>4.5</v>
      </c>
      <c r="R132">
        <v>0</v>
      </c>
      <c r="S132" t="s">
        <v>24</v>
      </c>
      <c r="T132" t="s">
        <v>22</v>
      </c>
    </row>
    <row r="133" spans="1:20" x14ac:dyDescent="0.3">
      <c r="A133">
        <v>31</v>
      </c>
      <c r="B133" t="s">
        <v>23</v>
      </c>
      <c r="C133" t="s">
        <v>21</v>
      </c>
      <c r="D133" t="s">
        <v>21</v>
      </c>
      <c r="E133" t="s">
        <v>24</v>
      </c>
      <c r="F133" t="s">
        <v>24</v>
      </c>
      <c r="G133" t="s">
        <v>24</v>
      </c>
      <c r="H133" t="s">
        <v>24</v>
      </c>
      <c r="I133" t="s">
        <v>21</v>
      </c>
      <c r="J133" t="s">
        <v>24</v>
      </c>
      <c r="K133" t="s">
        <v>21</v>
      </c>
      <c r="L133" t="s">
        <v>21</v>
      </c>
      <c r="M133" t="s">
        <v>21</v>
      </c>
      <c r="N133">
        <v>8</v>
      </c>
      <c r="P133">
        <v>101</v>
      </c>
      <c r="Q133">
        <v>2.2000000000000002</v>
      </c>
      <c r="S133" t="s">
        <v>24</v>
      </c>
      <c r="T133" t="s">
        <v>25</v>
      </c>
    </row>
    <row r="134" spans="1:20" x14ac:dyDescent="0.3">
      <c r="A134">
        <v>48</v>
      </c>
      <c r="B134" t="s">
        <v>23</v>
      </c>
      <c r="C134" t="s">
        <v>24</v>
      </c>
      <c r="D134" t="s">
        <v>21</v>
      </c>
      <c r="E134" t="s">
        <v>24</v>
      </c>
      <c r="F134" t="s">
        <v>24</v>
      </c>
      <c r="G134" t="s">
        <v>24</v>
      </c>
      <c r="H134" t="s">
        <v>24</v>
      </c>
      <c r="I134" t="s">
        <v>24</v>
      </c>
      <c r="J134" t="s">
        <v>21</v>
      </c>
      <c r="K134" t="s">
        <v>24</v>
      </c>
      <c r="L134" t="s">
        <v>21</v>
      </c>
      <c r="M134" t="s">
        <v>21</v>
      </c>
      <c r="N134">
        <v>2</v>
      </c>
      <c r="O134">
        <v>158</v>
      </c>
      <c r="P134">
        <v>278</v>
      </c>
      <c r="Q134">
        <v>3.8</v>
      </c>
      <c r="S134" t="s">
        <v>24</v>
      </c>
      <c r="T134" t="s">
        <v>22</v>
      </c>
    </row>
    <row r="135" spans="1:20" x14ac:dyDescent="0.3">
      <c r="A135">
        <v>72</v>
      </c>
      <c r="B135" t="s">
        <v>23</v>
      </c>
      <c r="C135" t="s">
        <v>24</v>
      </c>
      <c r="D135" t="s">
        <v>24</v>
      </c>
      <c r="E135" t="s">
        <v>24</v>
      </c>
      <c r="F135" t="s">
        <v>21</v>
      </c>
      <c r="G135" t="s">
        <v>21</v>
      </c>
      <c r="H135" t="s">
        <v>24</v>
      </c>
      <c r="I135" t="s">
        <v>24</v>
      </c>
      <c r="J135" t="s">
        <v>21</v>
      </c>
      <c r="K135" t="s">
        <v>21</v>
      </c>
      <c r="L135" t="s">
        <v>21</v>
      </c>
      <c r="M135" t="s">
        <v>21</v>
      </c>
      <c r="N135">
        <v>1</v>
      </c>
      <c r="O135">
        <v>115</v>
      </c>
      <c r="P135">
        <v>52</v>
      </c>
      <c r="Q135">
        <v>3.4</v>
      </c>
      <c r="R135">
        <v>50</v>
      </c>
      <c r="S135" t="s">
        <v>24</v>
      </c>
      <c r="T135" t="s">
        <v>22</v>
      </c>
    </row>
    <row r="136" spans="1:20" x14ac:dyDescent="0.3">
      <c r="A136">
        <v>38</v>
      </c>
      <c r="B136" t="s">
        <v>23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24</v>
      </c>
      <c r="I136" t="s">
        <v>24</v>
      </c>
      <c r="J136" t="s">
        <v>21</v>
      </c>
      <c r="K136" t="s">
        <v>21</v>
      </c>
      <c r="L136" t="s">
        <v>21</v>
      </c>
      <c r="M136" t="s">
        <v>21</v>
      </c>
      <c r="N136">
        <v>0.4</v>
      </c>
      <c r="O136">
        <v>243</v>
      </c>
      <c r="P136">
        <v>49</v>
      </c>
      <c r="Q136">
        <v>3.8</v>
      </c>
      <c r="R136">
        <v>90</v>
      </c>
      <c r="S136" t="s">
        <v>24</v>
      </c>
      <c r="T136" t="s">
        <v>25</v>
      </c>
    </row>
    <row r="137" spans="1:20" x14ac:dyDescent="0.3">
      <c r="A137">
        <v>25</v>
      </c>
      <c r="B137" t="s">
        <v>23</v>
      </c>
      <c r="C137" t="s">
        <v>24</v>
      </c>
      <c r="D137" t="s">
        <v>21</v>
      </c>
      <c r="E137" t="s">
        <v>24</v>
      </c>
      <c r="F137" t="s">
        <v>21</v>
      </c>
      <c r="G137" t="s">
        <v>21</v>
      </c>
      <c r="H137" t="s">
        <v>21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>
        <v>1.3</v>
      </c>
      <c r="O137">
        <v>181</v>
      </c>
      <c r="P137">
        <v>181</v>
      </c>
      <c r="Q137">
        <v>4.5</v>
      </c>
      <c r="R137">
        <v>57</v>
      </c>
      <c r="S137" t="s">
        <v>24</v>
      </c>
      <c r="T137" t="s">
        <v>22</v>
      </c>
    </row>
    <row r="138" spans="1:20" x14ac:dyDescent="0.3">
      <c r="A138">
        <v>51</v>
      </c>
      <c r="B138" t="s">
        <v>23</v>
      </c>
      <c r="C138" t="s">
        <v>24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24</v>
      </c>
      <c r="J138" t="s">
        <v>21</v>
      </c>
      <c r="K138" t="s">
        <v>24</v>
      </c>
      <c r="L138" t="s">
        <v>21</v>
      </c>
      <c r="M138" t="s">
        <v>21</v>
      </c>
      <c r="N138">
        <v>0.8</v>
      </c>
      <c r="P138">
        <v>33</v>
      </c>
      <c r="Q138">
        <v>4.5</v>
      </c>
      <c r="S138" t="s">
        <v>24</v>
      </c>
      <c r="T138" t="s">
        <v>22</v>
      </c>
    </row>
    <row r="139" spans="1:20" x14ac:dyDescent="0.3">
      <c r="A139">
        <v>38</v>
      </c>
      <c r="B139" t="s">
        <v>23</v>
      </c>
      <c r="C139" t="s">
        <v>24</v>
      </c>
      <c r="D139" t="s">
        <v>21</v>
      </c>
      <c r="E139" t="s">
        <v>21</v>
      </c>
      <c r="F139" t="s">
        <v>21</v>
      </c>
      <c r="G139" t="s">
        <v>21</v>
      </c>
      <c r="H139" t="s">
        <v>24</v>
      </c>
      <c r="I139" t="s">
        <v>24</v>
      </c>
      <c r="J139" t="s">
        <v>21</v>
      </c>
      <c r="K139" t="s">
        <v>24</v>
      </c>
      <c r="L139" t="s">
        <v>21</v>
      </c>
      <c r="M139" t="s">
        <v>24</v>
      </c>
      <c r="N139">
        <v>1.6</v>
      </c>
      <c r="O139">
        <v>130</v>
      </c>
      <c r="P139">
        <v>140</v>
      </c>
      <c r="Q139">
        <v>3.5</v>
      </c>
      <c r="R139">
        <v>56</v>
      </c>
      <c r="S139" t="s">
        <v>24</v>
      </c>
      <c r="T139" t="s">
        <v>22</v>
      </c>
    </row>
    <row r="140" spans="1:20" x14ac:dyDescent="0.3">
      <c r="A140">
        <v>47</v>
      </c>
      <c r="B140" t="s">
        <v>23</v>
      </c>
      <c r="C140" t="s">
        <v>24</v>
      </c>
      <c r="D140" t="s">
        <v>21</v>
      </c>
      <c r="E140" t="s">
        <v>24</v>
      </c>
      <c r="F140" t="s">
        <v>24</v>
      </c>
      <c r="G140" t="s">
        <v>21</v>
      </c>
      <c r="H140" t="s">
        <v>24</v>
      </c>
      <c r="I140" t="s">
        <v>24</v>
      </c>
      <c r="J140" t="s">
        <v>21</v>
      </c>
      <c r="K140" t="s">
        <v>24</v>
      </c>
      <c r="L140" t="s">
        <v>24</v>
      </c>
      <c r="M140" t="s">
        <v>24</v>
      </c>
      <c r="N140">
        <v>1</v>
      </c>
      <c r="O140">
        <v>166</v>
      </c>
      <c r="P140">
        <v>30</v>
      </c>
      <c r="Q140">
        <v>2.6</v>
      </c>
      <c r="R140">
        <v>31</v>
      </c>
      <c r="S140" t="s">
        <v>24</v>
      </c>
      <c r="T140" t="s">
        <v>25</v>
      </c>
    </row>
    <row r="141" spans="1:20" x14ac:dyDescent="0.3">
      <c r="A141">
        <v>45</v>
      </c>
      <c r="B141" t="s">
        <v>23</v>
      </c>
      <c r="C141" t="s">
        <v>24</v>
      </c>
      <c r="D141" t="s">
        <v>24</v>
      </c>
      <c r="E141" t="s">
        <v>21</v>
      </c>
      <c r="F141" t="s">
        <v>21</v>
      </c>
      <c r="G141" t="s">
        <v>21</v>
      </c>
      <c r="H141" t="s">
        <v>24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>
        <v>1.3</v>
      </c>
      <c r="O141">
        <v>85</v>
      </c>
      <c r="P141">
        <v>44</v>
      </c>
      <c r="Q141">
        <v>4.2</v>
      </c>
      <c r="R141">
        <v>85</v>
      </c>
      <c r="S141" t="s">
        <v>24</v>
      </c>
      <c r="T141" t="s">
        <v>22</v>
      </c>
    </row>
    <row r="142" spans="1:20" x14ac:dyDescent="0.3">
      <c r="A142">
        <v>36</v>
      </c>
      <c r="B142" t="s">
        <v>23</v>
      </c>
      <c r="C142" t="s">
        <v>21</v>
      </c>
      <c r="D142" t="s">
        <v>21</v>
      </c>
      <c r="E142" t="s">
        <v>24</v>
      </c>
      <c r="F142" t="s">
        <v>24</v>
      </c>
      <c r="G142" t="s">
        <v>24</v>
      </c>
      <c r="H142" t="s">
        <v>21</v>
      </c>
      <c r="I142" t="s">
        <v>24</v>
      </c>
      <c r="J142" t="s">
        <v>21</v>
      </c>
      <c r="K142" t="s">
        <v>24</v>
      </c>
      <c r="L142" t="s">
        <v>21</v>
      </c>
      <c r="M142" t="s">
        <v>24</v>
      </c>
      <c r="N142">
        <v>1.7</v>
      </c>
      <c r="O142">
        <v>295</v>
      </c>
      <c r="P142">
        <v>60</v>
      </c>
      <c r="Q142">
        <v>2.7</v>
      </c>
      <c r="S142" t="s">
        <v>24</v>
      </c>
      <c r="T142" t="s">
        <v>22</v>
      </c>
    </row>
    <row r="143" spans="1:20" x14ac:dyDescent="0.3">
      <c r="A143">
        <v>54</v>
      </c>
      <c r="B143" t="s">
        <v>23</v>
      </c>
      <c r="C143" t="s">
        <v>21</v>
      </c>
      <c r="D143" t="s">
        <v>21</v>
      </c>
      <c r="E143" t="s">
        <v>24</v>
      </c>
      <c r="F143" t="s">
        <v>24</v>
      </c>
      <c r="G143" t="s">
        <v>21</v>
      </c>
      <c r="J143" t="s">
        <v>24</v>
      </c>
      <c r="K143" t="s">
        <v>21</v>
      </c>
      <c r="L143" t="s">
        <v>24</v>
      </c>
      <c r="M143" t="s">
        <v>21</v>
      </c>
      <c r="N143">
        <v>3.9</v>
      </c>
      <c r="O143">
        <v>120</v>
      </c>
      <c r="P143">
        <v>28</v>
      </c>
      <c r="Q143">
        <v>3.5</v>
      </c>
      <c r="R143">
        <v>43</v>
      </c>
      <c r="S143" t="s">
        <v>24</v>
      </c>
      <c r="T143" t="s">
        <v>25</v>
      </c>
    </row>
    <row r="144" spans="1:20" x14ac:dyDescent="0.3">
      <c r="A144">
        <v>51</v>
      </c>
      <c r="B144" t="s">
        <v>23</v>
      </c>
      <c r="C144" t="s">
        <v>24</v>
      </c>
      <c r="D144" t="s">
        <v>21</v>
      </c>
      <c r="E144" t="s">
        <v>24</v>
      </c>
      <c r="F144" t="s">
        <v>21</v>
      </c>
      <c r="G144" t="s">
        <v>21</v>
      </c>
      <c r="H144" t="s">
        <v>24</v>
      </c>
      <c r="I144" t="s">
        <v>24</v>
      </c>
      <c r="J144" t="s">
        <v>24</v>
      </c>
      <c r="K144" t="s">
        <v>24</v>
      </c>
      <c r="L144" t="s">
        <v>21</v>
      </c>
      <c r="M144" t="s">
        <v>24</v>
      </c>
      <c r="N144">
        <v>1</v>
      </c>
      <c r="P144">
        <v>20</v>
      </c>
      <c r="Q144">
        <v>3</v>
      </c>
      <c r="R144">
        <v>63</v>
      </c>
      <c r="S144" t="s">
        <v>24</v>
      </c>
      <c r="T144" t="s">
        <v>22</v>
      </c>
    </row>
    <row r="145" spans="1:20" x14ac:dyDescent="0.3">
      <c r="A145">
        <v>49</v>
      </c>
      <c r="B145" t="s">
        <v>23</v>
      </c>
      <c r="C145" t="s">
        <v>21</v>
      </c>
      <c r="D145" t="s">
        <v>21</v>
      </c>
      <c r="E145" t="s">
        <v>24</v>
      </c>
      <c r="F145" t="s">
        <v>24</v>
      </c>
      <c r="G145" t="s">
        <v>21</v>
      </c>
      <c r="H145" t="s">
        <v>24</v>
      </c>
      <c r="I145" t="s">
        <v>21</v>
      </c>
      <c r="J145" t="s">
        <v>24</v>
      </c>
      <c r="K145" t="s">
        <v>24</v>
      </c>
      <c r="L145" t="s">
        <v>21</v>
      </c>
      <c r="M145" t="s">
        <v>21</v>
      </c>
      <c r="N145">
        <v>1.4</v>
      </c>
      <c r="O145">
        <v>85</v>
      </c>
      <c r="P145">
        <v>70</v>
      </c>
      <c r="Q145">
        <v>3.5</v>
      </c>
      <c r="R145">
        <v>35</v>
      </c>
      <c r="S145" t="s">
        <v>24</v>
      </c>
      <c r="T145" t="s">
        <v>25</v>
      </c>
    </row>
    <row r="146" spans="1:20" x14ac:dyDescent="0.3">
      <c r="A146">
        <v>45</v>
      </c>
      <c r="B146" t="s">
        <v>23</v>
      </c>
      <c r="C146" t="s">
        <v>24</v>
      </c>
      <c r="D146" t="s">
        <v>21</v>
      </c>
      <c r="E146" t="s">
        <v>24</v>
      </c>
      <c r="F146" t="s">
        <v>24</v>
      </c>
      <c r="G146" t="s">
        <v>24</v>
      </c>
      <c r="H146" t="s">
        <v>24</v>
      </c>
      <c r="I146" t="s">
        <v>21</v>
      </c>
      <c r="J146" t="s">
        <v>21</v>
      </c>
      <c r="K146" t="s">
        <v>24</v>
      </c>
      <c r="L146" t="s">
        <v>24</v>
      </c>
      <c r="M146" t="s">
        <v>21</v>
      </c>
      <c r="N146">
        <v>1.9</v>
      </c>
      <c r="P146">
        <v>114</v>
      </c>
      <c r="Q146">
        <v>2.4</v>
      </c>
      <c r="S146" t="s">
        <v>24</v>
      </c>
      <c r="T146" t="s">
        <v>25</v>
      </c>
    </row>
    <row r="147" spans="1:20" x14ac:dyDescent="0.3">
      <c r="A147">
        <v>31</v>
      </c>
      <c r="B147" t="s">
        <v>23</v>
      </c>
      <c r="C147" t="s">
        <v>21</v>
      </c>
      <c r="D147" t="s">
        <v>21</v>
      </c>
      <c r="E147" t="s">
        <v>24</v>
      </c>
      <c r="F147" t="s">
        <v>21</v>
      </c>
      <c r="G147" t="s">
        <v>21</v>
      </c>
      <c r="H147" t="s">
        <v>24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>
        <v>1.2</v>
      </c>
      <c r="O147">
        <v>75</v>
      </c>
      <c r="P147">
        <v>173</v>
      </c>
      <c r="Q147">
        <v>4.2</v>
      </c>
      <c r="R147">
        <v>54</v>
      </c>
      <c r="S147" t="s">
        <v>24</v>
      </c>
      <c r="T147" t="s">
        <v>22</v>
      </c>
    </row>
    <row r="148" spans="1:20" x14ac:dyDescent="0.3">
      <c r="A148">
        <v>41</v>
      </c>
      <c r="B148" t="s">
        <v>23</v>
      </c>
      <c r="C148" t="s">
        <v>24</v>
      </c>
      <c r="D148" t="s">
        <v>21</v>
      </c>
      <c r="E148" t="s">
        <v>24</v>
      </c>
      <c r="F148" t="s">
        <v>21</v>
      </c>
      <c r="G148" t="s">
        <v>21</v>
      </c>
      <c r="H148" t="s">
        <v>24</v>
      </c>
      <c r="I148" t="s">
        <v>24</v>
      </c>
      <c r="J148" t="s">
        <v>24</v>
      </c>
      <c r="K148" t="s">
        <v>24</v>
      </c>
      <c r="L148" t="s">
        <v>21</v>
      </c>
      <c r="M148" t="s">
        <v>24</v>
      </c>
      <c r="N148">
        <v>4.2</v>
      </c>
      <c r="O148">
        <v>65</v>
      </c>
      <c r="P148">
        <v>120</v>
      </c>
      <c r="Q148">
        <v>3.4</v>
      </c>
      <c r="S148" t="s">
        <v>24</v>
      </c>
      <c r="T148" t="s">
        <v>25</v>
      </c>
    </row>
    <row r="149" spans="1:20" x14ac:dyDescent="0.3">
      <c r="A149">
        <v>70</v>
      </c>
      <c r="B149" t="s">
        <v>23</v>
      </c>
      <c r="C149" t="s">
        <v>21</v>
      </c>
      <c r="D149" t="s">
        <v>21</v>
      </c>
      <c r="E149" t="s">
        <v>24</v>
      </c>
      <c r="F149" t="s">
        <v>24</v>
      </c>
      <c r="G149" t="s">
        <v>24</v>
      </c>
      <c r="N149">
        <v>1.7</v>
      </c>
      <c r="O149">
        <v>109</v>
      </c>
      <c r="P149">
        <v>528</v>
      </c>
      <c r="Q149">
        <v>2.8</v>
      </c>
      <c r="R149">
        <v>35</v>
      </c>
      <c r="S149" t="s">
        <v>24</v>
      </c>
      <c r="T149" t="s">
        <v>25</v>
      </c>
    </row>
    <row r="150" spans="1:20" x14ac:dyDescent="0.3">
      <c r="A150">
        <v>20</v>
      </c>
      <c r="B150" t="s">
        <v>23</v>
      </c>
      <c r="C150" t="s">
        <v>21</v>
      </c>
      <c r="D150" t="s">
        <v>21</v>
      </c>
      <c r="E150" t="s">
        <v>21</v>
      </c>
      <c r="F150" t="s">
        <v>21</v>
      </c>
      <c r="G150" t="s">
        <v>21</v>
      </c>
      <c r="H150" t="s">
        <v>24</v>
      </c>
      <c r="J150" t="s">
        <v>21</v>
      </c>
      <c r="K150" t="s">
        <v>21</v>
      </c>
      <c r="L150" t="s">
        <v>21</v>
      </c>
      <c r="M150" t="s">
        <v>21</v>
      </c>
      <c r="N150">
        <v>0.9</v>
      </c>
      <c r="O150">
        <v>89</v>
      </c>
      <c r="P150">
        <v>152</v>
      </c>
      <c r="Q150">
        <v>4</v>
      </c>
      <c r="S150" t="s">
        <v>24</v>
      </c>
      <c r="T150" t="s">
        <v>22</v>
      </c>
    </row>
    <row r="151" spans="1:20" x14ac:dyDescent="0.3">
      <c r="A151">
        <v>36</v>
      </c>
      <c r="B151" t="s">
        <v>23</v>
      </c>
      <c r="C151" t="s">
        <v>24</v>
      </c>
      <c r="D151" t="s">
        <v>21</v>
      </c>
      <c r="E151" t="s">
        <v>21</v>
      </c>
      <c r="F151" t="s">
        <v>21</v>
      </c>
      <c r="G151" t="s">
        <v>21</v>
      </c>
      <c r="H151" t="s">
        <v>24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>
        <v>0.6</v>
      </c>
      <c r="O151">
        <v>120</v>
      </c>
      <c r="P151">
        <v>30</v>
      </c>
      <c r="Q151">
        <v>4</v>
      </c>
      <c r="S151" t="s">
        <v>24</v>
      </c>
      <c r="T151" t="s">
        <v>22</v>
      </c>
    </row>
    <row r="152" spans="1:20" x14ac:dyDescent="0.3">
      <c r="A152">
        <v>46</v>
      </c>
      <c r="B152" t="s">
        <v>23</v>
      </c>
      <c r="C152" t="s">
        <v>24</v>
      </c>
      <c r="D152" t="s">
        <v>21</v>
      </c>
      <c r="E152" t="s">
        <v>24</v>
      </c>
      <c r="F152" t="s">
        <v>24</v>
      </c>
      <c r="G152" t="s">
        <v>24</v>
      </c>
      <c r="H152" t="s">
        <v>24</v>
      </c>
      <c r="I152" t="s">
        <v>21</v>
      </c>
      <c r="J152" t="s">
        <v>21</v>
      </c>
      <c r="K152" t="s">
        <v>24</v>
      </c>
      <c r="L152" t="s">
        <v>24</v>
      </c>
      <c r="M152" t="s">
        <v>24</v>
      </c>
      <c r="N152">
        <v>7.6</v>
      </c>
      <c r="P152">
        <v>242</v>
      </c>
      <c r="Q152">
        <v>3.3</v>
      </c>
      <c r="R152">
        <v>50</v>
      </c>
      <c r="S152" t="s">
        <v>24</v>
      </c>
      <c r="T152" t="s">
        <v>25</v>
      </c>
    </row>
    <row r="153" spans="1:20" x14ac:dyDescent="0.3">
      <c r="A153">
        <v>44</v>
      </c>
      <c r="B153" t="s">
        <v>23</v>
      </c>
      <c r="C153" t="s">
        <v>24</v>
      </c>
      <c r="D153" t="s">
        <v>21</v>
      </c>
      <c r="E153" t="s">
        <v>24</v>
      </c>
      <c r="F153" t="s">
        <v>21</v>
      </c>
      <c r="G153" t="s">
        <v>21</v>
      </c>
      <c r="H153" t="s">
        <v>24</v>
      </c>
      <c r="I153" t="s">
        <v>24</v>
      </c>
      <c r="J153" t="s">
        <v>21</v>
      </c>
      <c r="K153" t="s">
        <v>21</v>
      </c>
      <c r="L153" t="s">
        <v>21</v>
      </c>
      <c r="M153" t="s">
        <v>21</v>
      </c>
      <c r="N153">
        <v>0.9</v>
      </c>
      <c r="O153">
        <v>126</v>
      </c>
      <c r="P153">
        <v>142</v>
      </c>
      <c r="Q153">
        <v>4.3</v>
      </c>
      <c r="S153" t="s">
        <v>24</v>
      </c>
      <c r="T153" t="s">
        <v>22</v>
      </c>
    </row>
    <row r="154" spans="1:20" x14ac:dyDescent="0.3">
      <c r="A154">
        <v>61</v>
      </c>
      <c r="B154" t="s">
        <v>23</v>
      </c>
      <c r="C154" t="s">
        <v>21</v>
      </c>
      <c r="D154" t="s">
        <v>21</v>
      </c>
      <c r="E154" t="s">
        <v>24</v>
      </c>
      <c r="F154" t="s">
        <v>24</v>
      </c>
      <c r="G154" t="s">
        <v>21</v>
      </c>
      <c r="H154" t="s">
        <v>21</v>
      </c>
      <c r="I154" t="s">
        <v>24</v>
      </c>
      <c r="J154" t="s">
        <v>21</v>
      </c>
      <c r="K154" t="s">
        <v>24</v>
      </c>
      <c r="L154" t="s">
        <v>21</v>
      </c>
      <c r="M154" t="s">
        <v>21</v>
      </c>
      <c r="N154">
        <v>0.8</v>
      </c>
      <c r="O154">
        <v>75</v>
      </c>
      <c r="P154">
        <v>20</v>
      </c>
      <c r="Q154">
        <v>4.0999999999999996</v>
      </c>
      <c r="S154" t="s">
        <v>24</v>
      </c>
      <c r="T154" t="s">
        <v>22</v>
      </c>
    </row>
    <row r="155" spans="1:20" x14ac:dyDescent="0.3">
      <c r="A155">
        <v>53</v>
      </c>
      <c r="B155" t="s">
        <v>20</v>
      </c>
      <c r="C155" t="s">
        <v>21</v>
      </c>
      <c r="D155" t="s">
        <v>21</v>
      </c>
      <c r="E155" t="s">
        <v>24</v>
      </c>
      <c r="F155" t="s">
        <v>21</v>
      </c>
      <c r="G155" t="s">
        <v>21</v>
      </c>
      <c r="H155" t="s">
        <v>24</v>
      </c>
      <c r="I155" t="s">
        <v>21</v>
      </c>
      <c r="J155" t="s">
        <v>24</v>
      </c>
      <c r="K155" t="s">
        <v>24</v>
      </c>
      <c r="L155" t="s">
        <v>21</v>
      </c>
      <c r="M155" t="s">
        <v>24</v>
      </c>
      <c r="N155">
        <v>1.5</v>
      </c>
      <c r="O155">
        <v>81</v>
      </c>
      <c r="P155">
        <v>19</v>
      </c>
      <c r="Q155">
        <v>4.0999999999999996</v>
      </c>
      <c r="R155">
        <v>48</v>
      </c>
      <c r="S155" t="s">
        <v>24</v>
      </c>
      <c r="T155" t="s">
        <v>22</v>
      </c>
    </row>
    <row r="156" spans="1:20" x14ac:dyDescent="0.3">
      <c r="A156">
        <v>43</v>
      </c>
      <c r="B156" t="s">
        <v>23</v>
      </c>
      <c r="C156" t="s">
        <v>24</v>
      </c>
      <c r="D156" t="s">
        <v>21</v>
      </c>
      <c r="E156" t="s">
        <v>24</v>
      </c>
      <c r="F156" t="s">
        <v>21</v>
      </c>
      <c r="G156" t="s">
        <v>21</v>
      </c>
      <c r="H156" t="s">
        <v>24</v>
      </c>
      <c r="I156" t="s">
        <v>21</v>
      </c>
      <c r="J156" t="s">
        <v>24</v>
      </c>
      <c r="K156" t="s">
        <v>24</v>
      </c>
      <c r="L156" t="s">
        <v>24</v>
      </c>
      <c r="M156" t="s">
        <v>21</v>
      </c>
      <c r="N156">
        <v>1.2</v>
      </c>
      <c r="O156">
        <v>100</v>
      </c>
      <c r="P156">
        <v>19</v>
      </c>
      <c r="Q156">
        <v>3.1</v>
      </c>
      <c r="R156">
        <v>42</v>
      </c>
      <c r="S156" t="s">
        <v>24</v>
      </c>
      <c r="T156" t="s">
        <v>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974A-5D05-465C-B26C-38918E58D130}">
  <dimension ref="A4:K34"/>
  <sheetViews>
    <sheetView tabSelected="1" topLeftCell="D18" workbookViewId="0">
      <selection activeCell="I31" sqref="I31"/>
    </sheetView>
  </sheetViews>
  <sheetFormatPr baseColWidth="10" defaultRowHeight="14.4" x14ac:dyDescent="0.3"/>
  <cols>
    <col min="1" max="1" width="19.5546875" bestFit="1" customWidth="1"/>
    <col min="2" max="2" width="18.109375" bestFit="1" customWidth="1"/>
    <col min="3" max="4" width="10.44140625" bestFit="1" customWidth="1"/>
    <col min="5" max="5" width="19.5546875" bestFit="1" customWidth="1"/>
    <col min="6" max="6" width="19" bestFit="1" customWidth="1"/>
    <col min="7" max="7" width="10.44140625" bestFit="1" customWidth="1"/>
    <col min="9" max="9" width="19.5546875" bestFit="1" customWidth="1"/>
    <col min="10" max="10" width="24.77734375" bestFit="1" customWidth="1"/>
    <col min="11" max="11" width="10.44140625" bestFit="1" customWidth="1"/>
  </cols>
  <sheetData>
    <row r="4" spans="1:11" x14ac:dyDescent="0.3">
      <c r="A4" s="2" t="s">
        <v>122</v>
      </c>
    </row>
    <row r="6" spans="1:11" x14ac:dyDescent="0.3">
      <c r="B6" s="5" t="s">
        <v>19</v>
      </c>
      <c r="C6" t="s">
        <v>125</v>
      </c>
      <c r="D6" t="s">
        <v>124</v>
      </c>
    </row>
    <row r="7" spans="1:11" x14ac:dyDescent="0.3">
      <c r="B7" s="6" t="s">
        <v>25</v>
      </c>
      <c r="C7" s="4">
        <v>32</v>
      </c>
      <c r="D7" s="7">
        <v>0.20645161290322581</v>
      </c>
    </row>
    <row r="8" spans="1:11" x14ac:dyDescent="0.3">
      <c r="B8" s="6" t="s">
        <v>22</v>
      </c>
      <c r="C8" s="4">
        <v>123</v>
      </c>
      <c r="D8" s="7">
        <v>0.79354838709677422</v>
      </c>
    </row>
    <row r="9" spans="1:11" x14ac:dyDescent="0.3">
      <c r="B9" s="6" t="s">
        <v>123</v>
      </c>
      <c r="C9" s="4">
        <v>155</v>
      </c>
      <c r="D9" s="7">
        <v>1</v>
      </c>
    </row>
    <row r="14" spans="1:11" x14ac:dyDescent="0.3">
      <c r="A14" s="5" t="s">
        <v>1</v>
      </c>
      <c r="B14" t="s">
        <v>125</v>
      </c>
      <c r="C14" t="s">
        <v>124</v>
      </c>
      <c r="E14" s="5" t="s">
        <v>2</v>
      </c>
      <c r="F14" t="s">
        <v>125</v>
      </c>
      <c r="G14" t="s">
        <v>124</v>
      </c>
      <c r="I14" s="5" t="s">
        <v>3</v>
      </c>
      <c r="J14" t="s">
        <v>125</v>
      </c>
      <c r="K14" t="s">
        <v>124</v>
      </c>
    </row>
    <row r="15" spans="1:11" x14ac:dyDescent="0.3">
      <c r="A15" s="6" t="s">
        <v>23</v>
      </c>
      <c r="B15" s="4">
        <v>139</v>
      </c>
      <c r="C15" s="7">
        <v>0.89677419354838706</v>
      </c>
      <c r="E15" s="6" t="s">
        <v>21</v>
      </c>
      <c r="F15" s="4">
        <v>76</v>
      </c>
      <c r="G15" s="7">
        <v>0.4935064935064935</v>
      </c>
      <c r="I15" s="6" t="s">
        <v>21</v>
      </c>
      <c r="J15" s="4">
        <v>131</v>
      </c>
      <c r="K15" s="7">
        <v>0.84516129032258069</v>
      </c>
    </row>
    <row r="16" spans="1:11" x14ac:dyDescent="0.3">
      <c r="A16" s="6" t="s">
        <v>20</v>
      </c>
      <c r="B16" s="4">
        <v>16</v>
      </c>
      <c r="C16" s="7">
        <v>0.1032258064516129</v>
      </c>
      <c r="E16" s="6" t="s">
        <v>24</v>
      </c>
      <c r="F16" s="4">
        <v>78</v>
      </c>
      <c r="G16" s="7">
        <v>0.50649350649350644</v>
      </c>
      <c r="I16" s="6" t="s">
        <v>24</v>
      </c>
      <c r="J16" s="4">
        <v>24</v>
      </c>
      <c r="K16" s="7">
        <v>0.15483870967741936</v>
      </c>
    </row>
    <row r="17" spans="1:11" x14ac:dyDescent="0.3">
      <c r="A17" s="6" t="s">
        <v>123</v>
      </c>
      <c r="B17" s="4">
        <v>155</v>
      </c>
      <c r="C17" s="7">
        <v>1</v>
      </c>
      <c r="E17" s="6" t="s">
        <v>126</v>
      </c>
      <c r="F17" s="4"/>
      <c r="G17" s="7">
        <v>0</v>
      </c>
      <c r="I17" s="6" t="s">
        <v>123</v>
      </c>
      <c r="J17" s="4">
        <v>155</v>
      </c>
      <c r="K17" s="7">
        <v>1</v>
      </c>
    </row>
    <row r="18" spans="1:11" x14ac:dyDescent="0.3">
      <c r="E18" s="6" t="s">
        <v>123</v>
      </c>
      <c r="F18" s="4">
        <v>154</v>
      </c>
      <c r="G18" s="7">
        <v>1</v>
      </c>
    </row>
    <row r="22" spans="1:11" x14ac:dyDescent="0.3">
      <c r="A22" s="5" t="s">
        <v>4</v>
      </c>
      <c r="B22" t="s">
        <v>125</v>
      </c>
      <c r="C22" t="s">
        <v>124</v>
      </c>
      <c r="E22" s="5" t="s">
        <v>5</v>
      </c>
      <c r="F22" t="s">
        <v>125</v>
      </c>
      <c r="G22" t="s">
        <v>124</v>
      </c>
      <c r="I22" s="5" t="s">
        <v>6</v>
      </c>
      <c r="J22" t="s">
        <v>125</v>
      </c>
      <c r="K22" t="s">
        <v>124</v>
      </c>
    </row>
    <row r="23" spans="1:11" x14ac:dyDescent="0.3">
      <c r="A23" s="6" t="s">
        <v>21</v>
      </c>
      <c r="B23" s="4">
        <v>54</v>
      </c>
      <c r="C23" s="7">
        <v>0.35064935064935066</v>
      </c>
      <c r="E23" s="6" t="s">
        <v>21</v>
      </c>
      <c r="F23" s="4">
        <v>93</v>
      </c>
      <c r="G23" s="7">
        <v>0.60389610389610393</v>
      </c>
      <c r="I23" s="6" t="s">
        <v>21</v>
      </c>
      <c r="J23" s="4">
        <v>122</v>
      </c>
      <c r="K23" s="7">
        <v>0.79220779220779225</v>
      </c>
    </row>
    <row r="24" spans="1:11" x14ac:dyDescent="0.3">
      <c r="A24" s="6" t="s">
        <v>24</v>
      </c>
      <c r="B24" s="4">
        <v>100</v>
      </c>
      <c r="C24" s="7">
        <v>0.64935064935064934</v>
      </c>
      <c r="E24" s="6" t="s">
        <v>24</v>
      </c>
      <c r="F24" s="4">
        <v>61</v>
      </c>
      <c r="G24" s="7">
        <v>0.39610389610389612</v>
      </c>
      <c r="I24" s="6" t="s">
        <v>24</v>
      </c>
      <c r="J24" s="4">
        <v>32</v>
      </c>
      <c r="K24" s="7">
        <v>0.20779220779220781</v>
      </c>
    </row>
    <row r="25" spans="1:11" x14ac:dyDescent="0.3">
      <c r="A25" s="6" t="s">
        <v>126</v>
      </c>
      <c r="B25" s="4"/>
      <c r="C25" s="7">
        <v>0</v>
      </c>
      <c r="E25" s="6" t="s">
        <v>126</v>
      </c>
      <c r="F25" s="4"/>
      <c r="G25" s="7">
        <v>0</v>
      </c>
      <c r="I25" s="6" t="s">
        <v>126</v>
      </c>
      <c r="J25" s="4"/>
      <c r="K25" s="7">
        <v>0</v>
      </c>
    </row>
    <row r="26" spans="1:11" x14ac:dyDescent="0.3">
      <c r="A26" s="6" t="s">
        <v>123</v>
      </c>
      <c r="B26" s="4">
        <v>154</v>
      </c>
      <c r="C26" s="7">
        <v>1</v>
      </c>
      <c r="E26" s="6" t="s">
        <v>123</v>
      </c>
      <c r="F26" s="4">
        <v>154</v>
      </c>
      <c r="G26" s="7">
        <v>1</v>
      </c>
      <c r="I26" s="6" t="s">
        <v>123</v>
      </c>
      <c r="J26" s="4">
        <v>154</v>
      </c>
      <c r="K26" s="7">
        <v>1</v>
      </c>
    </row>
    <row r="30" spans="1:11" x14ac:dyDescent="0.3">
      <c r="A30" s="5" t="s">
        <v>7</v>
      </c>
      <c r="B30" t="s">
        <v>127</v>
      </c>
      <c r="C30" t="s">
        <v>124</v>
      </c>
      <c r="E30" s="5" t="s">
        <v>8</v>
      </c>
      <c r="F30" t="s">
        <v>125</v>
      </c>
      <c r="G30" t="s">
        <v>124</v>
      </c>
      <c r="I30" s="5" t="s">
        <v>9</v>
      </c>
      <c r="J30" t="s">
        <v>125</v>
      </c>
      <c r="K30" t="s">
        <v>124</v>
      </c>
    </row>
    <row r="31" spans="1:11" x14ac:dyDescent="0.3">
      <c r="A31" s="6" t="s">
        <v>21</v>
      </c>
      <c r="B31" s="4">
        <v>25</v>
      </c>
      <c r="C31" s="7">
        <v>0.17241379310344829</v>
      </c>
      <c r="E31" s="6" t="s">
        <v>21</v>
      </c>
      <c r="F31" s="4">
        <v>84</v>
      </c>
      <c r="G31" s="7">
        <v>0.58333333333333337</v>
      </c>
      <c r="I31" s="6" t="s">
        <v>21</v>
      </c>
      <c r="J31" s="4">
        <v>120</v>
      </c>
      <c r="K31" s="7">
        <v>0.8</v>
      </c>
    </row>
    <row r="32" spans="1:11" x14ac:dyDescent="0.3">
      <c r="A32" s="6" t="s">
        <v>24</v>
      </c>
      <c r="B32" s="4">
        <v>120</v>
      </c>
      <c r="C32" s="7">
        <v>0.82758620689655171</v>
      </c>
      <c r="E32" s="6" t="s">
        <v>24</v>
      </c>
      <c r="F32" s="4">
        <v>60</v>
      </c>
      <c r="G32" s="7">
        <v>0.41666666666666669</v>
      </c>
      <c r="I32" s="6" t="s">
        <v>24</v>
      </c>
      <c r="J32" s="4">
        <v>30</v>
      </c>
      <c r="K32" s="7">
        <v>0.2</v>
      </c>
    </row>
    <row r="33" spans="1:11" x14ac:dyDescent="0.3">
      <c r="A33" s="6" t="s">
        <v>126</v>
      </c>
      <c r="B33" s="4"/>
      <c r="C33" s="7">
        <v>0</v>
      </c>
      <c r="E33" s="6" t="s">
        <v>126</v>
      </c>
      <c r="F33" s="4"/>
      <c r="G33" s="7">
        <v>0</v>
      </c>
      <c r="I33" s="6" t="s">
        <v>126</v>
      </c>
      <c r="J33" s="4"/>
      <c r="K33" s="7">
        <v>0</v>
      </c>
    </row>
    <row r="34" spans="1:11" x14ac:dyDescent="0.3">
      <c r="A34" s="6" t="s">
        <v>123</v>
      </c>
      <c r="B34" s="4">
        <v>145</v>
      </c>
      <c r="C34" s="7">
        <v>1</v>
      </c>
      <c r="E34" s="6" t="s">
        <v>123</v>
      </c>
      <c r="F34" s="4">
        <v>144</v>
      </c>
      <c r="G34" s="7">
        <v>1</v>
      </c>
      <c r="I34" s="6" t="s">
        <v>123</v>
      </c>
      <c r="J34" s="4">
        <v>150</v>
      </c>
      <c r="K34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hepatitis</vt:lpstr>
      <vt:lpstr>analysis_steps</vt:lpstr>
      <vt:lpstr>data_inspection</vt:lpstr>
      <vt:lpstr>dictionnary</vt:lpstr>
      <vt:lpstr>hepatitis_table</vt:lpstr>
      <vt:lpstr>descriptives_statistics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2026-09-11T18:09:15Z</dcterms:created>
  <dcterms:modified xsi:type="dcterms:W3CDTF">2026-09-11T19:26:19Z</dcterms:modified>
</cp:coreProperties>
</file>